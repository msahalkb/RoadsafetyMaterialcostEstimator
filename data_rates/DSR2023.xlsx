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codeName="ThisWorkbook" defaultThemeVersion="124226"/>
  <mc:AlternateContent xmlns:mc="http://schemas.openxmlformats.org/markup-compatibility/2006">
    <mc:Choice Requires="x15">
      <x15ac:absPath xmlns:x15ac="http://schemas.microsoft.com/office/spreadsheetml/2010/11/ac" url="C:\Users\welcome\Desktop\DSR-2023\"/>
    </mc:Choice>
  </mc:AlternateContent>
  <xr:revisionPtr revIDLastSave="0" documentId="13_ncr:1_{046664BA-9873-4B3D-B689-23DED64F9CC0}" xr6:coauthVersionLast="47" xr6:coauthVersionMax="47" xr10:uidLastSave="{00000000-0000-0000-0000-000000000000}"/>
  <bookViews>
    <workbookView xWindow="-120" yWindow="-120" windowWidth="19905" windowHeight="11760" activeTab="2" xr2:uid="{00000000-000D-0000-FFFF-FFFF00000000}"/>
  </bookViews>
  <sheets>
    <sheet name="Abstract" sheetId="2" r:id="rId1"/>
    <sheet name="Schedule" sheetId="1" r:id="rId2"/>
    <sheet name="ReadMe" sheetId="3" r:id="rId3"/>
  </sheets>
  <definedNames>
    <definedName name="ItemTotal">Schedule!$G$4254</definedName>
    <definedName name="MRItemTotal">Schedule!$G$4256</definedName>
    <definedName name="_xlnm.Print_Titles" localSheetId="1">Schedule!$3:$3</definedName>
    <definedName name="SRItemTotal">Schedule!$G$4255</definedName>
  </definedNames>
  <calcPr calcId="181029"/>
</workbook>
</file>

<file path=xl/calcChain.xml><?xml version="1.0" encoding="utf-8"?>
<calcChain xmlns="http://schemas.openxmlformats.org/spreadsheetml/2006/main">
  <c r="G2420" i="1" l="1"/>
  <c r="H4252" i="1"/>
  <c r="G4256" i="1" s="1"/>
  <c r="G4251" i="1"/>
  <c r="G4250" i="1"/>
  <c r="G4248" i="1"/>
  <c r="G4247" i="1"/>
  <c r="G4244" i="1"/>
  <c r="G4243" i="1"/>
  <c r="G4242" i="1"/>
  <c r="G4238" i="1"/>
  <c r="G4237" i="1"/>
  <c r="G4233" i="1"/>
  <c r="G4231" i="1"/>
  <c r="G4230" i="1"/>
  <c r="G4228" i="1"/>
  <c r="G4227" i="1"/>
  <c r="G4224" i="1"/>
  <c r="G4223" i="1"/>
  <c r="G4221" i="1"/>
  <c r="G4220" i="1"/>
  <c r="G4217" i="1"/>
  <c r="G4216" i="1"/>
  <c r="G4215" i="1"/>
  <c r="G4214" i="1"/>
  <c r="G4213" i="1"/>
  <c r="G4212" i="1"/>
  <c r="G4211" i="1"/>
  <c r="G4208" i="1"/>
  <c r="G4207" i="1"/>
  <c r="G4206" i="1"/>
  <c r="G4204" i="1"/>
  <c r="G4203" i="1"/>
  <c r="G4202" i="1"/>
  <c r="G4201" i="1"/>
  <c r="G4200" i="1"/>
  <c r="G4199" i="1"/>
  <c r="G4198" i="1"/>
  <c r="G4197" i="1"/>
  <c r="G4196" i="1"/>
  <c r="G4194" i="1"/>
  <c r="G4190" i="1"/>
  <c r="G4188" i="1"/>
  <c r="G4187" i="1"/>
  <c r="G4185" i="1"/>
  <c r="G4184" i="1"/>
  <c r="G4183" i="1"/>
  <c r="G4181" i="1"/>
  <c r="G4179" i="1"/>
  <c r="G4178" i="1"/>
  <c r="G4177" i="1"/>
  <c r="G4175" i="1"/>
  <c r="G4174" i="1"/>
  <c r="G4172" i="1"/>
  <c r="G4171" i="1"/>
  <c r="G4170" i="1"/>
  <c r="G4169" i="1"/>
  <c r="G4168" i="1"/>
  <c r="G4166" i="1"/>
  <c r="G4165" i="1"/>
  <c r="G4164" i="1"/>
  <c r="G4163" i="1"/>
  <c r="G4162" i="1"/>
  <c r="G4161" i="1"/>
  <c r="G4160" i="1"/>
  <c r="G4159" i="1"/>
  <c r="G4157" i="1"/>
  <c r="G4156" i="1"/>
  <c r="G4155" i="1"/>
  <c r="G4154" i="1"/>
  <c r="G4153" i="1"/>
  <c r="G4152" i="1"/>
  <c r="G4151" i="1"/>
  <c r="G4150" i="1"/>
  <c r="G4148" i="1"/>
  <c r="G4147" i="1"/>
  <c r="G4146" i="1"/>
  <c r="G4145" i="1"/>
  <c r="G4144" i="1"/>
  <c r="G4143" i="1"/>
  <c r="G4142" i="1"/>
  <c r="G4141" i="1"/>
  <c r="G4137" i="1"/>
  <c r="G4136" i="1"/>
  <c r="G4134" i="1"/>
  <c r="G4132" i="1"/>
  <c r="G4130" i="1"/>
  <c r="G4128" i="1"/>
  <c r="G4126" i="1"/>
  <c r="G4124" i="1"/>
  <c r="G4123" i="1"/>
  <c r="G4121" i="1"/>
  <c r="G4120" i="1"/>
  <c r="G4119" i="1"/>
  <c r="G4118" i="1"/>
  <c r="G4117" i="1"/>
  <c r="G4116" i="1"/>
  <c r="G4115" i="1"/>
  <c r="G4114" i="1"/>
  <c r="G4113" i="1"/>
  <c r="G4112" i="1"/>
  <c r="G4107" i="1"/>
  <c r="G4101" i="1"/>
  <c r="G4098" i="1"/>
  <c r="G4097" i="1"/>
  <c r="G4096" i="1"/>
  <c r="G4095" i="1"/>
  <c r="G4094" i="1"/>
  <c r="G4093" i="1"/>
  <c r="G4092" i="1"/>
  <c r="G4089" i="1"/>
  <c r="G4088" i="1"/>
  <c r="G4087" i="1"/>
  <c r="G4086" i="1"/>
  <c r="G4085" i="1"/>
  <c r="G4082" i="1"/>
  <c r="G4080" i="1"/>
  <c r="G4079" i="1"/>
  <c r="G4077" i="1"/>
  <c r="G4076" i="1"/>
  <c r="G4074" i="1"/>
  <c r="G4073" i="1"/>
  <c r="G4072" i="1"/>
  <c r="G4070" i="1"/>
  <c r="G4069" i="1"/>
  <c r="G4068" i="1"/>
  <c r="G4066" i="1"/>
  <c r="G4062" i="1"/>
  <c r="G4061" i="1"/>
  <c r="G4060" i="1"/>
  <c r="G4059" i="1"/>
  <c r="G4058" i="1"/>
  <c r="G4056" i="1"/>
  <c r="G4055" i="1"/>
  <c r="G4053" i="1"/>
  <c r="G4052" i="1"/>
  <c r="G4051" i="1"/>
  <c r="G4049" i="1"/>
  <c r="G4048" i="1"/>
  <c r="G4047" i="1"/>
  <c r="G4043" i="1"/>
  <c r="G4042" i="1"/>
  <c r="G4038" i="1"/>
  <c r="G4037" i="1"/>
  <c r="G4036" i="1"/>
  <c r="G4033" i="1"/>
  <c r="G4032" i="1"/>
  <c r="G4030" i="1"/>
  <c r="G4028" i="1"/>
  <c r="G4027" i="1"/>
  <c r="G4025" i="1"/>
  <c r="G4024" i="1"/>
  <c r="G4023" i="1"/>
  <c r="G4021" i="1"/>
  <c r="G4020" i="1"/>
  <c r="G4019" i="1"/>
  <c r="G4016" i="1"/>
  <c r="G4015" i="1"/>
  <c r="G4012" i="1"/>
  <c r="G4011" i="1"/>
  <c r="G4008" i="1"/>
  <c r="G4004" i="1"/>
  <c r="G4003" i="1"/>
  <c r="G3999" i="1"/>
  <c r="G3998" i="1"/>
  <c r="G3996" i="1"/>
  <c r="G3995" i="1"/>
  <c r="G3994" i="1"/>
  <c r="G3993" i="1"/>
  <c r="G3992" i="1"/>
  <c r="G3991" i="1"/>
  <c r="G3990" i="1"/>
  <c r="G3989" i="1"/>
  <c r="G3988" i="1"/>
  <c r="G3987" i="1"/>
  <c r="G3986" i="1"/>
  <c r="G3985" i="1"/>
  <c r="G3984" i="1"/>
  <c r="G3983" i="1"/>
  <c r="G3982" i="1"/>
  <c r="G3980" i="1"/>
  <c r="G3979" i="1"/>
  <c r="G3977" i="1"/>
  <c r="G3976" i="1"/>
  <c r="G3975" i="1"/>
  <c r="G3974" i="1"/>
  <c r="G3973" i="1"/>
  <c r="G3972" i="1"/>
  <c r="G3971" i="1"/>
  <c r="G3970" i="1"/>
  <c r="G3969" i="1"/>
  <c r="G3968" i="1"/>
  <c r="G3967" i="1"/>
  <c r="G3965" i="1"/>
  <c r="G3964" i="1"/>
  <c r="G3963" i="1"/>
  <c r="G3962" i="1"/>
  <c r="G3961" i="1"/>
  <c r="G3959" i="1"/>
  <c r="G3958" i="1"/>
  <c r="G3957" i="1"/>
  <c r="G3956" i="1"/>
  <c r="G3955" i="1"/>
  <c r="G3954" i="1"/>
  <c r="G3953" i="1"/>
  <c r="G3952" i="1"/>
  <c r="G3951" i="1"/>
  <c r="G3947" i="1"/>
  <c r="G3946" i="1"/>
  <c r="G3942" i="1"/>
  <c r="G3940" i="1"/>
  <c r="G3939" i="1"/>
  <c r="G3936" i="1"/>
  <c r="G3935" i="1"/>
  <c r="G3932" i="1"/>
  <c r="G3931" i="1"/>
  <c r="G3930" i="1"/>
  <c r="G3929" i="1"/>
  <c r="G3928" i="1"/>
  <c r="G3927" i="1"/>
  <c r="G3926" i="1"/>
  <c r="G3922" i="1"/>
  <c r="G3933" i="1" s="1"/>
  <c r="D27" i="2" s="1"/>
  <c r="G3919" i="1"/>
  <c r="G3918" i="1"/>
  <c r="G3917" i="1"/>
  <c r="G3915" i="1"/>
  <c r="G3914" i="1"/>
  <c r="G3913" i="1"/>
  <c r="G3911" i="1"/>
  <c r="G3910" i="1"/>
  <c r="G3909" i="1"/>
  <c r="G3907" i="1"/>
  <c r="G3906" i="1"/>
  <c r="G3905" i="1"/>
  <c r="G3904" i="1"/>
  <c r="G3902" i="1"/>
  <c r="G3901" i="1"/>
  <c r="G3900" i="1"/>
  <c r="G3898" i="1"/>
  <c r="G3897" i="1"/>
  <c r="G3896" i="1"/>
  <c r="G3895" i="1"/>
  <c r="G3894" i="1"/>
  <c r="G3893" i="1"/>
  <c r="G3892" i="1"/>
  <c r="G3891" i="1"/>
  <c r="G3889" i="1"/>
  <c r="G3888" i="1"/>
  <c r="G3887" i="1"/>
  <c r="G3885" i="1"/>
  <c r="G3884" i="1"/>
  <c r="G3883" i="1"/>
  <c r="G3881" i="1"/>
  <c r="G3880" i="1"/>
  <c r="G3879" i="1"/>
  <c r="G3876" i="1"/>
  <c r="G3875" i="1"/>
  <c r="G3874" i="1"/>
  <c r="G3872" i="1"/>
  <c r="G3871" i="1"/>
  <c r="G3870" i="1"/>
  <c r="G3865" i="1"/>
  <c r="G3864" i="1"/>
  <c r="G3863" i="1"/>
  <c r="G3861" i="1"/>
  <c r="G3860" i="1"/>
  <c r="G3859" i="1"/>
  <c r="G3858" i="1"/>
  <c r="G3857" i="1"/>
  <c r="G3855" i="1"/>
  <c r="G3854" i="1"/>
  <c r="G3852" i="1"/>
  <c r="G3851" i="1"/>
  <c r="G3850" i="1"/>
  <c r="G3848" i="1"/>
  <c r="G3847" i="1"/>
  <c r="G3845" i="1"/>
  <c r="G3844" i="1"/>
  <c r="G3843" i="1"/>
  <c r="G3842" i="1"/>
  <c r="G3841" i="1"/>
  <c r="G3839" i="1"/>
  <c r="G3832" i="1"/>
  <c r="G3826" i="1"/>
  <c r="G3822" i="1"/>
  <c r="G3821" i="1"/>
  <c r="G3820" i="1"/>
  <c r="G3818" i="1"/>
  <c r="G3813" i="1"/>
  <c r="G3811" i="1"/>
  <c r="G3866" i="1" s="1"/>
  <c r="D25" i="2" s="1"/>
  <c r="G3804" i="1"/>
  <c r="G3803" i="1"/>
  <c r="G3802" i="1"/>
  <c r="G3800" i="1"/>
  <c r="G3799" i="1"/>
  <c r="G3798" i="1"/>
  <c r="G3797" i="1"/>
  <c r="G3796" i="1"/>
  <c r="G3794" i="1"/>
  <c r="G3793" i="1"/>
  <c r="G3792" i="1"/>
  <c r="G3790" i="1"/>
  <c r="G3789" i="1"/>
  <c r="G3788" i="1"/>
  <c r="G3787" i="1"/>
  <c r="G3786" i="1"/>
  <c r="G3784" i="1"/>
  <c r="G3783" i="1"/>
  <c r="G3782" i="1"/>
  <c r="G3781" i="1"/>
  <c r="G3780" i="1"/>
  <c r="G3778" i="1"/>
  <c r="G3777" i="1"/>
  <c r="G3776" i="1"/>
  <c r="G3774" i="1"/>
  <c r="G3772" i="1"/>
  <c r="G3771" i="1"/>
  <c r="G3769" i="1"/>
  <c r="G3768" i="1"/>
  <c r="G3767" i="1"/>
  <c r="G3766" i="1"/>
  <c r="G3764" i="1"/>
  <c r="G3763" i="1"/>
  <c r="G3762" i="1"/>
  <c r="G3760" i="1"/>
  <c r="G3759" i="1"/>
  <c r="G3757" i="1"/>
  <c r="G3756" i="1"/>
  <c r="G3755" i="1"/>
  <c r="G3753" i="1"/>
  <c r="G3805" i="1" s="1"/>
  <c r="D24" i="2" s="1"/>
  <c r="G3752" i="1"/>
  <c r="G3751" i="1"/>
  <c r="G3746" i="1"/>
  <c r="G3744" i="1"/>
  <c r="G3743" i="1"/>
  <c r="G3741" i="1"/>
  <c r="G3739" i="1"/>
  <c r="G3738" i="1"/>
  <c r="G3735" i="1"/>
  <c r="G3734" i="1"/>
  <c r="G3732" i="1"/>
  <c r="G3731" i="1"/>
  <c r="G3729" i="1"/>
  <c r="G3728" i="1"/>
  <c r="G3723" i="1"/>
  <c r="G3722" i="1"/>
  <c r="G3721" i="1"/>
  <c r="G3720" i="1"/>
  <c r="G3719" i="1"/>
  <c r="G3718" i="1"/>
  <c r="G3716" i="1"/>
  <c r="G3715" i="1"/>
  <c r="G3714" i="1"/>
  <c r="G3713" i="1"/>
  <c r="G3711" i="1"/>
  <c r="G3710" i="1"/>
  <c r="G3709" i="1"/>
  <c r="G3708" i="1"/>
  <c r="G3706" i="1"/>
  <c r="G3705" i="1"/>
  <c r="G3704" i="1"/>
  <c r="G3703" i="1"/>
  <c r="G3702" i="1"/>
  <c r="G3699" i="1"/>
  <c r="G3698" i="1"/>
  <c r="G3697" i="1"/>
  <c r="G3696" i="1"/>
  <c r="G3694" i="1"/>
  <c r="G3693" i="1"/>
  <c r="G3692" i="1"/>
  <c r="G3691" i="1"/>
  <c r="G3690" i="1"/>
  <c r="G3689" i="1"/>
  <c r="G3688" i="1"/>
  <c r="G3687" i="1"/>
  <c r="G3683" i="1"/>
  <c r="G3682" i="1"/>
  <c r="G3681" i="1"/>
  <c r="G3680" i="1"/>
  <c r="G3679" i="1"/>
  <c r="G3678" i="1"/>
  <c r="G3676" i="1"/>
  <c r="G3675" i="1"/>
  <c r="G3674" i="1"/>
  <c r="G3673" i="1"/>
  <c r="G3672" i="1"/>
  <c r="G3671" i="1"/>
  <c r="G3669" i="1"/>
  <c r="G3668" i="1"/>
  <c r="G3666" i="1"/>
  <c r="G3665" i="1"/>
  <c r="G3663" i="1"/>
  <c r="G3661" i="1"/>
  <c r="G3659" i="1"/>
  <c r="G3656" i="1"/>
  <c r="G3654" i="1"/>
  <c r="G3652" i="1"/>
  <c r="G3649" i="1"/>
  <c r="G3647" i="1"/>
  <c r="G3645" i="1"/>
  <c r="G3643" i="1"/>
  <c r="G3642" i="1"/>
  <c r="G3641" i="1"/>
  <c r="G3640" i="1"/>
  <c r="G3638" i="1"/>
  <c r="G3637" i="1"/>
  <c r="G3636" i="1"/>
  <c r="G3635" i="1"/>
  <c r="G3633" i="1"/>
  <c r="G3632" i="1"/>
  <c r="G3631" i="1"/>
  <c r="G3630" i="1"/>
  <c r="G3628" i="1"/>
  <c r="G3627" i="1"/>
  <c r="G3625" i="1"/>
  <c r="G3624" i="1"/>
  <c r="G3622" i="1"/>
  <c r="G3621" i="1"/>
  <c r="G3620" i="1"/>
  <c r="G3618" i="1"/>
  <c r="G3617" i="1"/>
  <c r="G3615" i="1"/>
  <c r="G3613" i="1"/>
  <c r="G3612" i="1"/>
  <c r="G3610" i="1"/>
  <c r="G3609" i="1"/>
  <c r="G3608" i="1"/>
  <c r="G3605" i="1"/>
  <c r="G3604" i="1"/>
  <c r="G3603" i="1"/>
  <c r="G3601" i="1"/>
  <c r="G3600" i="1"/>
  <c r="G3598" i="1"/>
  <c r="G3597" i="1"/>
  <c r="G3596" i="1"/>
  <c r="G3594" i="1"/>
  <c r="G3593" i="1"/>
  <c r="G3591" i="1"/>
  <c r="G3590" i="1"/>
  <c r="G3587" i="1"/>
  <c r="G3586" i="1"/>
  <c r="G3584" i="1"/>
  <c r="G3583" i="1"/>
  <c r="G3580" i="1"/>
  <c r="G3579" i="1"/>
  <c r="G3577" i="1"/>
  <c r="G3576" i="1"/>
  <c r="G3573" i="1"/>
  <c r="G3572" i="1"/>
  <c r="G3570" i="1"/>
  <c r="G3569" i="1"/>
  <c r="G3566" i="1"/>
  <c r="G3565" i="1"/>
  <c r="G3563" i="1"/>
  <c r="G3562" i="1"/>
  <c r="G3560" i="1"/>
  <c r="G3559" i="1"/>
  <c r="G3556" i="1"/>
  <c r="G3555" i="1"/>
  <c r="G3554" i="1"/>
  <c r="G3553" i="1"/>
  <c r="G3552" i="1"/>
  <c r="G3551" i="1"/>
  <c r="G3550" i="1"/>
  <c r="G3549" i="1"/>
  <c r="G3548" i="1"/>
  <c r="G3547" i="1"/>
  <c r="G3546" i="1"/>
  <c r="G3545" i="1"/>
  <c r="G3544" i="1"/>
  <c r="G3542" i="1"/>
  <c r="G3541" i="1"/>
  <c r="G3540" i="1"/>
  <c r="G3539" i="1"/>
  <c r="G3538" i="1"/>
  <c r="G3537" i="1"/>
  <c r="G3536" i="1"/>
  <c r="G3535" i="1"/>
  <c r="G3533" i="1"/>
  <c r="G3532" i="1"/>
  <c r="G3530" i="1"/>
  <c r="G3529" i="1"/>
  <c r="G3527" i="1"/>
  <c r="G3526" i="1"/>
  <c r="G3523" i="1"/>
  <c r="G3522" i="1"/>
  <c r="G3521" i="1"/>
  <c r="G3520" i="1"/>
  <c r="G3519" i="1"/>
  <c r="G3517" i="1"/>
  <c r="G3516" i="1"/>
  <c r="G3515" i="1"/>
  <c r="G3514" i="1"/>
  <c r="G3512" i="1"/>
  <c r="G3511" i="1"/>
  <c r="G3510" i="1"/>
  <c r="G3509" i="1"/>
  <c r="G3508" i="1"/>
  <c r="G3504" i="1"/>
  <c r="G3503" i="1"/>
  <c r="G3502" i="1"/>
  <c r="G3500" i="1"/>
  <c r="G3499" i="1"/>
  <c r="G3497" i="1"/>
  <c r="G3496" i="1"/>
  <c r="G3495" i="1"/>
  <c r="G3494" i="1"/>
  <c r="G3493" i="1"/>
  <c r="G3492" i="1"/>
  <c r="G3491" i="1"/>
  <c r="G3489" i="1"/>
  <c r="G3488" i="1"/>
  <c r="G3487" i="1"/>
  <c r="G3485" i="1"/>
  <c r="G3484" i="1"/>
  <c r="G3483" i="1"/>
  <c r="G3481" i="1"/>
  <c r="G3480" i="1"/>
  <c r="G3479" i="1"/>
  <c r="G3478" i="1"/>
  <c r="G3477" i="1"/>
  <c r="G3476" i="1"/>
  <c r="G3474" i="1"/>
  <c r="G3473" i="1"/>
  <c r="G3472" i="1"/>
  <c r="G3471" i="1"/>
  <c r="G3470" i="1"/>
  <c r="G3469" i="1"/>
  <c r="G3467" i="1"/>
  <c r="G3466" i="1"/>
  <c r="G3465" i="1"/>
  <c r="G3464" i="1"/>
  <c r="G3463" i="1"/>
  <c r="G3462" i="1"/>
  <c r="G3460" i="1"/>
  <c r="G3459" i="1"/>
  <c r="G3458" i="1"/>
  <c r="G3457" i="1"/>
  <c r="G3456" i="1"/>
  <c r="G3455" i="1"/>
  <c r="G3454" i="1"/>
  <c r="G3453" i="1"/>
  <c r="G3452" i="1"/>
  <c r="G3451" i="1"/>
  <c r="G3449" i="1"/>
  <c r="G3448" i="1"/>
  <c r="G3447" i="1"/>
  <c r="G3446" i="1"/>
  <c r="G3445" i="1"/>
  <c r="G3444" i="1"/>
  <c r="G3442" i="1"/>
  <c r="G3441" i="1"/>
  <c r="G3440" i="1"/>
  <c r="G3439" i="1"/>
  <c r="G3438" i="1"/>
  <c r="G3437" i="1"/>
  <c r="G3436" i="1"/>
  <c r="G3435" i="1"/>
  <c r="G3434" i="1"/>
  <c r="G3432" i="1"/>
  <c r="G3431" i="1"/>
  <c r="G3430" i="1"/>
  <c r="G3429" i="1"/>
  <c r="G3428" i="1"/>
  <c r="G3427" i="1"/>
  <c r="G3426" i="1"/>
  <c r="G3424" i="1"/>
  <c r="G3423" i="1"/>
  <c r="G3422" i="1"/>
  <c r="G3421" i="1"/>
  <c r="G3420" i="1"/>
  <c r="G3419" i="1"/>
  <c r="G3418" i="1"/>
  <c r="G3416" i="1"/>
  <c r="G3415" i="1"/>
  <c r="G3414" i="1"/>
  <c r="G3413" i="1"/>
  <c r="G3412" i="1"/>
  <c r="G3411" i="1"/>
  <c r="G3410" i="1"/>
  <c r="G3409" i="1"/>
  <c r="G3408" i="1"/>
  <c r="G3407" i="1"/>
  <c r="G3406" i="1"/>
  <c r="G3404" i="1"/>
  <c r="G3403" i="1"/>
  <c r="G3402" i="1"/>
  <c r="G3401" i="1"/>
  <c r="G3400" i="1"/>
  <c r="G3399" i="1"/>
  <c r="G3398" i="1"/>
  <c r="G3396" i="1"/>
  <c r="G3395" i="1"/>
  <c r="G3394" i="1"/>
  <c r="G3393" i="1"/>
  <c r="G3392" i="1"/>
  <c r="G3391" i="1"/>
  <c r="G3390" i="1"/>
  <c r="G3389" i="1"/>
  <c r="G3388" i="1"/>
  <c r="G3387" i="1"/>
  <c r="G3386" i="1"/>
  <c r="G3385" i="1"/>
  <c r="G3383" i="1"/>
  <c r="G3382" i="1"/>
  <c r="G3381" i="1"/>
  <c r="G3380" i="1"/>
  <c r="G3379" i="1"/>
  <c r="G3378" i="1"/>
  <c r="G3377" i="1"/>
  <c r="G3376" i="1"/>
  <c r="G3375" i="1"/>
  <c r="G3374" i="1"/>
  <c r="G3373" i="1"/>
  <c r="G3371" i="1"/>
  <c r="G3370" i="1"/>
  <c r="G3369" i="1"/>
  <c r="G3368" i="1"/>
  <c r="G3367" i="1"/>
  <c r="G3366" i="1"/>
  <c r="G3365" i="1"/>
  <c r="G3364" i="1"/>
  <c r="G3363" i="1"/>
  <c r="G3362" i="1"/>
  <c r="G3361" i="1"/>
  <c r="G3360" i="1"/>
  <c r="G3359" i="1"/>
  <c r="G3358" i="1"/>
  <c r="G3357" i="1"/>
  <c r="G3356" i="1"/>
  <c r="G3355" i="1"/>
  <c r="G3354" i="1"/>
  <c r="G3353" i="1"/>
  <c r="G3352" i="1"/>
  <c r="G3351" i="1"/>
  <c r="G3349" i="1"/>
  <c r="G3348" i="1"/>
  <c r="G3347" i="1"/>
  <c r="G3346" i="1"/>
  <c r="G3345" i="1"/>
  <c r="G3344" i="1"/>
  <c r="G3343" i="1"/>
  <c r="G3342" i="1"/>
  <c r="G3341" i="1"/>
  <c r="G3340" i="1"/>
  <c r="G3339" i="1"/>
  <c r="G3338" i="1"/>
  <c r="G3337" i="1"/>
  <c r="G3336" i="1"/>
  <c r="G3335" i="1"/>
  <c r="G3334" i="1"/>
  <c r="G3333" i="1"/>
  <c r="G3332" i="1"/>
  <c r="G3331" i="1"/>
  <c r="G3330" i="1"/>
  <c r="G3329" i="1"/>
  <c r="G3327" i="1"/>
  <c r="G3326" i="1"/>
  <c r="G3325" i="1"/>
  <c r="G3324" i="1"/>
  <c r="G3323" i="1"/>
  <c r="G3322" i="1"/>
  <c r="G3321" i="1"/>
  <c r="G3320" i="1"/>
  <c r="G3319" i="1"/>
  <c r="G3318" i="1"/>
  <c r="G3317" i="1"/>
  <c r="G3316" i="1"/>
  <c r="G3315" i="1"/>
  <c r="G3313" i="1"/>
  <c r="G3312" i="1"/>
  <c r="G3311" i="1"/>
  <c r="G3310" i="1"/>
  <c r="G3309" i="1"/>
  <c r="G3308" i="1"/>
  <c r="G3307" i="1"/>
  <c r="G3306" i="1"/>
  <c r="G3305" i="1"/>
  <c r="G3304" i="1"/>
  <c r="G3303" i="1"/>
  <c r="G3302" i="1"/>
  <c r="G3301" i="1"/>
  <c r="G3300" i="1"/>
  <c r="G3299" i="1"/>
  <c r="G3297" i="1"/>
  <c r="G3296" i="1"/>
  <c r="G3295" i="1"/>
  <c r="G3294" i="1"/>
  <c r="G3293" i="1"/>
  <c r="G3292" i="1"/>
  <c r="G3290" i="1"/>
  <c r="G3289" i="1"/>
  <c r="G3288" i="1"/>
  <c r="G3287" i="1"/>
  <c r="G3286" i="1"/>
  <c r="G3285" i="1"/>
  <c r="G3283" i="1"/>
  <c r="G3282" i="1"/>
  <c r="G3281" i="1"/>
  <c r="G3280" i="1"/>
  <c r="G3279" i="1"/>
  <c r="G3278" i="1"/>
  <c r="G3276" i="1"/>
  <c r="G3275" i="1"/>
  <c r="G3274" i="1"/>
  <c r="G3273" i="1"/>
  <c r="G3272" i="1"/>
  <c r="G3271" i="1"/>
  <c r="G3269" i="1"/>
  <c r="G3268" i="1"/>
  <c r="G3267" i="1"/>
  <c r="G3266" i="1"/>
  <c r="G3265" i="1"/>
  <c r="G3264" i="1"/>
  <c r="G3262" i="1"/>
  <c r="G3261" i="1"/>
  <c r="G3260" i="1"/>
  <c r="G3259" i="1"/>
  <c r="G3258" i="1"/>
  <c r="G3257" i="1"/>
  <c r="G3255" i="1"/>
  <c r="G3254" i="1"/>
  <c r="G3253" i="1"/>
  <c r="G3252" i="1"/>
  <c r="G3251" i="1"/>
  <c r="G3250" i="1"/>
  <c r="G3248" i="1"/>
  <c r="G3247" i="1"/>
  <c r="G3246" i="1"/>
  <c r="G3245" i="1"/>
  <c r="G3244" i="1"/>
  <c r="G3243" i="1"/>
  <c r="G3242" i="1"/>
  <c r="G3241" i="1"/>
  <c r="G3240" i="1"/>
  <c r="G3239" i="1"/>
  <c r="G3238" i="1"/>
  <c r="G3235" i="1"/>
  <c r="G3234" i="1"/>
  <c r="G3233" i="1"/>
  <c r="G3232" i="1"/>
  <c r="G3231" i="1"/>
  <c r="G3230" i="1"/>
  <c r="G3229" i="1"/>
  <c r="G3228" i="1"/>
  <c r="G3227" i="1"/>
  <c r="G3226" i="1"/>
  <c r="G3225" i="1"/>
  <c r="G3224" i="1"/>
  <c r="G3223" i="1"/>
  <c r="G3222" i="1"/>
  <c r="G3221" i="1"/>
  <c r="G3218" i="1"/>
  <c r="G3217" i="1"/>
  <c r="G3216" i="1"/>
  <c r="G3215" i="1"/>
  <c r="G3214" i="1"/>
  <c r="G3213" i="1"/>
  <c r="G3211" i="1"/>
  <c r="G3210" i="1"/>
  <c r="G3209" i="1"/>
  <c r="G3208" i="1"/>
  <c r="G3207" i="1"/>
  <c r="G3206" i="1"/>
  <c r="G3204" i="1"/>
  <c r="G3203" i="1"/>
  <c r="G3201" i="1"/>
  <c r="G3200" i="1"/>
  <c r="G3198" i="1"/>
  <c r="G3197" i="1"/>
  <c r="G3196" i="1"/>
  <c r="G3195" i="1"/>
  <c r="G3194" i="1"/>
  <c r="G3193" i="1"/>
  <c r="G3191" i="1"/>
  <c r="G3190" i="1"/>
  <c r="G3189" i="1"/>
  <c r="G3188" i="1"/>
  <c r="G3187" i="1"/>
  <c r="G3186" i="1"/>
  <c r="G3184" i="1"/>
  <c r="G3182" i="1"/>
  <c r="G3181" i="1"/>
  <c r="G3180" i="1"/>
  <c r="G3179" i="1"/>
  <c r="G3178" i="1"/>
  <c r="G3177" i="1"/>
  <c r="G3176" i="1"/>
  <c r="G3175" i="1"/>
  <c r="G3174" i="1"/>
  <c r="G3173" i="1"/>
  <c r="G3172" i="1"/>
  <c r="G3171" i="1"/>
  <c r="G3169" i="1"/>
  <c r="G3168" i="1"/>
  <c r="G3167" i="1"/>
  <c r="G3166" i="1"/>
  <c r="G3165" i="1"/>
  <c r="G3164" i="1"/>
  <c r="G3163" i="1"/>
  <c r="G3162" i="1"/>
  <c r="G3161" i="1"/>
  <c r="G3160" i="1"/>
  <c r="G3159" i="1"/>
  <c r="G3158" i="1"/>
  <c r="G3156" i="1"/>
  <c r="G3155" i="1"/>
  <c r="G3154" i="1"/>
  <c r="G3153" i="1"/>
  <c r="G3152" i="1"/>
  <c r="G3151" i="1"/>
  <c r="G3150" i="1"/>
  <c r="G3149" i="1"/>
  <c r="G3148" i="1"/>
  <c r="G3147" i="1"/>
  <c r="G3146" i="1"/>
  <c r="G3145" i="1"/>
  <c r="G3143" i="1"/>
  <c r="G3142" i="1"/>
  <c r="G3141" i="1"/>
  <c r="G3140" i="1"/>
  <c r="G3139" i="1"/>
  <c r="G3138" i="1"/>
  <c r="G3137" i="1"/>
  <c r="G3136" i="1"/>
  <c r="G3135" i="1"/>
  <c r="G3134" i="1"/>
  <c r="G3133" i="1"/>
  <c r="G3132" i="1"/>
  <c r="G3130" i="1"/>
  <c r="G3129" i="1"/>
  <c r="G3128" i="1"/>
  <c r="G3127" i="1"/>
  <c r="G3125" i="1"/>
  <c r="G3124" i="1"/>
  <c r="G3123" i="1"/>
  <c r="G3121" i="1"/>
  <c r="G3120" i="1"/>
  <c r="G3118" i="1"/>
  <c r="G3117" i="1"/>
  <c r="G3116" i="1"/>
  <c r="G3115" i="1"/>
  <c r="G3114" i="1"/>
  <c r="G3113" i="1"/>
  <c r="G3112" i="1"/>
  <c r="G3111" i="1"/>
  <c r="G3110" i="1"/>
  <c r="G3109" i="1"/>
  <c r="G3108" i="1"/>
  <c r="G3106" i="1"/>
  <c r="G3105" i="1"/>
  <c r="G3104" i="1"/>
  <c r="G3103" i="1"/>
  <c r="G3102" i="1"/>
  <c r="G3101" i="1"/>
  <c r="G3100" i="1"/>
  <c r="G3099" i="1"/>
  <c r="G3098" i="1"/>
  <c r="G3097" i="1"/>
  <c r="G3096" i="1"/>
  <c r="G3095" i="1"/>
  <c r="G3094" i="1"/>
  <c r="G3093" i="1"/>
  <c r="G3092"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0" i="1"/>
  <c r="G3059" i="1"/>
  <c r="G3058" i="1"/>
  <c r="G3057" i="1"/>
  <c r="G3056" i="1"/>
  <c r="G3055" i="1"/>
  <c r="G3054" i="1"/>
  <c r="G3053" i="1"/>
  <c r="G3052" i="1"/>
  <c r="G3051" i="1"/>
  <c r="G3049" i="1"/>
  <c r="G3048" i="1"/>
  <c r="G3047" i="1"/>
  <c r="G3046" i="1"/>
  <c r="G3045" i="1"/>
  <c r="G3044" i="1"/>
  <c r="G3043" i="1"/>
  <c r="G3042" i="1"/>
  <c r="G3041" i="1"/>
  <c r="G3040" i="1"/>
  <c r="G3039" i="1"/>
  <c r="G3038" i="1"/>
  <c r="G3037" i="1"/>
  <c r="G3036" i="1"/>
  <c r="G3035" i="1"/>
  <c r="G3033" i="1"/>
  <c r="G3032" i="1"/>
  <c r="G3030" i="1"/>
  <c r="G3029" i="1"/>
  <c r="G3027" i="1"/>
  <c r="G3026" i="1"/>
  <c r="G3024" i="1"/>
  <c r="G3023" i="1"/>
  <c r="G3021" i="1"/>
  <c r="G3020" i="1"/>
  <c r="G3018" i="1"/>
  <c r="G3017" i="1"/>
  <c r="G3016" i="1"/>
  <c r="G3015" i="1"/>
  <c r="G3014" i="1"/>
  <c r="G3013" i="1"/>
  <c r="G3012" i="1"/>
  <c r="G3011" i="1"/>
  <c r="G3009" i="1"/>
  <c r="G3008" i="1"/>
  <c r="G3007" i="1"/>
  <c r="G3006" i="1"/>
  <c r="G3004" i="1"/>
  <c r="G3003" i="1"/>
  <c r="G3002" i="1"/>
  <c r="G3001" i="1"/>
  <c r="G2999" i="1"/>
  <c r="G2998" i="1"/>
  <c r="G2997" i="1"/>
  <c r="G2995" i="1"/>
  <c r="G2993" i="1"/>
  <c r="G2992" i="1"/>
  <c r="G2989" i="1"/>
  <c r="G2988" i="1"/>
  <c r="G2986" i="1"/>
  <c r="G2985" i="1"/>
  <c r="G2983" i="1"/>
  <c r="G2982" i="1"/>
  <c r="G2981" i="1"/>
  <c r="G2979" i="1"/>
  <c r="G2978" i="1"/>
  <c r="G2977" i="1"/>
  <c r="G2976" i="1"/>
  <c r="G2974" i="1"/>
  <c r="G2973" i="1"/>
  <c r="G2971" i="1"/>
  <c r="G2969" i="1"/>
  <c r="G2967" i="1"/>
  <c r="G2965" i="1"/>
  <c r="G2963" i="1"/>
  <c r="G2962" i="1"/>
  <c r="G2961" i="1"/>
  <c r="G2960" i="1"/>
  <c r="G2959" i="1"/>
  <c r="G2958" i="1"/>
  <c r="G2957" i="1"/>
  <c r="G2956" i="1"/>
  <c r="G2955" i="1"/>
  <c r="G2954" i="1"/>
  <c r="G2952" i="1"/>
  <c r="G2951" i="1"/>
  <c r="G2950" i="1"/>
  <c r="G2949" i="1"/>
  <c r="G2948" i="1"/>
  <c r="G2947" i="1"/>
  <c r="G2946" i="1"/>
  <c r="G2945" i="1"/>
  <c r="G2943" i="1"/>
  <c r="G2942" i="1"/>
  <c r="G2941" i="1"/>
  <c r="G2940" i="1"/>
  <c r="G2939" i="1"/>
  <c r="G2938" i="1"/>
  <c r="G2936" i="1"/>
  <c r="G2935" i="1"/>
  <c r="G2934" i="1"/>
  <c r="G2933" i="1"/>
  <c r="G2932" i="1"/>
  <c r="G2931" i="1"/>
  <c r="G2930" i="1"/>
  <c r="G2929" i="1"/>
  <c r="G2928" i="1"/>
  <c r="G2927" i="1"/>
  <c r="G2925" i="1"/>
  <c r="G2924" i="1"/>
  <c r="G2923" i="1"/>
  <c r="G2922" i="1"/>
  <c r="G2921" i="1"/>
  <c r="G2920" i="1"/>
  <c r="G2919" i="1"/>
  <c r="G2918" i="1"/>
  <c r="G2916" i="1"/>
  <c r="G2915" i="1"/>
  <c r="G2914" i="1"/>
  <c r="G2913" i="1"/>
  <c r="G2912" i="1"/>
  <c r="G2911" i="1"/>
  <c r="G2910" i="1"/>
  <c r="G2909" i="1"/>
  <c r="G2907" i="1"/>
  <c r="G2906" i="1"/>
  <c r="G2905" i="1"/>
  <c r="G2904" i="1"/>
  <c r="G2903" i="1"/>
  <c r="G2902" i="1"/>
  <c r="G2900" i="1"/>
  <c r="G2898" i="1"/>
  <c r="G2896" i="1"/>
  <c r="G2894" i="1"/>
  <c r="G2892" i="1"/>
  <c r="G2890" i="1"/>
  <c r="G2888" i="1"/>
  <c r="G2887" i="1"/>
  <c r="G2885" i="1"/>
  <c r="G2884" i="1"/>
  <c r="G2882" i="1"/>
  <c r="G2881" i="1"/>
  <c r="G2879" i="1"/>
  <c r="G2878" i="1"/>
  <c r="G2876" i="1"/>
  <c r="G2875" i="1"/>
  <c r="G2873" i="1"/>
  <c r="G2872" i="1"/>
  <c r="G2869" i="1"/>
  <c r="G2868" i="1"/>
  <c r="G2867" i="1"/>
  <c r="G2866" i="1"/>
  <c r="G2865" i="1"/>
  <c r="G2864" i="1"/>
  <c r="G2863" i="1"/>
  <c r="G2862" i="1"/>
  <c r="G2861" i="1"/>
  <c r="G2860" i="1"/>
  <c r="G2859" i="1"/>
  <c r="G2858" i="1"/>
  <c r="G2856" i="1"/>
  <c r="G2855" i="1"/>
  <c r="G2854" i="1"/>
  <c r="G2853" i="1"/>
  <c r="G2852" i="1"/>
  <c r="G2851" i="1"/>
  <c r="G2850" i="1"/>
  <c r="G2849" i="1"/>
  <c r="G2848" i="1"/>
  <c r="G2847" i="1"/>
  <c r="G2846" i="1"/>
  <c r="G2845" i="1"/>
  <c r="G2843" i="1"/>
  <c r="G2842" i="1"/>
  <c r="G2841" i="1"/>
  <c r="G2840" i="1"/>
  <c r="G2839" i="1"/>
  <c r="G2838" i="1"/>
  <c r="G2837" i="1"/>
  <c r="G2836" i="1"/>
  <c r="G2835" i="1"/>
  <c r="G2834" i="1"/>
  <c r="G2833" i="1"/>
  <c r="G2831" i="1"/>
  <c r="G2830" i="1"/>
  <c r="G2828" i="1"/>
  <c r="G2827" i="1"/>
  <c r="G2825" i="1"/>
  <c r="G2824" i="1"/>
  <c r="G2823" i="1"/>
  <c r="G2822" i="1"/>
  <c r="G2820" i="1"/>
  <c r="G2819" i="1"/>
  <c r="G2817" i="1"/>
  <c r="G2816" i="1"/>
  <c r="G2813" i="1"/>
  <c r="G2812" i="1"/>
  <c r="G2811" i="1"/>
  <c r="G2809" i="1"/>
  <c r="G2808" i="1"/>
  <c r="G2806" i="1"/>
  <c r="G2805" i="1"/>
  <c r="G2803" i="1"/>
  <c r="G2802" i="1"/>
  <c r="G2800" i="1"/>
  <c r="G2799" i="1"/>
  <c r="G2797" i="1"/>
  <c r="G2796" i="1"/>
  <c r="G2794" i="1"/>
  <c r="G2793" i="1"/>
  <c r="G2790" i="1"/>
  <c r="G2789" i="1"/>
  <c r="G2788" i="1"/>
  <c r="G2786" i="1"/>
  <c r="G2785" i="1"/>
  <c r="G2784" i="1"/>
  <c r="G2783" i="1"/>
  <c r="G2782" i="1"/>
  <c r="G2781" i="1"/>
  <c r="G2780" i="1"/>
  <c r="G2778" i="1"/>
  <c r="G2777" i="1"/>
  <c r="G2775" i="1"/>
  <c r="G2774" i="1"/>
  <c r="G2772" i="1"/>
  <c r="G2771" i="1"/>
  <c r="G2770" i="1"/>
  <c r="G2768" i="1"/>
  <c r="G2767" i="1"/>
  <c r="G2766" i="1"/>
  <c r="G2765" i="1"/>
  <c r="G2764" i="1"/>
  <c r="G2763" i="1"/>
  <c r="G2762" i="1"/>
  <c r="G2761" i="1"/>
  <c r="G2759" i="1"/>
  <c r="G2758" i="1"/>
  <c r="G2756" i="1"/>
  <c r="G2755" i="1"/>
  <c r="G2754" i="1"/>
  <c r="G2753" i="1"/>
  <c r="G2752" i="1"/>
  <c r="G2751" i="1"/>
  <c r="G2749" i="1"/>
  <c r="G2748" i="1"/>
  <c r="G2747" i="1"/>
  <c r="G2746" i="1"/>
  <c r="G2745" i="1"/>
  <c r="G2744" i="1"/>
  <c r="G2743" i="1"/>
  <c r="G2742" i="1"/>
  <c r="G2741" i="1"/>
  <c r="G2740" i="1"/>
  <c r="G2738" i="1"/>
  <c r="G2737" i="1"/>
  <c r="G2736" i="1"/>
  <c r="G2735" i="1"/>
  <c r="G2733" i="1"/>
  <c r="G2732" i="1"/>
  <c r="G2731" i="1"/>
  <c r="G2730" i="1"/>
  <c r="G2729" i="1"/>
  <c r="G2728" i="1"/>
  <c r="G2726" i="1"/>
  <c r="G2725" i="1"/>
  <c r="G2724" i="1"/>
  <c r="G2723" i="1"/>
  <c r="G2722" i="1"/>
  <c r="G2721" i="1"/>
  <c r="G2720" i="1"/>
  <c r="G2718" i="1"/>
  <c r="G2717" i="1"/>
  <c r="G2716" i="1"/>
  <c r="G2715" i="1"/>
  <c r="G2714" i="1"/>
  <c r="G2713" i="1"/>
  <c r="G2712" i="1"/>
  <c r="G2711" i="1"/>
  <c r="G2710" i="1"/>
  <c r="G2709" i="1"/>
  <c r="G2707" i="1"/>
  <c r="G2706" i="1"/>
  <c r="G2705" i="1"/>
  <c r="G2703" i="1"/>
  <c r="G2702" i="1"/>
  <c r="G2701" i="1"/>
  <c r="G2700" i="1"/>
  <c r="G2699" i="1"/>
  <c r="G2697" i="1"/>
  <c r="G2696" i="1"/>
  <c r="G2695" i="1"/>
  <c r="G2694" i="1"/>
  <c r="G2693" i="1"/>
  <c r="G2692" i="1"/>
  <c r="G2690" i="1"/>
  <c r="G2689" i="1"/>
  <c r="G2688" i="1"/>
  <c r="G2687" i="1"/>
  <c r="G2685" i="1"/>
  <c r="G2684" i="1"/>
  <c r="G2683" i="1"/>
  <c r="G2682" i="1"/>
  <c r="G2681" i="1"/>
  <c r="G2680" i="1"/>
  <c r="G2676" i="1"/>
  <c r="G2675" i="1"/>
  <c r="G2674" i="1"/>
  <c r="G2673" i="1"/>
  <c r="G2672" i="1"/>
  <c r="G2671" i="1"/>
  <c r="G2670" i="1"/>
  <c r="G2668" i="1"/>
  <c r="G2666" i="1"/>
  <c r="G2665" i="1"/>
  <c r="G2664" i="1"/>
  <c r="G2663" i="1"/>
  <c r="G2661" i="1"/>
  <c r="G2660" i="1"/>
  <c r="G2659" i="1"/>
  <c r="G2658" i="1"/>
  <c r="G2656" i="1"/>
  <c r="G2655" i="1"/>
  <c r="G2653" i="1"/>
  <c r="G2651" i="1"/>
  <c r="G2650" i="1"/>
  <c r="G2649" i="1"/>
  <c r="G2647" i="1"/>
  <c r="G2646" i="1"/>
  <c r="G2644" i="1"/>
  <c r="G2643" i="1"/>
  <c r="G2642" i="1"/>
  <c r="G2641" i="1"/>
  <c r="G2640" i="1"/>
  <c r="G2639" i="1"/>
  <c r="G2637" i="1"/>
  <c r="G2636" i="1"/>
  <c r="G2635" i="1"/>
  <c r="G2633" i="1"/>
  <c r="G2632" i="1"/>
  <c r="G2631" i="1"/>
  <c r="G2628" i="1"/>
  <c r="G2627" i="1"/>
  <c r="G2626" i="1"/>
  <c r="G2624" i="1"/>
  <c r="G2623" i="1"/>
  <c r="G2622" i="1"/>
  <c r="G2620" i="1"/>
  <c r="G2618" i="1"/>
  <c r="G2615" i="1"/>
  <c r="G2614" i="1"/>
  <c r="G2612" i="1"/>
  <c r="G2611" i="1"/>
  <c r="G2608" i="1"/>
  <c r="G2607" i="1"/>
  <c r="G2605" i="1"/>
  <c r="G2604" i="1"/>
  <c r="G2603" i="1"/>
  <c r="G2600" i="1"/>
  <c r="G2599" i="1"/>
  <c r="G2597" i="1"/>
  <c r="G2596" i="1"/>
  <c r="G2593" i="1"/>
  <c r="G2592" i="1"/>
  <c r="G2589" i="1"/>
  <c r="G2588" i="1"/>
  <c r="G2586" i="1"/>
  <c r="G2583" i="1"/>
  <c r="G2582" i="1"/>
  <c r="G2579" i="1"/>
  <c r="G2578" i="1"/>
  <c r="G2576" i="1"/>
  <c r="G2575" i="1"/>
  <c r="G2573" i="1"/>
  <c r="G2572" i="1"/>
  <c r="G2569" i="1"/>
  <c r="G2568" i="1"/>
  <c r="G2567" i="1"/>
  <c r="G2564" i="1"/>
  <c r="G2563" i="1"/>
  <c r="G2560" i="1"/>
  <c r="G2559" i="1"/>
  <c r="G2558" i="1"/>
  <c r="G2556" i="1"/>
  <c r="G2555" i="1"/>
  <c r="G2554" i="1"/>
  <c r="G2551" i="1"/>
  <c r="G2550" i="1"/>
  <c r="G2548" i="1"/>
  <c r="G2547" i="1"/>
  <c r="G2546" i="1"/>
  <c r="G2543" i="1"/>
  <c r="G2542" i="1"/>
  <c r="G2541" i="1"/>
  <c r="G2538" i="1"/>
  <c r="G2537" i="1"/>
  <c r="G2534" i="1"/>
  <c r="G2533" i="1"/>
  <c r="G2532" i="1"/>
  <c r="G2529" i="1"/>
  <c r="G2528" i="1"/>
  <c r="G2525" i="1"/>
  <c r="G2524" i="1"/>
  <c r="G2523" i="1"/>
  <c r="G2521" i="1"/>
  <c r="G2520" i="1"/>
  <c r="G2519" i="1"/>
  <c r="G2516" i="1"/>
  <c r="G2515" i="1"/>
  <c r="G2513" i="1"/>
  <c r="G2512" i="1"/>
  <c r="G2509" i="1"/>
  <c r="G2508" i="1"/>
  <c r="G2507" i="1"/>
  <c r="G2505" i="1"/>
  <c r="G2504" i="1"/>
  <c r="G2503" i="1"/>
  <c r="G2500" i="1"/>
  <c r="G2499" i="1"/>
  <c r="G2497" i="1"/>
  <c r="G2496" i="1"/>
  <c r="G2493" i="1"/>
  <c r="G2492" i="1"/>
  <c r="G2490" i="1"/>
  <c r="G2489" i="1"/>
  <c r="G2486" i="1"/>
  <c r="G2485" i="1"/>
  <c r="G2484" i="1"/>
  <c r="G2482" i="1"/>
  <c r="G2481" i="1"/>
  <c r="G2480" i="1"/>
  <c r="G2477" i="1"/>
  <c r="G2476" i="1"/>
  <c r="G2475" i="1"/>
  <c r="G2473" i="1"/>
  <c r="G2472" i="1"/>
  <c r="G2471" i="1"/>
  <c r="G2468" i="1"/>
  <c r="G2467" i="1"/>
  <c r="G2465" i="1"/>
  <c r="G2464" i="1"/>
  <c r="G2462" i="1"/>
  <c r="G2461" i="1"/>
  <c r="G2460" i="1"/>
  <c r="G2458" i="1"/>
  <c r="G2457" i="1"/>
  <c r="G2456" i="1"/>
  <c r="G2453" i="1"/>
  <c r="G2452" i="1"/>
  <c r="G2450" i="1"/>
  <c r="G2449" i="1"/>
  <c r="G2448" i="1"/>
  <c r="G2447" i="1"/>
  <c r="G2446" i="1"/>
  <c r="G2444" i="1"/>
  <c r="G2443" i="1"/>
  <c r="G2442" i="1"/>
  <c r="G2441" i="1"/>
  <c r="G2440" i="1"/>
  <c r="G2438" i="1"/>
  <c r="G2437" i="1"/>
  <c r="G2434" i="1"/>
  <c r="G2433" i="1"/>
  <c r="G2431" i="1"/>
  <c r="G2429" i="1"/>
  <c r="G2428" i="1"/>
  <c r="G2427" i="1"/>
  <c r="G2426" i="1"/>
  <c r="G2425" i="1"/>
  <c r="G2424" i="1"/>
  <c r="G2422" i="1"/>
  <c r="G2421" i="1"/>
  <c r="G2418" i="1"/>
  <c r="G2417" i="1"/>
  <c r="G2416" i="1"/>
  <c r="G2415" i="1"/>
  <c r="G2414" i="1"/>
  <c r="G2412" i="1"/>
  <c r="G2411" i="1"/>
  <c r="G2409" i="1"/>
  <c r="G2408" i="1"/>
  <c r="G2406" i="1"/>
  <c r="G2405" i="1"/>
  <c r="G2403" i="1"/>
  <c r="G2402" i="1"/>
  <c r="G2401" i="1"/>
  <c r="G2400" i="1"/>
  <c r="G2398" i="1"/>
  <c r="G2397" i="1"/>
  <c r="G2395" i="1"/>
  <c r="G2393" i="1"/>
  <c r="G2392" i="1"/>
  <c r="G2390" i="1"/>
  <c r="G2389" i="1"/>
  <c r="G2388" i="1"/>
  <c r="G2386" i="1"/>
  <c r="G2385" i="1"/>
  <c r="G2384" i="1"/>
  <c r="G2383" i="1"/>
  <c r="G2380" i="1"/>
  <c r="G2378" i="1"/>
  <c r="G2377" i="1"/>
  <c r="G2376" i="1"/>
  <c r="G2374" i="1"/>
  <c r="G2373" i="1"/>
  <c r="G2372" i="1"/>
  <c r="G2371" i="1"/>
  <c r="G2370" i="1"/>
  <c r="G2369" i="1"/>
  <c r="G2368" i="1"/>
  <c r="G2367" i="1"/>
  <c r="G2366" i="1"/>
  <c r="G2365" i="1"/>
  <c r="G2364" i="1"/>
  <c r="G2362" i="1"/>
  <c r="G2361" i="1"/>
  <c r="G2360" i="1"/>
  <c r="G2359" i="1"/>
  <c r="G2357" i="1"/>
  <c r="G2356" i="1"/>
  <c r="G2355" i="1"/>
  <c r="G2354" i="1"/>
  <c r="G2352" i="1"/>
  <c r="G2351" i="1"/>
  <c r="G2350" i="1"/>
  <c r="G2349" i="1"/>
  <c r="G2347" i="1"/>
  <c r="G2346" i="1"/>
  <c r="G2344" i="1"/>
  <c r="G2343" i="1"/>
  <c r="G2341" i="1"/>
  <c r="G2340" i="1"/>
  <c r="G2336" i="1"/>
  <c r="G2335" i="1"/>
  <c r="G2334" i="1"/>
  <c r="G2333" i="1"/>
  <c r="G2332" i="1"/>
  <c r="G2331" i="1"/>
  <c r="G2330" i="1"/>
  <c r="G2328" i="1"/>
  <c r="G2327" i="1"/>
  <c r="G2326" i="1"/>
  <c r="G2325" i="1"/>
  <c r="G2324" i="1"/>
  <c r="G2322" i="1"/>
  <c r="G2320" i="1"/>
  <c r="G2319" i="1"/>
  <c r="G2318" i="1"/>
  <c r="G2317" i="1"/>
  <c r="G2316" i="1"/>
  <c r="G2312" i="1"/>
  <c r="G2311" i="1"/>
  <c r="G2310" i="1"/>
  <c r="G2309" i="1"/>
  <c r="G2308" i="1"/>
  <c r="G2306" i="1"/>
  <c r="G2305" i="1"/>
  <c r="G2304" i="1"/>
  <c r="G2303" i="1"/>
  <c r="G2302" i="1"/>
  <c r="G2301" i="1"/>
  <c r="G2299" i="1"/>
  <c r="G2298" i="1"/>
  <c r="G2297" i="1"/>
  <c r="G2296" i="1"/>
  <c r="G2295" i="1"/>
  <c r="G2293" i="1"/>
  <c r="G2292" i="1"/>
  <c r="G2291" i="1"/>
  <c r="G2290" i="1"/>
  <c r="G2288" i="1"/>
  <c r="G2287" i="1"/>
  <c r="G2286" i="1"/>
  <c r="G2285" i="1"/>
  <c r="G2284" i="1"/>
  <c r="G2283" i="1"/>
  <c r="G2280" i="1"/>
  <c r="G2279" i="1"/>
  <c r="G2275" i="1"/>
  <c r="G2274" i="1"/>
  <c r="G2273" i="1"/>
  <c r="G2272" i="1"/>
  <c r="G2271" i="1"/>
  <c r="G2270" i="1"/>
  <c r="G2269" i="1"/>
  <c r="G2268" i="1"/>
  <c r="G2266" i="1"/>
  <c r="G2265" i="1"/>
  <c r="G2263" i="1"/>
  <c r="G2262" i="1"/>
  <c r="G2260" i="1"/>
  <c r="G2259" i="1"/>
  <c r="G2257" i="1"/>
  <c r="G2256" i="1"/>
  <c r="G2255" i="1"/>
  <c r="G2253" i="1"/>
  <c r="G2252" i="1"/>
  <c r="G2251" i="1"/>
  <c r="G2250" i="1"/>
  <c r="G2248" i="1"/>
  <c r="G2247" i="1"/>
  <c r="G2245" i="1"/>
  <c r="G2243" i="1"/>
  <c r="G2242" i="1"/>
  <c r="G2241" i="1"/>
  <c r="G2240" i="1"/>
  <c r="G2237" i="1"/>
  <c r="G2236" i="1"/>
  <c r="G2235" i="1"/>
  <c r="G2234" i="1"/>
  <c r="G2233" i="1"/>
  <c r="G2232" i="1"/>
  <c r="G2230" i="1"/>
  <c r="G2229" i="1"/>
  <c r="G2228" i="1"/>
  <c r="G2226" i="1"/>
  <c r="G2225" i="1"/>
  <c r="G2223" i="1"/>
  <c r="G2222" i="1"/>
  <c r="G2220" i="1"/>
  <c r="G2219" i="1"/>
  <c r="G2218" i="1"/>
  <c r="G2217" i="1"/>
  <c r="G2216" i="1"/>
  <c r="G2214" i="1"/>
  <c r="G2213" i="1"/>
  <c r="G2212" i="1"/>
  <c r="G2210" i="1"/>
  <c r="G2209" i="1"/>
  <c r="G2207" i="1"/>
  <c r="G2206" i="1"/>
  <c r="G2203" i="1"/>
  <c r="G2202" i="1"/>
  <c r="G2200" i="1"/>
  <c r="G2198" i="1"/>
  <c r="G2196" i="1"/>
  <c r="G2195" i="1"/>
  <c r="G2194" i="1"/>
  <c r="G2193" i="1"/>
  <c r="G2192" i="1"/>
  <c r="G2191" i="1"/>
  <c r="G2189" i="1"/>
  <c r="G2188" i="1"/>
  <c r="G2187" i="1"/>
  <c r="G2186" i="1"/>
  <c r="G2185" i="1"/>
  <c r="G2184" i="1"/>
  <c r="G2182" i="1"/>
  <c r="G2180" i="1"/>
  <c r="G2179" i="1"/>
  <c r="G2178" i="1"/>
  <c r="G2176" i="1"/>
  <c r="G2175" i="1"/>
  <c r="G2174" i="1"/>
  <c r="G2172" i="1"/>
  <c r="G2170" i="1"/>
  <c r="G2169" i="1"/>
  <c r="G2168" i="1"/>
  <c r="G2167" i="1"/>
  <c r="G2165" i="1"/>
  <c r="G2163" i="1"/>
  <c r="G2161" i="1"/>
  <c r="G2160" i="1"/>
  <c r="G2158" i="1"/>
  <c r="G2157" i="1"/>
  <c r="G2156" i="1"/>
  <c r="G2155" i="1"/>
  <c r="G2154" i="1"/>
  <c r="G2153" i="1"/>
  <c r="G2152" i="1"/>
  <c r="G2151" i="1"/>
  <c r="G2150" i="1"/>
  <c r="G2149" i="1"/>
  <c r="G2148" i="1"/>
  <c r="G2146" i="1"/>
  <c r="G2145" i="1"/>
  <c r="G2142" i="1"/>
  <c r="G2141" i="1"/>
  <c r="G2140" i="1"/>
  <c r="G2139" i="1"/>
  <c r="G2138" i="1"/>
  <c r="G2137" i="1"/>
  <c r="G2136" i="1"/>
  <c r="G2135" i="1"/>
  <c r="G2133" i="1"/>
  <c r="G2132" i="1"/>
  <c r="G2131" i="1"/>
  <c r="G2129" i="1"/>
  <c r="G2128" i="1"/>
  <c r="G2127" i="1"/>
  <c r="G2126" i="1"/>
  <c r="G2125" i="1"/>
  <c r="G2124" i="1"/>
  <c r="G2123" i="1"/>
  <c r="G2121" i="1"/>
  <c r="G2120" i="1"/>
  <c r="G2118" i="1"/>
  <c r="G2117" i="1"/>
  <c r="G2116" i="1"/>
  <c r="G2114" i="1"/>
  <c r="G2113" i="1"/>
  <c r="G2111" i="1"/>
  <c r="G2110" i="1"/>
  <c r="G2108" i="1"/>
  <c r="G2107" i="1"/>
  <c r="G2106" i="1"/>
  <c r="G2104" i="1"/>
  <c r="G2103" i="1"/>
  <c r="G2102" i="1"/>
  <c r="G2100" i="1"/>
  <c r="G2099" i="1"/>
  <c r="G2098" i="1"/>
  <c r="G2096" i="1"/>
  <c r="G2095" i="1"/>
  <c r="G2094" i="1"/>
  <c r="G2093" i="1"/>
  <c r="G2092" i="1"/>
  <c r="G2091" i="1"/>
  <c r="G2089" i="1"/>
  <c r="G2088" i="1"/>
  <c r="G2087" i="1"/>
  <c r="G2086" i="1"/>
  <c r="G2085" i="1"/>
  <c r="G2084" i="1"/>
  <c r="G2083" i="1"/>
  <c r="G2081" i="1"/>
  <c r="G2080" i="1"/>
  <c r="G2079" i="1"/>
  <c r="G2078" i="1"/>
  <c r="G2077" i="1"/>
  <c r="G2076" i="1"/>
  <c r="G2074" i="1"/>
  <c r="G2073" i="1"/>
  <c r="G2072" i="1"/>
  <c r="G2071" i="1"/>
  <c r="G2070" i="1"/>
  <c r="G2069" i="1"/>
  <c r="G2068" i="1"/>
  <c r="G2066" i="1"/>
  <c r="G2065" i="1"/>
  <c r="G2063" i="1"/>
  <c r="G2062" i="1"/>
  <c r="G2060" i="1"/>
  <c r="G2059" i="1"/>
  <c r="G2057" i="1"/>
  <c r="G2056" i="1"/>
  <c r="G2054" i="1"/>
  <c r="G2053" i="1"/>
  <c r="G2051" i="1"/>
  <c r="G2050" i="1"/>
  <c r="G2048" i="1"/>
  <c r="G2047" i="1"/>
  <c r="G2045" i="1"/>
  <c r="G2044" i="1"/>
  <c r="G2042" i="1"/>
  <c r="G2041" i="1"/>
  <c r="G2040" i="1"/>
  <c r="G2038" i="1"/>
  <c r="G2037" i="1"/>
  <c r="G2036" i="1"/>
  <c r="G2035" i="1"/>
  <c r="G2033" i="1"/>
  <c r="G2032" i="1"/>
  <c r="G2031" i="1"/>
  <c r="G2030" i="1"/>
  <c r="G2029" i="1"/>
  <c r="G2028" i="1"/>
  <c r="G2026" i="1"/>
  <c r="G2023" i="1"/>
  <c r="G2022" i="1"/>
  <c r="G2021" i="1"/>
  <c r="G2020" i="1"/>
  <c r="G2017" i="1"/>
  <c r="G2014" i="1"/>
  <c r="G2011" i="1"/>
  <c r="G2009" i="1"/>
  <c r="G2007" i="1"/>
  <c r="G2005" i="1"/>
  <c r="G2004" i="1"/>
  <c r="G2002" i="1"/>
  <c r="G2001" i="1"/>
  <c r="G2000" i="1"/>
  <c r="G1999" i="1"/>
  <c r="G1998" i="1"/>
  <c r="G1996" i="1"/>
  <c r="G1995" i="1"/>
  <c r="G1989" i="1"/>
  <c r="G1988" i="1"/>
  <c r="G1987" i="1"/>
  <c r="G1986" i="1"/>
  <c r="G1985" i="1"/>
  <c r="G1984" i="1"/>
  <c r="G1983" i="1"/>
  <c r="G1982" i="1"/>
  <c r="G1981" i="1"/>
  <c r="G1980" i="1"/>
  <c r="G1979" i="1"/>
  <c r="G1978" i="1"/>
  <c r="G1977" i="1"/>
  <c r="G1975" i="1"/>
  <c r="G1974" i="1"/>
  <c r="G1973" i="1"/>
  <c r="G1972" i="1"/>
  <c r="G1971" i="1"/>
  <c r="G1970" i="1"/>
  <c r="G1969" i="1"/>
  <c r="G1968" i="1"/>
  <c r="G1967" i="1"/>
  <c r="G1965" i="1"/>
  <c r="G1964" i="1"/>
  <c r="G1963" i="1"/>
  <c r="G1962" i="1"/>
  <c r="G1960" i="1"/>
  <c r="G1959" i="1"/>
  <c r="G1958" i="1"/>
  <c r="G1956" i="1"/>
  <c r="G1955" i="1"/>
  <c r="G1954" i="1"/>
  <c r="G1952" i="1"/>
  <c r="G1951" i="1"/>
  <c r="G1949" i="1"/>
  <c r="G1948" i="1"/>
  <c r="G1947" i="1"/>
  <c r="G1945" i="1"/>
  <c r="G1943" i="1"/>
  <c r="G1942" i="1"/>
  <c r="G1940" i="1"/>
  <c r="G1939" i="1"/>
  <c r="G1936" i="1"/>
  <c r="G1935" i="1"/>
  <c r="G1934" i="1"/>
  <c r="G1933" i="1"/>
  <c r="G1931" i="1"/>
  <c r="G1930" i="1"/>
  <c r="G1929" i="1"/>
  <c r="G1928" i="1"/>
  <c r="G1927" i="1"/>
  <c r="G1925" i="1"/>
  <c r="G1924" i="1"/>
  <c r="G1923" i="1"/>
  <c r="G1921" i="1"/>
  <c r="G1920" i="1"/>
  <c r="G1917" i="1"/>
  <c r="G1915" i="1"/>
  <c r="G1913" i="1"/>
  <c r="G1912" i="1"/>
  <c r="G1911" i="1"/>
  <c r="G1910" i="1"/>
  <c r="G1909" i="1"/>
  <c r="G1908" i="1"/>
  <c r="G1907" i="1"/>
  <c r="G1905" i="1"/>
  <c r="G1904" i="1"/>
  <c r="G1902" i="1"/>
  <c r="G1901" i="1"/>
  <c r="G1899" i="1"/>
  <c r="G1898" i="1"/>
  <c r="G1896" i="1"/>
  <c r="G1894" i="1"/>
  <c r="G1893" i="1"/>
  <c r="G1892" i="1"/>
  <c r="G1891" i="1"/>
  <c r="G1889" i="1"/>
  <c r="G1888" i="1"/>
  <c r="G1884" i="1"/>
  <c r="G1879" i="1"/>
  <c r="G1878" i="1"/>
  <c r="G1877" i="1"/>
  <c r="G1876" i="1"/>
  <c r="G1874" i="1"/>
  <c r="G1873" i="1"/>
  <c r="G1871" i="1"/>
  <c r="G1870" i="1"/>
  <c r="G1868" i="1"/>
  <c r="G1867" i="1"/>
  <c r="G1865" i="1"/>
  <c r="G1864" i="1"/>
  <c r="G1862" i="1"/>
  <c r="G1861" i="1"/>
  <c r="G1859" i="1"/>
  <c r="G1858" i="1"/>
  <c r="G1857" i="1"/>
  <c r="G1855" i="1"/>
  <c r="G1853" i="1"/>
  <c r="G1851" i="1"/>
  <c r="G1849" i="1"/>
  <c r="G1847" i="1"/>
  <c r="G1845" i="1"/>
  <c r="G1843" i="1"/>
  <c r="G1842" i="1"/>
  <c r="G1841" i="1"/>
  <c r="G1839" i="1"/>
  <c r="G1838" i="1"/>
  <c r="G1837" i="1"/>
  <c r="G1835" i="1"/>
  <c r="G1834" i="1"/>
  <c r="G1833" i="1"/>
  <c r="G1831" i="1"/>
  <c r="G1829" i="1"/>
  <c r="G1827" i="1"/>
  <c r="G1826" i="1"/>
  <c r="G1825" i="1"/>
  <c r="G1824" i="1"/>
  <c r="G1822" i="1"/>
  <c r="G1821" i="1"/>
  <c r="G1820" i="1"/>
  <c r="G1818" i="1"/>
  <c r="G1817" i="1"/>
  <c r="G1815" i="1"/>
  <c r="G1814" i="1"/>
  <c r="G1812" i="1"/>
  <c r="G1810" i="1"/>
  <c r="G1809" i="1"/>
  <c r="G1808" i="1"/>
  <c r="G1807" i="1"/>
  <c r="G1806" i="1"/>
  <c r="G1805" i="1"/>
  <c r="G1804" i="1"/>
  <c r="G1803" i="1"/>
  <c r="G1802" i="1"/>
  <c r="G1800" i="1"/>
  <c r="G1799" i="1"/>
  <c r="G1798" i="1"/>
  <c r="G1797" i="1"/>
  <c r="G1795" i="1"/>
  <c r="G1793" i="1"/>
  <c r="G1792" i="1"/>
  <c r="G1790" i="1"/>
  <c r="G1788" i="1"/>
  <c r="G1786" i="1"/>
  <c r="G1784" i="1"/>
  <c r="G1782" i="1"/>
  <c r="G1780" i="1"/>
  <c r="G1779" i="1"/>
  <c r="G1778" i="1"/>
  <c r="G1776" i="1"/>
  <c r="G1775" i="1"/>
  <c r="G1773" i="1"/>
  <c r="G1772" i="1"/>
  <c r="G1770" i="1"/>
  <c r="G1769" i="1"/>
  <c r="G1767" i="1"/>
  <c r="G1765" i="1"/>
  <c r="G1764" i="1"/>
  <c r="G1762" i="1"/>
  <c r="G1761" i="1"/>
  <c r="G1759" i="1"/>
  <c r="G1758" i="1"/>
  <c r="G1757" i="1"/>
  <c r="G1755" i="1"/>
  <c r="G1753" i="1"/>
  <c r="G1752" i="1"/>
  <c r="G1751" i="1"/>
  <c r="G1749" i="1"/>
  <c r="G1747" i="1"/>
  <c r="G1745" i="1"/>
  <c r="G1743" i="1"/>
  <c r="G1741" i="1"/>
  <c r="G1739" i="1"/>
  <c r="G1738" i="1"/>
  <c r="G1736" i="1"/>
  <c r="G1735" i="1"/>
  <c r="G1733" i="1"/>
  <c r="G1732" i="1"/>
  <c r="G1730" i="1"/>
  <c r="G1729" i="1"/>
  <c r="G1728" i="1"/>
  <c r="G1726" i="1"/>
  <c r="G1724" i="1"/>
  <c r="G1723" i="1"/>
  <c r="G1721" i="1"/>
  <c r="G1720" i="1"/>
  <c r="G1719" i="1"/>
  <c r="G1718" i="1"/>
  <c r="G1717" i="1"/>
  <c r="G1715" i="1"/>
  <c r="G1714" i="1"/>
  <c r="G1713" i="1"/>
  <c r="G1712" i="1"/>
  <c r="G1710" i="1"/>
  <c r="G1709" i="1"/>
  <c r="G1708" i="1"/>
  <c r="G1707" i="1"/>
  <c r="G1706" i="1"/>
  <c r="G1704" i="1"/>
  <c r="G1703" i="1"/>
  <c r="G1701" i="1"/>
  <c r="G1700" i="1"/>
  <c r="G1698" i="1"/>
  <c r="G1697" i="1"/>
  <c r="G1696" i="1"/>
  <c r="G1695" i="1"/>
  <c r="G1693" i="1"/>
  <c r="G1692" i="1"/>
  <c r="G1691" i="1"/>
  <c r="G1689" i="1"/>
  <c r="G1688" i="1"/>
  <c r="G1687" i="1"/>
  <c r="G1686" i="1"/>
  <c r="G1685" i="1"/>
  <c r="G1684" i="1"/>
  <c r="G1683" i="1"/>
  <c r="G1682" i="1"/>
  <c r="G1680" i="1"/>
  <c r="G1679" i="1"/>
  <c r="G1677" i="1"/>
  <c r="G1676" i="1"/>
  <c r="G1674" i="1"/>
  <c r="G1673" i="1"/>
  <c r="G1671" i="1"/>
  <c r="G1670" i="1"/>
  <c r="G1668" i="1"/>
  <c r="G1667" i="1"/>
  <c r="G1665" i="1"/>
  <c r="G1664" i="1"/>
  <c r="G1662" i="1"/>
  <c r="G1661" i="1"/>
  <c r="G1659" i="1"/>
  <c r="G1658" i="1"/>
  <c r="G1654" i="1"/>
  <c r="G1653" i="1"/>
  <c r="G1652" i="1"/>
  <c r="G1651" i="1"/>
  <c r="G1650" i="1"/>
  <c r="G1649" i="1"/>
  <c r="G1647" i="1"/>
  <c r="G1646" i="1"/>
  <c r="G1645" i="1"/>
  <c r="G1644" i="1"/>
  <c r="G1643" i="1"/>
  <c r="G1642" i="1"/>
  <c r="G1641" i="1"/>
  <c r="G1640" i="1"/>
  <c r="G1638" i="1"/>
  <c r="G1637" i="1"/>
  <c r="G1636" i="1"/>
  <c r="G1635" i="1"/>
  <c r="G1634" i="1"/>
  <c r="G1633" i="1"/>
  <c r="G1632" i="1"/>
  <c r="G1631" i="1"/>
  <c r="G1630" i="1"/>
  <c r="G1628" i="1"/>
  <c r="G1627" i="1"/>
  <c r="G1626" i="1"/>
  <c r="G1625" i="1"/>
  <c r="G1624" i="1"/>
  <c r="G1621" i="1"/>
  <c r="G1618" i="1"/>
  <c r="G1617" i="1"/>
  <c r="G1616" i="1"/>
  <c r="G1615" i="1"/>
  <c r="G1614" i="1"/>
  <c r="G1612" i="1"/>
  <c r="G1609" i="1"/>
  <c r="G1608" i="1"/>
  <c r="G1607" i="1"/>
  <c r="G1606" i="1"/>
  <c r="G1603" i="1"/>
  <c r="G1602" i="1"/>
  <c r="G1601" i="1"/>
  <c r="G1600" i="1"/>
  <c r="G1599" i="1"/>
  <c r="G1598" i="1"/>
  <c r="G1596" i="1"/>
  <c r="G1595" i="1"/>
  <c r="G1594" i="1"/>
  <c r="G1593" i="1"/>
  <c r="G1592" i="1"/>
  <c r="G1590" i="1"/>
  <c r="G1589" i="1"/>
  <c r="G1588" i="1"/>
  <c r="G1587" i="1"/>
  <c r="G1586" i="1"/>
  <c r="G1583" i="1"/>
  <c r="G1582" i="1"/>
  <c r="G1581" i="1"/>
  <c r="G1579" i="1"/>
  <c r="G1578" i="1"/>
  <c r="G1576" i="1"/>
  <c r="G1575" i="1"/>
  <c r="G1573" i="1"/>
  <c r="G1572" i="1"/>
  <c r="G1570" i="1"/>
  <c r="G1569" i="1"/>
  <c r="G1567" i="1"/>
  <c r="G1566" i="1"/>
  <c r="G1564" i="1"/>
  <c r="G1563" i="1"/>
  <c r="G1560" i="1"/>
  <c r="G1559" i="1"/>
  <c r="G1556" i="1"/>
  <c r="G1553" i="1"/>
  <c r="G1552" i="1"/>
  <c r="G1550" i="1"/>
  <c r="G1549" i="1"/>
  <c r="G1547" i="1"/>
  <c r="G1545" i="1"/>
  <c r="G1544" i="1"/>
  <c r="G1542" i="1"/>
  <c r="G1541" i="1"/>
  <c r="G1540" i="1"/>
  <c r="G1539" i="1"/>
  <c r="G1538" i="1"/>
  <c r="G1537" i="1"/>
  <c r="G1535" i="1"/>
  <c r="G1534" i="1"/>
  <c r="G1533" i="1"/>
  <c r="G1531" i="1"/>
  <c r="G1529" i="1"/>
  <c r="G1527" i="1"/>
  <c r="G1525" i="1"/>
  <c r="G1523" i="1"/>
  <c r="G1522" i="1"/>
  <c r="G1520" i="1"/>
  <c r="G1518" i="1"/>
  <c r="G1516" i="1"/>
  <c r="G1514" i="1"/>
  <c r="G1511" i="1"/>
  <c r="G1509" i="1"/>
  <c r="G1506" i="1"/>
  <c r="G1505" i="1"/>
  <c r="G1503" i="1"/>
  <c r="G1502" i="1"/>
  <c r="G1500" i="1"/>
  <c r="G1499" i="1"/>
  <c r="G1497" i="1"/>
  <c r="G1495" i="1"/>
  <c r="G1493" i="1"/>
  <c r="G1492" i="1"/>
  <c r="G1491" i="1"/>
  <c r="G1490" i="1"/>
  <c r="G1489" i="1"/>
  <c r="G1488" i="1"/>
  <c r="G1487" i="1"/>
  <c r="G1486" i="1"/>
  <c r="G1485" i="1"/>
  <c r="G1483" i="1"/>
  <c r="G1482" i="1"/>
  <c r="G1481" i="1"/>
  <c r="G1480" i="1"/>
  <c r="G1478" i="1"/>
  <c r="G1477" i="1"/>
  <c r="G1476" i="1"/>
  <c r="G1475" i="1"/>
  <c r="G1474" i="1"/>
  <c r="G1473" i="1"/>
  <c r="G1471" i="1"/>
  <c r="G1469" i="1"/>
  <c r="G1467" i="1"/>
  <c r="G1466" i="1"/>
  <c r="G1464" i="1"/>
  <c r="G1463" i="1"/>
  <c r="G1462" i="1"/>
  <c r="G1460" i="1"/>
  <c r="G1459" i="1"/>
  <c r="G1458" i="1"/>
  <c r="G1456" i="1"/>
  <c r="G1455" i="1"/>
  <c r="G1454" i="1"/>
  <c r="G1450" i="1"/>
  <c r="G1449" i="1"/>
  <c r="G1447" i="1"/>
  <c r="G1445" i="1"/>
  <c r="G1444" i="1"/>
  <c r="G1438" i="1"/>
  <c r="G1437" i="1"/>
  <c r="G1435" i="1"/>
  <c r="G1433" i="1"/>
  <c r="G1432" i="1"/>
  <c r="G1430" i="1"/>
  <c r="G1429" i="1"/>
  <c r="G1428" i="1"/>
  <c r="G1427" i="1"/>
  <c r="G1425" i="1"/>
  <c r="G1424" i="1"/>
  <c r="G1423" i="1"/>
  <c r="G1422" i="1"/>
  <c r="G1420" i="1"/>
  <c r="G1419" i="1"/>
  <c r="G1418" i="1"/>
  <c r="G1417" i="1"/>
  <c r="G1415" i="1"/>
  <c r="G1414" i="1"/>
  <c r="G1413" i="1"/>
  <c r="G1412" i="1"/>
  <c r="G1411" i="1"/>
  <c r="G1409" i="1"/>
  <c r="G1408" i="1"/>
  <c r="G1407" i="1"/>
  <c r="G1406" i="1"/>
  <c r="G1405" i="1"/>
  <c r="G1404" i="1"/>
  <c r="G1403" i="1"/>
  <c r="G1402" i="1"/>
  <c r="G1401" i="1"/>
  <c r="G1399" i="1"/>
  <c r="G1398" i="1"/>
  <c r="G1397" i="1"/>
  <c r="G1396" i="1"/>
  <c r="G1395" i="1"/>
  <c r="G1393" i="1"/>
  <c r="G1392" i="1"/>
  <c r="G1391" i="1"/>
  <c r="G1390" i="1"/>
  <c r="G1389" i="1"/>
  <c r="G1386" i="1"/>
  <c r="G1385" i="1"/>
  <c r="G1384" i="1"/>
  <c r="G1383" i="1"/>
  <c r="G1381" i="1"/>
  <c r="G1380" i="1"/>
  <c r="G1379" i="1"/>
  <c r="G1378" i="1"/>
  <c r="G1377" i="1"/>
  <c r="G1376" i="1"/>
  <c r="G1375" i="1"/>
  <c r="G1374" i="1"/>
  <c r="G1373" i="1"/>
  <c r="G1371" i="1"/>
  <c r="G1370" i="1"/>
  <c r="G1369" i="1"/>
  <c r="G1368" i="1"/>
  <c r="G1366" i="1"/>
  <c r="G1365" i="1"/>
  <c r="G1363" i="1"/>
  <c r="G1362" i="1"/>
  <c r="G1360" i="1"/>
  <c r="G1359" i="1"/>
  <c r="G1357" i="1"/>
  <c r="G1356" i="1"/>
  <c r="G1355" i="1"/>
  <c r="G1354" i="1"/>
  <c r="G1353" i="1"/>
  <c r="G1352" i="1"/>
  <c r="G1351" i="1"/>
  <c r="G1350" i="1"/>
  <c r="G1348" i="1"/>
  <c r="G1345" i="1"/>
  <c r="G1343" i="1"/>
  <c r="G1340" i="1"/>
  <c r="G1339" i="1"/>
  <c r="G1338" i="1"/>
  <c r="G1337" i="1"/>
  <c r="G1335" i="1"/>
  <c r="G1334" i="1"/>
  <c r="G1333" i="1"/>
  <c r="G1332" i="1"/>
  <c r="G1330" i="1"/>
  <c r="G1329" i="1"/>
  <c r="G1328" i="1"/>
  <c r="G1327" i="1"/>
  <c r="G1325" i="1"/>
  <c r="G1324" i="1"/>
  <c r="G1323" i="1"/>
  <c r="G1322" i="1"/>
  <c r="G1321" i="1"/>
  <c r="G1319" i="1"/>
  <c r="G1317" i="1"/>
  <c r="G1316" i="1"/>
  <c r="G1314" i="1"/>
  <c r="G1313" i="1"/>
  <c r="G1312" i="1"/>
  <c r="G1311" i="1"/>
  <c r="G1310" i="1"/>
  <c r="G1309" i="1"/>
  <c r="G1306" i="1"/>
  <c r="G1305" i="1"/>
  <c r="G1304" i="1"/>
  <c r="G1303" i="1"/>
  <c r="G1302" i="1"/>
  <c r="G1301" i="1"/>
  <c r="G1299" i="1"/>
  <c r="G1298" i="1"/>
  <c r="G1297" i="1"/>
  <c r="G1296" i="1"/>
  <c r="G1295" i="1"/>
  <c r="G1294" i="1"/>
  <c r="G1292" i="1"/>
  <c r="G1291" i="1"/>
  <c r="G1290" i="1"/>
  <c r="G1289" i="1"/>
  <c r="G1288" i="1"/>
  <c r="G1287" i="1"/>
  <c r="G1285" i="1"/>
  <c r="G1284" i="1"/>
  <c r="G1283" i="1"/>
  <c r="G1281" i="1"/>
  <c r="G1280" i="1"/>
  <c r="G1279" i="1"/>
  <c r="G1277" i="1"/>
  <c r="G1276" i="1"/>
  <c r="G1275" i="1"/>
  <c r="G1271" i="1"/>
  <c r="G1270" i="1"/>
  <c r="G1269" i="1"/>
  <c r="G1267" i="1"/>
  <c r="G1266" i="1"/>
  <c r="G1264" i="1"/>
  <c r="G1263" i="1"/>
  <c r="G1262" i="1"/>
  <c r="G1261" i="1"/>
  <c r="G1260" i="1"/>
  <c r="G1259" i="1"/>
  <c r="G1257" i="1"/>
  <c r="G1256" i="1"/>
  <c r="G1255" i="1"/>
  <c r="G1253" i="1"/>
  <c r="G1252" i="1"/>
  <c r="G1250" i="1"/>
  <c r="G1249" i="1"/>
  <c r="G1248" i="1"/>
  <c r="G1247" i="1"/>
  <c r="G1246" i="1"/>
  <c r="G1245" i="1"/>
  <c r="G1244" i="1"/>
  <c r="G1243" i="1"/>
  <c r="G1242" i="1"/>
  <c r="G1240" i="1"/>
  <c r="G1239" i="1"/>
  <c r="G1237" i="1"/>
  <c r="G1236" i="1"/>
  <c r="G1234" i="1"/>
  <c r="G1233" i="1"/>
  <c r="G1231" i="1"/>
  <c r="G1230" i="1"/>
  <c r="G1227" i="1"/>
  <c r="G1226" i="1"/>
  <c r="G1224" i="1"/>
  <c r="G1223" i="1"/>
  <c r="G1222" i="1"/>
  <c r="G1220" i="1"/>
  <c r="G1219" i="1"/>
  <c r="G1217" i="1"/>
  <c r="G1216" i="1"/>
  <c r="G1215" i="1"/>
  <c r="G1213" i="1"/>
  <c r="G1212" i="1"/>
  <c r="G1211" i="1"/>
  <c r="G1210" i="1"/>
  <c r="G1208" i="1"/>
  <c r="G1207" i="1"/>
  <c r="G1205" i="1"/>
  <c r="G1204" i="1"/>
  <c r="G1203" i="1"/>
  <c r="G1202" i="1"/>
  <c r="G1199" i="1"/>
  <c r="G1198" i="1"/>
  <c r="G1197" i="1"/>
  <c r="G1196" i="1"/>
  <c r="G1195" i="1"/>
  <c r="G1193" i="1"/>
  <c r="G1192" i="1"/>
  <c r="G1191" i="1"/>
  <c r="G1190" i="1"/>
  <c r="G1188" i="1"/>
  <c r="G1187" i="1"/>
  <c r="G1186" i="1"/>
  <c r="G1184" i="1"/>
  <c r="G1183" i="1"/>
  <c r="G1182" i="1"/>
  <c r="G1181" i="1"/>
  <c r="G1180" i="1"/>
  <c r="G1178" i="1"/>
  <c r="G1177" i="1"/>
  <c r="G1176" i="1"/>
  <c r="G1175" i="1"/>
  <c r="G1173" i="1"/>
  <c r="G1172" i="1"/>
  <c r="G1170" i="1"/>
  <c r="G1169" i="1"/>
  <c r="G1167" i="1"/>
  <c r="G1166" i="1"/>
  <c r="G1165" i="1"/>
  <c r="G1164" i="1"/>
  <c r="G1163" i="1"/>
  <c r="G1162" i="1"/>
  <c r="G1161" i="1"/>
  <c r="G1160" i="1"/>
  <c r="G1159" i="1"/>
  <c r="G1158" i="1"/>
  <c r="G1157" i="1"/>
  <c r="G1156" i="1"/>
  <c r="G1154" i="1"/>
  <c r="G1152" i="1"/>
  <c r="G1151" i="1"/>
  <c r="G1149" i="1"/>
  <c r="G1148" i="1"/>
  <c r="G1146" i="1"/>
  <c r="G1144" i="1"/>
  <c r="G1142" i="1"/>
  <c r="G1140" i="1"/>
  <c r="G1139" i="1"/>
  <c r="G1138" i="1"/>
  <c r="G1136" i="1"/>
  <c r="G1135" i="1"/>
  <c r="G1134" i="1"/>
  <c r="G1132" i="1"/>
  <c r="G1131" i="1"/>
  <c r="G1130" i="1"/>
  <c r="G1128" i="1"/>
  <c r="G1127" i="1"/>
  <c r="G1126" i="1"/>
  <c r="G1124" i="1"/>
  <c r="G1123" i="1"/>
  <c r="G1122" i="1"/>
  <c r="G1120" i="1"/>
  <c r="G1119" i="1"/>
  <c r="G1118" i="1"/>
  <c r="G1116" i="1"/>
  <c r="G1115" i="1"/>
  <c r="G1114" i="1"/>
  <c r="G1113" i="1"/>
  <c r="G1111" i="1"/>
  <c r="G1110" i="1"/>
  <c r="G1109" i="1"/>
  <c r="G1108" i="1"/>
  <c r="G1106" i="1"/>
  <c r="G1105" i="1"/>
  <c r="G1103" i="1"/>
  <c r="G1102" i="1"/>
  <c r="G1100" i="1"/>
  <c r="G1099" i="1"/>
  <c r="G1097" i="1"/>
  <c r="G1096" i="1"/>
  <c r="G1094" i="1"/>
  <c r="G1093" i="1"/>
  <c r="G1092" i="1"/>
  <c r="G1090" i="1"/>
  <c r="G1089" i="1"/>
  <c r="G1088" i="1"/>
  <c r="G1086" i="1"/>
  <c r="G1085" i="1"/>
  <c r="G1083" i="1"/>
  <c r="G1082" i="1"/>
  <c r="G1080" i="1"/>
  <c r="G1079" i="1"/>
  <c r="G1078" i="1"/>
  <c r="G1070" i="1"/>
  <c r="G1069" i="1"/>
  <c r="G1068" i="1"/>
  <c r="G1067" i="1"/>
  <c r="G1066" i="1"/>
  <c r="G1065" i="1"/>
  <c r="G1063" i="1"/>
  <c r="G1062" i="1"/>
  <c r="G1060" i="1"/>
  <c r="G1059" i="1"/>
  <c r="G1058" i="1"/>
  <c r="G1057" i="1"/>
  <c r="G1056" i="1"/>
  <c r="G1055" i="1"/>
  <c r="G1053" i="1"/>
  <c r="G1052" i="1"/>
  <c r="G1051" i="1"/>
  <c r="G1050" i="1"/>
  <c r="G1049" i="1"/>
  <c r="G1048" i="1"/>
  <c r="G1046" i="1"/>
  <c r="G1045" i="1"/>
  <c r="G1044" i="1"/>
  <c r="G1043" i="1"/>
  <c r="G1042" i="1"/>
  <c r="G1041" i="1"/>
  <c r="G1038" i="1"/>
  <c r="G1036" i="1"/>
  <c r="G1035" i="1"/>
  <c r="G1033" i="1"/>
  <c r="G1030" i="1"/>
  <c r="G1029" i="1"/>
  <c r="G1027" i="1"/>
  <c r="G1026" i="1"/>
  <c r="G1024" i="1"/>
  <c r="G1023" i="1"/>
  <c r="G1022" i="1"/>
  <c r="G1021" i="1"/>
  <c r="G1019" i="1"/>
  <c r="G1018" i="1"/>
  <c r="G1016" i="1"/>
  <c r="G1015" i="1"/>
  <c r="G1014" i="1"/>
  <c r="G1012" i="1"/>
  <c r="G1011" i="1"/>
  <c r="G1010" i="1"/>
  <c r="G1009" i="1"/>
  <c r="G1007" i="1"/>
  <c r="G1006" i="1"/>
  <c r="G1005" i="1"/>
  <c r="G1003" i="1"/>
  <c r="G1002" i="1"/>
  <c r="G1001" i="1"/>
  <c r="G1000" i="1"/>
  <c r="G998" i="1"/>
  <c r="G997" i="1"/>
  <c r="G995" i="1"/>
  <c r="G994" i="1"/>
  <c r="G993" i="1"/>
  <c r="G992" i="1"/>
  <c r="G990" i="1"/>
  <c r="G989" i="1"/>
  <c r="G988" i="1"/>
  <c r="G986" i="1"/>
  <c r="G985" i="1"/>
  <c r="G984" i="1"/>
  <c r="G983" i="1"/>
  <c r="G981" i="1"/>
  <c r="G980" i="1"/>
  <c r="G978" i="1"/>
  <c r="G977" i="1"/>
  <c r="G975" i="1"/>
  <c r="G974" i="1"/>
  <c r="G973" i="1"/>
  <c r="G972" i="1"/>
  <c r="G971" i="1"/>
  <c r="G969" i="1"/>
  <c r="G968" i="1"/>
  <c r="G967" i="1"/>
  <c r="G966" i="1"/>
  <c r="G965" i="1"/>
  <c r="G963" i="1"/>
  <c r="G962" i="1"/>
  <c r="G961" i="1"/>
  <c r="G959" i="1"/>
  <c r="G958" i="1"/>
  <c r="G957" i="1"/>
  <c r="G956" i="1"/>
  <c r="G955" i="1"/>
  <c r="G954" i="1"/>
  <c r="G953" i="1"/>
  <c r="G951" i="1"/>
  <c r="G950" i="1"/>
  <c r="G948" i="1"/>
  <c r="G946" i="1"/>
  <c r="G945" i="1"/>
  <c r="G944" i="1"/>
  <c r="G943" i="1"/>
  <c r="G942" i="1"/>
  <c r="G941" i="1"/>
  <c r="G940" i="1"/>
  <c r="G938" i="1"/>
  <c r="G937" i="1"/>
  <c r="G936" i="1"/>
  <c r="G934" i="1"/>
  <c r="G933" i="1"/>
  <c r="G932" i="1"/>
  <c r="G931" i="1"/>
  <c r="G929" i="1"/>
  <c r="G928" i="1"/>
  <c r="G927" i="1"/>
  <c r="G926" i="1"/>
  <c r="G925" i="1"/>
  <c r="G923" i="1"/>
  <c r="G922" i="1"/>
  <c r="G921" i="1"/>
  <c r="G920" i="1"/>
  <c r="G919" i="1"/>
  <c r="G917" i="1"/>
  <c r="G916" i="1"/>
  <c r="G915" i="1"/>
  <c r="G913" i="1"/>
  <c r="G912" i="1"/>
  <c r="G911" i="1"/>
  <c r="G910" i="1"/>
  <c r="G909" i="1"/>
  <c r="G908" i="1"/>
  <c r="G907" i="1"/>
  <c r="G905" i="1"/>
  <c r="G904" i="1"/>
  <c r="G903" i="1"/>
  <c r="G902" i="1"/>
  <c r="G901" i="1"/>
  <c r="G899" i="1"/>
  <c r="G898" i="1"/>
  <c r="G897" i="1"/>
  <c r="G896" i="1"/>
  <c r="G895" i="1"/>
  <c r="G893" i="1"/>
  <c r="G892" i="1"/>
  <c r="G891" i="1"/>
  <c r="G890" i="1"/>
  <c r="G888" i="1"/>
  <c r="G887" i="1"/>
  <c r="G886" i="1"/>
  <c r="G885" i="1"/>
  <c r="G883" i="1"/>
  <c r="G882" i="1"/>
  <c r="G881" i="1"/>
  <c r="G880" i="1"/>
  <c r="G879" i="1"/>
  <c r="G878" i="1"/>
  <c r="G877" i="1"/>
  <c r="G875" i="1"/>
  <c r="G874" i="1"/>
  <c r="G873" i="1"/>
  <c r="G871" i="1"/>
  <c r="G870" i="1"/>
  <c r="G869" i="1"/>
  <c r="G868" i="1"/>
  <c r="G866" i="1"/>
  <c r="G865" i="1"/>
  <c r="G864" i="1"/>
  <c r="G863" i="1"/>
  <c r="G861" i="1"/>
  <c r="G860" i="1"/>
  <c r="G859" i="1"/>
  <c r="G857" i="1"/>
  <c r="G856" i="1"/>
  <c r="G855" i="1"/>
  <c r="G853" i="1"/>
  <c r="G852" i="1"/>
  <c r="G850" i="1"/>
  <c r="G849" i="1"/>
  <c r="G848" i="1"/>
  <c r="G847" i="1"/>
  <c r="G846" i="1"/>
  <c r="G844" i="1"/>
  <c r="G843" i="1"/>
  <c r="G841" i="1"/>
  <c r="G840" i="1"/>
  <c r="G839" i="1"/>
  <c r="G837" i="1"/>
  <c r="G836" i="1"/>
  <c r="G835" i="1"/>
  <c r="G833" i="1"/>
  <c r="G832" i="1"/>
  <c r="G831" i="1"/>
  <c r="G829" i="1"/>
  <c r="G828" i="1"/>
  <c r="G827" i="1"/>
  <c r="G826" i="1"/>
  <c r="G824" i="1"/>
  <c r="G823" i="1"/>
  <c r="G822" i="1"/>
  <c r="G821" i="1"/>
  <c r="G819" i="1"/>
  <c r="G818" i="1"/>
  <c r="G817" i="1"/>
  <c r="G816" i="1"/>
  <c r="G814" i="1"/>
  <c r="G813" i="1"/>
  <c r="G812" i="1"/>
  <c r="G811" i="1"/>
  <c r="G809" i="1"/>
  <c r="G808" i="1"/>
  <c r="G806" i="1"/>
  <c r="G805" i="1"/>
  <c r="G804" i="1"/>
  <c r="G803" i="1"/>
  <c r="G801" i="1"/>
  <c r="G800" i="1"/>
  <c r="G799" i="1"/>
  <c r="G798" i="1"/>
  <c r="G796" i="1"/>
  <c r="G795" i="1"/>
  <c r="G793" i="1"/>
  <c r="G792" i="1"/>
  <c r="G791" i="1"/>
  <c r="G789" i="1"/>
  <c r="G788" i="1"/>
  <c r="G787" i="1"/>
  <c r="G785" i="1"/>
  <c r="G784" i="1"/>
  <c r="G783" i="1"/>
  <c r="G781" i="1"/>
  <c r="G780" i="1"/>
  <c r="G778" i="1"/>
  <c r="G777" i="1"/>
  <c r="G774" i="1"/>
  <c r="G773" i="1"/>
  <c r="G771" i="1"/>
  <c r="G770" i="1"/>
  <c r="G769" i="1"/>
  <c r="G768" i="1"/>
  <c r="G767" i="1"/>
  <c r="G766" i="1"/>
  <c r="G764" i="1"/>
  <c r="G763" i="1"/>
  <c r="G762" i="1"/>
  <c r="G761" i="1"/>
  <c r="G760" i="1"/>
  <c r="G759" i="1"/>
  <c r="G756" i="1"/>
  <c r="G755" i="1"/>
  <c r="G753" i="1"/>
  <c r="G752" i="1"/>
  <c r="G750" i="1"/>
  <c r="G749" i="1"/>
  <c r="G747" i="1"/>
  <c r="G746" i="1"/>
  <c r="G745" i="1"/>
  <c r="G743" i="1"/>
  <c r="G742" i="1"/>
  <c r="G741" i="1"/>
  <c r="G739" i="1"/>
  <c r="G738" i="1"/>
  <c r="G736" i="1"/>
  <c r="G735" i="1"/>
  <c r="G733" i="1"/>
  <c r="G732" i="1"/>
  <c r="G730" i="1"/>
  <c r="G729" i="1"/>
  <c r="G726" i="1"/>
  <c r="G724" i="1"/>
  <c r="G721" i="1"/>
  <c r="G720" i="1"/>
  <c r="G719" i="1"/>
  <c r="G718" i="1"/>
  <c r="G716" i="1"/>
  <c r="G714" i="1"/>
  <c r="G713" i="1"/>
  <c r="G711" i="1"/>
  <c r="G710" i="1"/>
  <c r="G708" i="1"/>
  <c r="G707" i="1"/>
  <c r="G704" i="1"/>
  <c r="G703" i="1"/>
  <c r="G702" i="1"/>
  <c r="G700" i="1"/>
  <c r="G698" i="1"/>
  <c r="G697" i="1"/>
  <c r="G696" i="1"/>
  <c r="G695" i="1"/>
  <c r="G693" i="1"/>
  <c r="G691" i="1"/>
  <c r="G690" i="1"/>
  <c r="G688" i="1"/>
  <c r="G687" i="1"/>
  <c r="G685" i="1"/>
  <c r="G684" i="1"/>
  <c r="G683" i="1"/>
  <c r="G681" i="1"/>
  <c r="G680" i="1"/>
  <c r="G678" i="1"/>
  <c r="G677" i="1"/>
  <c r="G675" i="1"/>
  <c r="G674" i="1"/>
  <c r="G671" i="1"/>
  <c r="G670" i="1"/>
  <c r="G669" i="1"/>
  <c r="G667" i="1"/>
  <c r="G666" i="1"/>
  <c r="G664" i="1"/>
  <c r="G663" i="1"/>
  <c r="G662" i="1"/>
  <c r="G661" i="1"/>
  <c r="G657" i="1"/>
  <c r="G656" i="1"/>
  <c r="G655" i="1"/>
  <c r="G654" i="1"/>
  <c r="G652" i="1"/>
  <c r="G651" i="1"/>
  <c r="G649" i="1"/>
  <c r="G647" i="1"/>
  <c r="G646" i="1"/>
  <c r="G645" i="1"/>
  <c r="G643" i="1"/>
  <c r="G642" i="1"/>
  <c r="G641" i="1"/>
  <c r="G640" i="1"/>
  <c r="G638" i="1"/>
  <c r="G637" i="1"/>
  <c r="G636" i="1"/>
  <c r="G635" i="1"/>
  <c r="G633" i="1"/>
  <c r="G632" i="1"/>
  <c r="G631" i="1"/>
  <c r="G629" i="1"/>
  <c r="G628" i="1"/>
  <c r="G626" i="1"/>
  <c r="G625" i="1"/>
  <c r="G622" i="1"/>
  <c r="G621" i="1"/>
  <c r="G620" i="1"/>
  <c r="G619" i="1"/>
  <c r="G618" i="1"/>
  <c r="G616" i="1"/>
  <c r="G615" i="1"/>
  <c r="G614" i="1"/>
  <c r="G613" i="1"/>
  <c r="G612" i="1"/>
  <c r="G610" i="1"/>
  <c r="G609" i="1"/>
  <c r="G608" i="1"/>
  <c r="G607" i="1"/>
  <c r="G606" i="1"/>
  <c r="G604" i="1"/>
  <c r="G603" i="1"/>
  <c r="G602" i="1"/>
  <c r="G601" i="1"/>
  <c r="G600" i="1"/>
  <c r="G598" i="1"/>
  <c r="G597" i="1"/>
  <c r="G596" i="1"/>
  <c r="G595" i="1"/>
  <c r="G594" i="1"/>
  <c r="G591" i="1"/>
  <c r="G589" i="1"/>
  <c r="G588" i="1"/>
  <c r="G586" i="1"/>
  <c r="G585" i="1"/>
  <c r="G582" i="1"/>
  <c r="G581" i="1"/>
  <c r="G580" i="1"/>
  <c r="G577" i="1"/>
  <c r="G576" i="1"/>
  <c r="G574" i="1"/>
  <c r="G573" i="1"/>
  <c r="G572" i="1"/>
  <c r="G571" i="1"/>
  <c r="G570" i="1"/>
  <c r="G568" i="1"/>
  <c r="G567" i="1"/>
  <c r="G565" i="1"/>
  <c r="G564" i="1"/>
  <c r="G562" i="1"/>
  <c r="G561" i="1"/>
  <c r="G558" i="1"/>
  <c r="G557" i="1"/>
  <c r="G552" i="1"/>
  <c r="G551" i="1"/>
  <c r="G548" i="1"/>
  <c r="G547" i="1"/>
  <c r="G546" i="1"/>
  <c r="G545" i="1"/>
  <c r="G543" i="1"/>
  <c r="G542" i="1"/>
  <c r="G540" i="1"/>
  <c r="G539" i="1"/>
  <c r="G538" i="1"/>
  <c r="G537" i="1"/>
  <c r="G535" i="1"/>
  <c r="G533" i="1"/>
  <c r="G530" i="1"/>
  <c r="G529" i="1"/>
  <c r="G528" i="1"/>
  <c r="G527" i="1"/>
  <c r="G526" i="1"/>
  <c r="G524" i="1"/>
  <c r="G523" i="1"/>
  <c r="G521" i="1"/>
  <c r="G520" i="1"/>
  <c r="G519" i="1"/>
  <c r="G517" i="1"/>
  <c r="G516" i="1"/>
  <c r="G515" i="1"/>
  <c r="G513" i="1"/>
  <c r="G512" i="1"/>
  <c r="G509" i="1"/>
  <c r="G508" i="1"/>
  <c r="G506" i="1"/>
  <c r="G505" i="1"/>
  <c r="G502" i="1"/>
  <c r="G501" i="1"/>
  <c r="G499" i="1"/>
  <c r="G498" i="1"/>
  <c r="G495" i="1"/>
  <c r="G494" i="1"/>
  <c r="G492" i="1"/>
  <c r="G491" i="1"/>
  <c r="G488" i="1"/>
  <c r="G487" i="1"/>
  <c r="G486" i="1"/>
  <c r="G484" i="1"/>
  <c r="G483" i="1"/>
  <c r="G481" i="1"/>
  <c r="G479" i="1"/>
  <c r="G477" i="1"/>
  <c r="G476" i="1"/>
  <c r="G475" i="1"/>
  <c r="G473" i="1"/>
  <c r="G471" i="1"/>
  <c r="G467" i="1"/>
  <c r="G466" i="1"/>
  <c r="G465" i="1"/>
  <c r="G463" i="1"/>
  <c r="G462" i="1"/>
  <c r="G461" i="1"/>
  <c r="G460" i="1"/>
  <c r="G459" i="1"/>
  <c r="G458" i="1"/>
  <c r="G456" i="1"/>
  <c r="G455" i="1"/>
  <c r="G453" i="1"/>
  <c r="G452" i="1"/>
  <c r="G450" i="1"/>
  <c r="G449" i="1"/>
  <c r="G447" i="1"/>
  <c r="G446" i="1"/>
  <c r="G444" i="1"/>
  <c r="G443" i="1"/>
  <c r="G441" i="1"/>
  <c r="G440" i="1"/>
  <c r="G438" i="1"/>
  <c r="G437" i="1"/>
  <c r="G435" i="1"/>
  <c r="G434" i="1"/>
  <c r="G432" i="1"/>
  <c r="G431" i="1"/>
  <c r="G429" i="1"/>
  <c r="G428" i="1"/>
  <c r="G427" i="1"/>
  <c r="G426" i="1"/>
  <c r="G425" i="1"/>
  <c r="G424" i="1"/>
  <c r="G423" i="1"/>
  <c r="G422" i="1"/>
  <c r="G421" i="1"/>
  <c r="G419" i="1"/>
  <c r="G418" i="1"/>
  <c r="G417" i="1"/>
  <c r="G416" i="1"/>
  <c r="G414" i="1"/>
  <c r="G413" i="1"/>
  <c r="G411" i="1"/>
  <c r="G410" i="1"/>
  <c r="G409" i="1"/>
  <c r="G408" i="1"/>
  <c r="G407" i="1"/>
  <c r="G406" i="1"/>
  <c r="G405" i="1"/>
  <c r="G404" i="1"/>
  <c r="G403" i="1"/>
  <c r="G401" i="1"/>
  <c r="G400" i="1"/>
  <c r="G398" i="1"/>
  <c r="G397" i="1"/>
  <c r="G395" i="1"/>
  <c r="G394" i="1"/>
  <c r="G390" i="1"/>
  <c r="G385" i="1"/>
  <c r="G384" i="1"/>
  <c r="G383" i="1"/>
  <c r="G380" i="1"/>
  <c r="G379" i="1"/>
  <c r="G378" i="1"/>
  <c r="G376" i="1"/>
  <c r="G375" i="1"/>
  <c r="G374" i="1"/>
  <c r="G371" i="1"/>
  <c r="G370" i="1"/>
  <c r="G369" i="1"/>
  <c r="G367" i="1"/>
  <c r="G366" i="1"/>
  <c r="G365" i="1"/>
  <c r="G362" i="1"/>
  <c r="G361" i="1"/>
  <c r="G359" i="1"/>
  <c r="G358" i="1"/>
  <c r="G357" i="1"/>
  <c r="G356" i="1"/>
  <c r="G355" i="1"/>
  <c r="G353" i="1"/>
  <c r="G351" i="1"/>
  <c r="G350" i="1"/>
  <c r="G349" i="1"/>
  <c r="G348" i="1"/>
  <c r="G347" i="1"/>
  <c r="G345" i="1"/>
  <c r="G341" i="1"/>
  <c r="G340" i="1"/>
  <c r="G339" i="1"/>
  <c r="G338" i="1"/>
  <c r="G337" i="1"/>
  <c r="G335" i="1"/>
  <c r="G334" i="1"/>
  <c r="G333" i="1"/>
  <c r="G332" i="1"/>
  <c r="G331" i="1"/>
  <c r="G327" i="1"/>
  <c r="G326" i="1"/>
  <c r="G324" i="1"/>
  <c r="G323" i="1"/>
  <c r="G322" i="1"/>
  <c r="G320" i="1"/>
  <c r="G319" i="1"/>
  <c r="G317" i="1"/>
  <c r="G316" i="1"/>
  <c r="G313" i="1"/>
  <c r="G312" i="1"/>
  <c r="G311" i="1"/>
  <c r="G310" i="1"/>
  <c r="G309" i="1"/>
  <c r="G308" i="1"/>
  <c r="G307" i="1"/>
  <c r="G305" i="1"/>
  <c r="G303" i="1"/>
  <c r="G302" i="1"/>
  <c r="G301" i="1"/>
  <c r="G300" i="1"/>
  <c r="G299" i="1"/>
  <c r="G298" i="1"/>
  <c r="G296" i="1"/>
  <c r="G295" i="1"/>
  <c r="G294" i="1"/>
  <c r="G293" i="1"/>
  <c r="G292" i="1"/>
  <c r="G291" i="1"/>
  <c r="G289" i="1"/>
  <c r="G288" i="1"/>
  <c r="G287" i="1"/>
  <c r="G286" i="1"/>
  <c r="G285" i="1"/>
  <c r="G284" i="1"/>
  <c r="G283" i="1"/>
  <c r="G282" i="1"/>
  <c r="G280" i="1"/>
  <c r="G279" i="1"/>
  <c r="G278" i="1"/>
  <c r="G277" i="1"/>
  <c r="G276" i="1"/>
  <c r="G275" i="1"/>
  <c r="G274" i="1"/>
  <c r="G273" i="1"/>
  <c r="G272" i="1"/>
  <c r="G271" i="1"/>
  <c r="G270" i="1"/>
  <c r="G269" i="1"/>
  <c r="G268" i="1"/>
  <c r="G266" i="1"/>
  <c r="G265" i="1"/>
  <c r="G264" i="1"/>
  <c r="G263" i="1"/>
  <c r="G261" i="1"/>
  <c r="G260" i="1"/>
  <c r="G259" i="1"/>
  <c r="G258" i="1"/>
  <c r="G257" i="1"/>
  <c r="G256" i="1"/>
  <c r="G255" i="1"/>
  <c r="G253" i="1"/>
  <c r="G252" i="1"/>
  <c r="G251" i="1"/>
  <c r="G250" i="1"/>
  <c r="G249" i="1"/>
  <c r="G248" i="1"/>
  <c r="G247" i="1"/>
  <c r="G246" i="1"/>
  <c r="G245" i="1"/>
  <c r="G244" i="1"/>
  <c r="G243" i="1"/>
  <c r="G242" i="1"/>
  <c r="G241" i="1"/>
  <c r="G240" i="1"/>
  <c r="G238" i="1"/>
  <c r="G237" i="1"/>
  <c r="G236" i="1"/>
  <c r="G235" i="1"/>
  <c r="G234" i="1"/>
  <c r="G233" i="1"/>
  <c r="G232" i="1"/>
  <c r="G231" i="1"/>
  <c r="G230" i="1"/>
  <c r="G229" i="1"/>
  <c r="G228" i="1"/>
  <c r="G227" i="1"/>
  <c r="G226" i="1"/>
  <c r="G225" i="1"/>
  <c r="G223" i="1"/>
  <c r="G222" i="1"/>
  <c r="G221" i="1"/>
  <c r="G220" i="1"/>
  <c r="G216" i="1"/>
  <c r="G215" i="1"/>
  <c r="G213" i="1"/>
  <c r="G211" i="1"/>
  <c r="G208" i="1"/>
  <c r="G206" i="1"/>
  <c r="G204" i="1"/>
  <c r="G202" i="1"/>
  <c r="G197" i="1"/>
  <c r="G196" i="1"/>
  <c r="G195" i="1"/>
  <c r="G194" i="1"/>
  <c r="G192" i="1"/>
  <c r="G191" i="1"/>
  <c r="G190" i="1"/>
  <c r="G189" i="1"/>
  <c r="G185" i="1"/>
  <c r="G184" i="1"/>
  <c r="G183" i="1"/>
  <c r="G182" i="1"/>
  <c r="G181" i="1"/>
  <c r="G180" i="1"/>
  <c r="G179" i="1"/>
  <c r="G178" i="1"/>
  <c r="G177" i="1"/>
  <c r="G176" i="1"/>
  <c r="G175" i="1"/>
  <c r="G174" i="1"/>
  <c r="G173" i="1"/>
  <c r="G172" i="1"/>
  <c r="G171" i="1"/>
  <c r="G170" i="1"/>
  <c r="G169" i="1"/>
  <c r="G168" i="1"/>
  <c r="G166" i="1"/>
  <c r="G165" i="1"/>
  <c r="G163" i="1"/>
  <c r="G162" i="1"/>
  <c r="G160" i="1"/>
  <c r="G159" i="1"/>
  <c r="G157" i="1"/>
  <c r="G156" i="1"/>
  <c r="G154" i="1"/>
  <c r="G153" i="1"/>
  <c r="G152" i="1"/>
  <c r="G150" i="1"/>
  <c r="G149" i="1"/>
  <c r="G148" i="1"/>
  <c r="G147" i="1"/>
  <c r="G146" i="1"/>
  <c r="G145" i="1"/>
  <c r="G144" i="1"/>
  <c r="G143" i="1"/>
  <c r="G142" i="1"/>
  <c r="G140" i="1"/>
  <c r="G139" i="1"/>
  <c r="G138" i="1"/>
  <c r="G137" i="1"/>
  <c r="G136" i="1"/>
  <c r="G135" i="1"/>
  <c r="G134" i="1"/>
  <c r="G133" i="1"/>
  <c r="G132" i="1"/>
  <c r="G131" i="1"/>
  <c r="G130" i="1"/>
  <c r="G129" i="1"/>
  <c r="G128" i="1"/>
  <c r="G127" i="1"/>
  <c r="G126" i="1"/>
  <c r="G125" i="1"/>
  <c r="G124" i="1"/>
  <c r="G123" i="1"/>
  <c r="G122" i="1"/>
  <c r="G118" i="1"/>
  <c r="G117" i="1"/>
  <c r="G116" i="1"/>
  <c r="G115" i="1"/>
  <c r="G114" i="1"/>
  <c r="G112" i="1"/>
  <c r="G110" i="1"/>
  <c r="G108" i="1"/>
  <c r="G105" i="1"/>
  <c r="G103" i="1"/>
  <c r="G102" i="1"/>
  <c r="G101" i="1"/>
  <c r="G100" i="1"/>
  <c r="G98" i="1"/>
  <c r="G97" i="1"/>
  <c r="G96" i="1"/>
  <c r="G95" i="1"/>
  <c r="G94" i="1"/>
  <c r="G93" i="1"/>
  <c r="G91" i="1"/>
  <c r="G89" i="1"/>
  <c r="G87" i="1"/>
  <c r="G86" i="1"/>
  <c r="G85" i="1"/>
  <c r="G83" i="1"/>
  <c r="G82" i="1"/>
  <c r="G81" i="1"/>
  <c r="G80" i="1"/>
  <c r="G79" i="1"/>
  <c r="G78" i="1"/>
  <c r="G76" i="1"/>
  <c r="G75" i="1"/>
  <c r="G74" i="1"/>
  <c r="G72" i="1"/>
  <c r="G71" i="1"/>
  <c r="G70" i="1"/>
  <c r="G68" i="1"/>
  <c r="G67" i="1"/>
  <c r="G66" i="1"/>
  <c r="G65" i="1"/>
  <c r="G63" i="1"/>
  <c r="G62" i="1"/>
  <c r="G61" i="1"/>
  <c r="G59" i="1"/>
  <c r="G58" i="1"/>
  <c r="G57" i="1"/>
  <c r="G55" i="1"/>
  <c r="G52" i="1"/>
  <c r="G51" i="1"/>
  <c r="G49" i="1"/>
  <c r="G48" i="1"/>
  <c r="G46" i="1"/>
  <c r="G45" i="1"/>
  <c r="G42" i="1"/>
  <c r="G41" i="1"/>
  <c r="G40" i="1"/>
  <c r="G38" i="1"/>
  <c r="G37" i="1"/>
  <c r="G36" i="1"/>
  <c r="G34" i="1"/>
  <c r="G33" i="1"/>
  <c r="G32" i="1"/>
  <c r="G29" i="1"/>
  <c r="G28" i="1"/>
  <c r="G27" i="1"/>
  <c r="G24" i="1"/>
  <c r="G23" i="1"/>
  <c r="G22" i="1"/>
  <c r="G20" i="1"/>
  <c r="G18" i="1"/>
  <c r="G17" i="1"/>
  <c r="G16" i="1"/>
  <c r="G14" i="1"/>
  <c r="G12" i="1"/>
  <c r="G11" i="1"/>
  <c r="G10" i="1"/>
  <c r="G8" i="1"/>
  <c r="G6" i="1"/>
  <c r="G1200" i="1" l="1"/>
  <c r="D12" i="2" s="1"/>
  <c r="G1272" i="1"/>
  <c r="D13" i="2" s="1"/>
  <c r="G2677" i="1"/>
  <c r="D20" i="2" s="1"/>
  <c r="G3948" i="1"/>
  <c r="D28" i="2" s="1"/>
  <c r="G468" i="1"/>
  <c r="D9" i="2" s="1"/>
  <c r="G3920" i="1"/>
  <c r="D26" i="2" s="1"/>
  <c r="G217" i="1"/>
  <c r="D7" i="2" s="1"/>
  <c r="G391" i="1"/>
  <c r="D8" i="2" s="1"/>
  <c r="G658" i="1"/>
  <c r="D11" i="2" s="1"/>
  <c r="G119" i="1"/>
  <c r="G1451" i="1"/>
  <c r="D14" i="2" s="1"/>
  <c r="G1655" i="1"/>
  <c r="D15" i="2" s="1"/>
  <c r="G2024" i="1"/>
  <c r="D17" i="2" s="1"/>
  <c r="G2143" i="1"/>
  <c r="D18" i="2" s="1"/>
  <c r="G2337" i="1"/>
  <c r="D19" i="2" s="1"/>
  <c r="G3747" i="1"/>
  <c r="D23" i="2" s="1"/>
  <c r="G553" i="1"/>
  <c r="D10" i="2" s="1"/>
  <c r="G1885" i="1"/>
  <c r="D16" i="2" s="1"/>
  <c r="G3505" i="1"/>
  <c r="D21" i="2" s="1"/>
  <c r="G3684" i="1"/>
  <c r="D22" i="2" s="1"/>
  <c r="G4252" i="1"/>
  <c r="D29" i="2" s="1"/>
  <c r="D6" i="2"/>
  <c r="G4254" i="1" l="1"/>
  <c r="G4255" i="1" s="1"/>
  <c r="F1" i="2" s="1"/>
  <c r="F30" i="2" s="1"/>
  <c r="D30" i="2"/>
  <c r="D32" i="2" s="1"/>
  <c r="D31" i="2" l="1"/>
  <c r="D33" i="2" s="1"/>
  <c r="D35" i="2" s="1"/>
</calcChain>
</file>

<file path=xl/sharedStrings.xml><?xml version="1.0" encoding="utf-8"?>
<sst xmlns="http://schemas.openxmlformats.org/spreadsheetml/2006/main" count="18714" uniqueCount="9770">
  <si>
    <t>SCHEDULE OF QUANTITIES</t>
  </si>
  <si>
    <t>Name of the work : DSR - 2023 IN MS EXCEL</t>
  </si>
  <si>
    <t>I.No.</t>
  </si>
  <si>
    <t>Description of Item</t>
  </si>
  <si>
    <t>Quantity</t>
  </si>
  <si>
    <t>Rate (Rs)</t>
  </si>
  <si>
    <t>Unit</t>
  </si>
  <si>
    <t>Amount(Rs)</t>
  </si>
  <si>
    <t xml:space="preserve">        Sub-Head : Earth Work</t>
  </si>
  <si>
    <t>2.1</t>
  </si>
  <si>
    <t xml:space="preserve">Earth work in surface excavation: </t>
  </si>
  <si>
    <t xml:space="preserve">Earth work in surface excavation not exceeding 30 cm in depth but exceeding 1.5 m in width as well as 10 sqm on plan including getting out and disposal of excavated earth upto 50 m and lift up to 1.5 m, as directed by Engineer-in-Charge: </t>
  </si>
  <si>
    <t>2.1.1</t>
  </si>
  <si>
    <t xml:space="preserve">All kinds of soil. </t>
  </si>
  <si>
    <t xml:space="preserve">All kinds of soil </t>
  </si>
  <si>
    <t xml:space="preserve">Sqm  </t>
  </si>
  <si>
    <t xml:space="preserve">One Square Metre                          </t>
  </si>
  <si>
    <t>2.2</t>
  </si>
  <si>
    <t xml:space="preserve">Earth work in rough excavation, banking excavated earth : </t>
  </si>
  <si>
    <t xml:space="preserve">Earth work by mechinical / manual means in rough excavation, banking excavated earth in layers not exceeding 20cm in depth, breaking clods, watering, rolling each layer with 'A tonne roller or wooden or steel rammers, and rolling every 3rd and top-most layer with power roller of minimum 8 tonnes and dressing up in embankments for roads, flood banks, marginal banks and guide banks or filling up ground depressions, lead upto 50 m and for all lift </t>
  </si>
  <si>
    <t>2.2.1</t>
  </si>
  <si>
    <t xml:space="preserve">Cum  </t>
  </si>
  <si>
    <t xml:space="preserve">One Cubic Metre                           </t>
  </si>
  <si>
    <t>2.3</t>
  </si>
  <si>
    <t xml:space="preserve">Banking excavated earth in layers not exceeding 20 cm. in depth, breaking clods :- </t>
  </si>
  <si>
    <t xml:space="preserve">Banking excavated earth by mechanical / manual means in layers not exceeding 20 cm in depth, breaking clods, watering, rolling each layer with 'A tonne roller, or wooden or steel rammers, and roiling every 3rd and top-most layer with power roller of minimum 8 tonnes and dressing up, in embankments for roads, flood banks, marginal banks, and guide banks etc, lead upto 50 m and for all lift: </t>
  </si>
  <si>
    <t>2.3.1</t>
  </si>
  <si>
    <t>2.4</t>
  </si>
  <si>
    <t xml:space="preserve">Deduct for not rolling with power roller. </t>
  </si>
  <si>
    <t xml:space="preserve">Deduct for not rolling with power roller of minimum 8 tonnes for banking excavated earth in layers not exceeding 20 cm in depth. </t>
  </si>
  <si>
    <t>2.5</t>
  </si>
  <si>
    <t xml:space="preserve">Deduct for not watering the excavated earth for banking. </t>
  </si>
  <si>
    <t xml:space="preserve">Deduct for not watering the excavated earth for banking </t>
  </si>
  <si>
    <t>2.6</t>
  </si>
  <si>
    <t xml:space="preserve">Earth work in excavation over areas :- </t>
  </si>
  <si>
    <t xml:space="preserve">Earth work in excavation by mechanical means (Hydraulic excavator) / manual means over areas (exceeding 30cm in depth, 1.5m in width as well as 10 sqm on plan) including getting out and disposal of excavated earth, lead up to 50m and lift up to 1.5m,as directed by Engineer-in-Charge. </t>
  </si>
  <si>
    <t>2.6.1</t>
  </si>
  <si>
    <t xml:space="preserve">All kinds of soil . </t>
  </si>
  <si>
    <t>2.7</t>
  </si>
  <si>
    <t xml:space="preserve">Earth work in excavation by mechanical means (Hydraulic excavator) / manual means over areas (exceeding 30 cm in depth, 1.5m in width as well as 10 sqm on plan) including getting out and disposal of excavated earth, lead up to 50 m and lift up to 1.5m, as directed by Engineer-in-Charge. </t>
  </si>
  <si>
    <t>2.7.1</t>
  </si>
  <si>
    <t xml:space="preserve">Ordinary rock. </t>
  </si>
  <si>
    <t xml:space="preserve">Ordinary rock </t>
  </si>
  <si>
    <t>2.7.2</t>
  </si>
  <si>
    <t xml:space="preserve">Hard rock (requ blasting). </t>
  </si>
  <si>
    <t xml:space="preserve">Hard rock (requiring blasting) </t>
  </si>
  <si>
    <t>2.7.3</t>
  </si>
  <si>
    <t xml:space="preserve">Hard rock (blasting prohi). </t>
  </si>
  <si>
    <t xml:space="preserve">Hard rock (blasting prohibited) </t>
  </si>
  <si>
    <t>2.8</t>
  </si>
  <si>
    <t xml:space="preserve">E/W in excavation in foundation trenches :- </t>
  </si>
  <si>
    <t xml:space="preserve">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</si>
  <si>
    <t>2.8.1</t>
  </si>
  <si>
    <t>2.9</t>
  </si>
  <si>
    <t xml:space="preserve">Excavation work in foundation, trenches :- </t>
  </si>
  <si>
    <t xml:space="preserve">Excavation work by mechanical means (Hydraulic excavator)/ manual means in foundation trenches or drains (not exceeding 1.5m in width or 10 sqm on plan) including dressing of sides and ramming of bottoms, lift up to 1.5 m, including getting out the excavated soil and disposal of surplus excavated soils as directed, within a lead of 50m. </t>
  </si>
  <si>
    <t>2.9.1</t>
  </si>
  <si>
    <t>2.9.2</t>
  </si>
  <si>
    <t>2.9.3</t>
  </si>
  <si>
    <t xml:space="preserve">Hard rock (blasting probi). </t>
  </si>
  <si>
    <t>2.10</t>
  </si>
  <si>
    <t xml:space="preserve">Excavating trenches for pipes , cables </t>
  </si>
  <si>
    <t xml:space="preserve">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 </t>
  </si>
  <si>
    <t>2.10.1</t>
  </si>
  <si>
    <t>2.10.1.1</t>
  </si>
  <si>
    <t xml:space="preserve">Pipes upto 80 mm dia. </t>
  </si>
  <si>
    <t xml:space="preserve">Pipes, cables etc, not exceeding 80 mm dia. </t>
  </si>
  <si>
    <t xml:space="preserve">Nos  </t>
  </si>
  <si>
    <t xml:space="preserve">One Metre                                 </t>
  </si>
  <si>
    <t>2.10.1.2</t>
  </si>
  <si>
    <t xml:space="preserve">Pipes, cables etc. exceeding 80 mm dia. but not exceeding 300 mm dia </t>
  </si>
  <si>
    <t>2.10.1.3</t>
  </si>
  <si>
    <t xml:space="preserve">Pipes , cables 300 to 600 mm. </t>
  </si>
  <si>
    <t xml:space="preserve">Pipes, cables etc. exceeding 300 mm dia but not exceeding 600 mm. </t>
  </si>
  <si>
    <t>2.13</t>
  </si>
  <si>
    <t xml:space="preserve">Excavating trenches for pipes cables </t>
  </si>
  <si>
    <t xml:space="preserve">Excavating trenches of required width for pipes, cables, etc, including excavation for sockets, depth up 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50m : </t>
  </si>
  <si>
    <t>2.13.1</t>
  </si>
  <si>
    <t xml:space="preserve">Ordinary rocks : </t>
  </si>
  <si>
    <t xml:space="preserve">Ordinary rock : </t>
  </si>
  <si>
    <t>2.13.1.1</t>
  </si>
  <si>
    <t xml:space="preserve">Pipes, upto 80 mm dia. </t>
  </si>
  <si>
    <t xml:space="preserve">Pipes, cables etc. not exceeding 80 mm dia. </t>
  </si>
  <si>
    <t>2.13.1.2</t>
  </si>
  <si>
    <t xml:space="preserve">Pipes, 80 mm to 300 mm dia. </t>
  </si>
  <si>
    <t xml:space="preserve">Pipes, cables etc. exceeding 80 mm dia but not exceeding 300 mm dia. </t>
  </si>
  <si>
    <t>2.13.1.3</t>
  </si>
  <si>
    <t xml:space="preserve">Pipes 300 to 600 mm. dia </t>
  </si>
  <si>
    <t xml:space="preserve">Pipes, cables exceeding 300 mm dia but not exceeding 600mm dia </t>
  </si>
  <si>
    <t>2.13.2</t>
  </si>
  <si>
    <t xml:space="preserve">Hard rock (requi blasting) : </t>
  </si>
  <si>
    <t>2.13.2.1</t>
  </si>
  <si>
    <t>2.13.2.2</t>
  </si>
  <si>
    <t xml:space="preserve">Pipes 80 mm to 300 mm dia. </t>
  </si>
  <si>
    <t xml:space="preserve">Pipes, cables etc. exceeding 80 mm dia. but not exceeding 300 mm dia. </t>
  </si>
  <si>
    <t>2.13.2.3</t>
  </si>
  <si>
    <t xml:space="preserve">Pipes 300 to 600 mm. </t>
  </si>
  <si>
    <t xml:space="preserve">Pipes, cables etc. exceeding 300 mm dia but not exceeding 600mm dia </t>
  </si>
  <si>
    <t>2.13.3</t>
  </si>
  <si>
    <t xml:space="preserve">Hard rock (blasting prohi) : </t>
  </si>
  <si>
    <t>2.13.3.1</t>
  </si>
  <si>
    <t>2.13.3.2</t>
  </si>
  <si>
    <t>2.13.3.3</t>
  </si>
  <si>
    <t xml:space="preserve">Pipes, cables etc. exceeding 300 mm dia but not exceeding 600mm dia. </t>
  </si>
  <si>
    <t>2.14</t>
  </si>
  <si>
    <t xml:space="preserve"> </t>
  </si>
  <si>
    <t xml:space="preserve">Extra for excavating trenches for pipes, cables etc. in ordinary / hard rock exceeding 1.5m in depth but not exceeding 3m.(Rate is over corresponding basic item for depth upto 1.5 metre). </t>
  </si>
  <si>
    <t>2.14.1</t>
  </si>
  <si>
    <t>2.14.1.1</t>
  </si>
  <si>
    <t xml:space="preserve">Pipes, cables etc., exceeding 80 mm dia but not exceeding 300 mm dia. </t>
  </si>
  <si>
    <t xml:space="preserve">m    </t>
  </si>
  <si>
    <t xml:space="preserve">One metre                                 </t>
  </si>
  <si>
    <t>2.14.1.2</t>
  </si>
  <si>
    <t xml:space="preserve">Pipes, cables etc., exceeding 300 mm dia but not exceeding 600 mm dia. </t>
  </si>
  <si>
    <t>2.14.2</t>
  </si>
  <si>
    <t xml:space="preserve">Hard rock </t>
  </si>
  <si>
    <t>2.14.2.1</t>
  </si>
  <si>
    <t>2.14.2.2</t>
  </si>
  <si>
    <t>2.14.3</t>
  </si>
  <si>
    <t>2.14.3.1</t>
  </si>
  <si>
    <t>2.14.3.2</t>
  </si>
  <si>
    <t>2.15</t>
  </si>
  <si>
    <t xml:space="preserve">Extra for excavating trenches for pipes, cables etc. in ordinary / hard rock exceeding 3m in depth, but not exceeding 4.5m.(Rate is over corresponding basic item for depth upto 1.5 metre). </t>
  </si>
  <si>
    <t>2.15.1</t>
  </si>
  <si>
    <t>2.15.1.1</t>
  </si>
  <si>
    <t>2.16</t>
  </si>
  <si>
    <t xml:space="preserve">Close timbering in trenches :- </t>
  </si>
  <si>
    <t xml:space="preserve">Close timbering in trenches including strutting, shoring and packing cavities (wherever required) complete. (Measurements to be taken of the face area timbered). </t>
  </si>
  <si>
    <t>2.16.1</t>
  </si>
  <si>
    <t xml:space="preserve">Depth not exceeding 1.5 mtr. </t>
  </si>
  <si>
    <t xml:space="preserve">Depth not exceeding 1.5 m. </t>
  </si>
  <si>
    <t>2.16.2</t>
  </si>
  <si>
    <t xml:space="preserve">Depth from 1.5 to 3 mtr. </t>
  </si>
  <si>
    <t xml:space="preserve">Depth exceeding 1.5 m but not exceeding 3 m. </t>
  </si>
  <si>
    <t>2.16.3</t>
  </si>
  <si>
    <t xml:space="preserve">Depth from 3 to 4.5 mtr. </t>
  </si>
  <si>
    <t xml:space="preserve">Depth exceeding 3 m but not exceeding 4.5 m. </t>
  </si>
  <si>
    <t>2.17</t>
  </si>
  <si>
    <t xml:space="preserve">Close timbering in case of shafts,wells,cesspits,manholes </t>
  </si>
  <si>
    <t xml:space="preserve">Close timbering in case of shafts, wells, cesspits, manholes and the like including strutting, shoring and packing cavities (wherever required) etc. complete.(Measurements to be taken of the face area timbered). </t>
  </si>
  <si>
    <t>2.17.1</t>
  </si>
  <si>
    <t>2.17.2</t>
  </si>
  <si>
    <t>2.17.3</t>
  </si>
  <si>
    <t xml:space="preserve">Depth exceeding 3 m to 4.5 m. </t>
  </si>
  <si>
    <t>2.18</t>
  </si>
  <si>
    <t xml:space="preserve">Close timbering over areas :- </t>
  </si>
  <si>
    <t xml:space="preserve">Close timbering over areas including strutting, shoring and packing cavities (wherever required) etc. complete. (Measurements to be taken of the face area timbered) : </t>
  </si>
  <si>
    <t>2.18.1</t>
  </si>
  <si>
    <t>2.18.2</t>
  </si>
  <si>
    <t>2.18.3</t>
  </si>
  <si>
    <t>2.19</t>
  </si>
  <si>
    <t xml:space="preserve">Extra for planking, strutting and packing materials for cavities (in close timbering): </t>
  </si>
  <si>
    <t xml:space="preserve">Extra for planking, strutting and packing materials for cavities (in close timbering) if required to be left permanently in position. (Face area of timber permanently left to be measured). </t>
  </si>
  <si>
    <t>2.20</t>
  </si>
  <si>
    <t xml:space="preserve">Open timbering in trenches </t>
  </si>
  <si>
    <t xml:space="preserve">Open timbering in trenches including strutting and shoring complete (measurements to be taken of the face area timbered): </t>
  </si>
  <si>
    <t>2.20.1</t>
  </si>
  <si>
    <t>2.20.2</t>
  </si>
  <si>
    <t>2.20.3</t>
  </si>
  <si>
    <t>2.21</t>
  </si>
  <si>
    <t xml:space="preserve">Open timbering in case of shafts, wells, cesspits, manholes </t>
  </si>
  <si>
    <t xml:space="preserve">Open timbering in case of shafts, wells, cesspits, manholes and the like including strutting and shoring complete (Measurements to be taken of the face area timbered): </t>
  </si>
  <si>
    <t>2.21.1</t>
  </si>
  <si>
    <t>2.21.2</t>
  </si>
  <si>
    <t>2.21.3</t>
  </si>
  <si>
    <t>2.22</t>
  </si>
  <si>
    <t xml:space="preserve">Open timbering over areas </t>
  </si>
  <si>
    <t xml:space="preserve">Open timbering over areas including strutting, shoring etc. complete. (Measurements to be taken of the face area timbered): </t>
  </si>
  <si>
    <t>2.22.1</t>
  </si>
  <si>
    <t>2.22.2</t>
  </si>
  <si>
    <t>2.22.3</t>
  </si>
  <si>
    <t>2.23</t>
  </si>
  <si>
    <t xml:space="preserve">Extra for planking and strutting in open timbering if required to be left permanently in position. </t>
  </si>
  <si>
    <t xml:space="preserve">Extra for planking and strutting in open timbering if required to be left permanently in position. (Face area of the timber permanently left to be measured). </t>
  </si>
  <si>
    <t>2.25</t>
  </si>
  <si>
    <t xml:space="preserve">Filling available earth in trenches, plinth, side foundation etc. </t>
  </si>
  <si>
    <t xml:space="preserve">Filling available excavated earth (excluding rock) in trenches, plinth, sides of foundations etc. in layers not exceeding 20cm in depth, consolidating each deposited layer by ramming and watering, lead up to 50 m and lift up to 1.5 m. </t>
  </si>
  <si>
    <t>2.25A</t>
  </si>
  <si>
    <t xml:space="preserve">Excavating, supplying and filling of local earth (including royalty) by mechanical transport up to a lead of 5 km, also including ramming and watering of the earth in layers not exceeding 20 cm in trenches, plinth, sides of foundation etc., complete. </t>
  </si>
  <si>
    <t>2.26</t>
  </si>
  <si>
    <t xml:space="preserve">Extra for every addi lift of 1.5 m: </t>
  </si>
  <si>
    <t xml:space="preserve">Extra for every additional lift of 1.5 m or part thereof in excavation /banking excavated or stacked materials. </t>
  </si>
  <si>
    <t>2.26.1</t>
  </si>
  <si>
    <t>2.26.2</t>
  </si>
  <si>
    <t xml:space="preserve">Ordinary or hard rock </t>
  </si>
  <si>
    <t xml:space="preserve">Ordinary or hard rock. </t>
  </si>
  <si>
    <t>2.27</t>
  </si>
  <si>
    <t xml:space="preserve">Suppl. and filling in plinth local sand under floor. </t>
  </si>
  <si>
    <t xml:space="preserve">Supplying and filling in plinth with sand under floors, including watering, ramming, consolidating and dressing complete. </t>
  </si>
  <si>
    <t>2.28</t>
  </si>
  <si>
    <t xml:space="preserve">Surface dressing of the ground not exceeding 15 cm deep </t>
  </si>
  <si>
    <t xml:space="preserve">Surface dressing of the ground including removing vegetation and inequalities not exceeding 15 cm deep and disposal of rubbish, lead up to 50 m and lift upto1.5 m. </t>
  </si>
  <si>
    <t>2.28.1</t>
  </si>
  <si>
    <t>2.29</t>
  </si>
  <si>
    <t xml:space="preserve">Ploughing the existing ground and watering the same. </t>
  </si>
  <si>
    <t xml:space="preserve">Ploughing the existing ground to a depth of 15 cm to 25 cm and watering the same. </t>
  </si>
  <si>
    <t>2.29.1</t>
  </si>
  <si>
    <t>2.30</t>
  </si>
  <si>
    <t xml:space="preserve">Excavating holes more than 0.10 cum &amp; up to 0.5 cum including getting out the excavated soil, then returning the soil. </t>
  </si>
  <si>
    <t xml:space="preserve">Excavating holes more than 0.10 cum &amp; up to 0.5 cum including getting out the excavated soil, then returning the soil as required in layers not exceeding 20 cm in depth, including consolidating each deposited layer by ramming, watering etc, disposing of surplus excavated soil, as directed within a lead of 50 m and lift upto1.5 m. </t>
  </si>
  <si>
    <t>2.30.1</t>
  </si>
  <si>
    <t xml:space="preserve">No.  </t>
  </si>
  <si>
    <t xml:space="preserve">Each                                      </t>
  </si>
  <si>
    <t>2.30.2</t>
  </si>
  <si>
    <t>2.30.3</t>
  </si>
  <si>
    <t>2.30.4</t>
  </si>
  <si>
    <t>2.31</t>
  </si>
  <si>
    <t xml:space="preserve">Clearing jungle i/c uprooti- ng of rank vegetation,grass, brush wood,trees etc. </t>
  </si>
  <si>
    <t xml:space="preserve">Clearing jungle including uprooting of rank vegetation, grass, brush wood, trees and saplings of girth up to 30 cm measured at a height of 1 m above ground level and removal of rubbish up to a distance of 50m outside the periphery of the area cleared. </t>
  </si>
  <si>
    <t>2.32</t>
  </si>
  <si>
    <t xml:space="preserve">Clearing grass and removal of the rubbish </t>
  </si>
  <si>
    <t xml:space="preserve">Clearing grass and removal of the rubbish up to a distance of 50 m outside the periphery of the area cleared. </t>
  </si>
  <si>
    <t>2.33</t>
  </si>
  <si>
    <t xml:space="preserve">Felling of trees of the girth including cutting of trunks and branches </t>
  </si>
  <si>
    <t xml:space="preserve">Felling trees of the girth (measured at a height of 1 m above ground level) including cutting of trunks and branches, removing the roots and stacking of serviceable material and disposal of unserviceable material. </t>
  </si>
  <si>
    <t>2.33.1</t>
  </si>
  <si>
    <t xml:space="preserve">Beyond 30 cm girth up to 60 cm girth </t>
  </si>
  <si>
    <t xml:space="preserve">Beyond 30 cm girth up to and including 60 cm girth </t>
  </si>
  <si>
    <t>2.33.2</t>
  </si>
  <si>
    <t xml:space="preserve">Beyond 60 cm girth upto 120 cm girth </t>
  </si>
  <si>
    <t xml:space="preserve">Beyond 60 cm girth up to and including 120 cm girth </t>
  </si>
  <si>
    <t>2.33.3</t>
  </si>
  <si>
    <t xml:space="preserve">Beyond 120 cm girth up to and including 240 cm girth </t>
  </si>
  <si>
    <t>2.33.4</t>
  </si>
  <si>
    <t xml:space="preserve">Above 240 cm girth </t>
  </si>
  <si>
    <t>2.34</t>
  </si>
  <si>
    <t xml:space="preserve">Supplying chemical emulsion in sealed containers </t>
  </si>
  <si>
    <t xml:space="preserve">Supplying chemical emulsion in sealed containers including delivery as specified. </t>
  </si>
  <si>
    <t>2.34.1</t>
  </si>
  <si>
    <t xml:space="preserve">Chlorpyriphos/ Lindane emulsifiable concentrate of 20% </t>
  </si>
  <si>
    <t xml:space="preserve">Ltr  </t>
  </si>
  <si>
    <t xml:space="preserve">One Litre                                 </t>
  </si>
  <si>
    <t>2.35</t>
  </si>
  <si>
    <t xml:space="preserve">Diluting and injecting chemical emulsion for POST-CONSTRUCTIONAL anti- termite treatment </t>
  </si>
  <si>
    <t xml:space="preserve">Diluting and injecting chemical emulsion for POST-CONSTRUCTIONAL anti- termite treatment (excluding the cost of chemical emulsion) : </t>
  </si>
  <si>
    <t>2.35.1</t>
  </si>
  <si>
    <t xml:space="preserve">Along external wall where the apron is not provided using chemical emulsion @ 7.5 litres / sqm of the vertical surface </t>
  </si>
  <si>
    <t xml:space="preserve">Along external wall where the apron is not provided using chemical emulsion @ 7.5 litres / sqm of the vertical surface of the substructure to a depth of 300 mm including excavation channel along the wall &amp; rodding etc. complete: </t>
  </si>
  <si>
    <t>2.35.1.1</t>
  </si>
  <si>
    <t xml:space="preserve">With Chlorpyriphos/ Lindane E.C. 20% with 1% concentration. </t>
  </si>
  <si>
    <t>2.35.2</t>
  </si>
  <si>
    <t xml:space="preserve">Along the external wall below concrete or masonry apron </t>
  </si>
  <si>
    <t xml:space="preserve">Along the external wall below concrete or masonry apron using chemical emulsion @ 2.25 litres per linear metre including drilling and plugging holes etc. </t>
  </si>
  <si>
    <t>2.35.2.1</t>
  </si>
  <si>
    <t>2.35.3</t>
  </si>
  <si>
    <t xml:space="preserve">Treatment of soil under existing floors using chemical emulsion @ one litre per hole @300mm interval </t>
  </si>
  <si>
    <t xml:space="preserve">Treatment of soil under existing floors using chemical emulsion @ one litre per hole, 300 mm apart including drilling 12 mm diameter holes and plugging with cement mortar 1 :2 (1 cement : 2 Coarse sand) to match the existing floor : </t>
  </si>
  <si>
    <t>2.35.3.1</t>
  </si>
  <si>
    <t xml:space="preserve">With Chlorpyriphos/Lindane E.C. 20% with 1% concentration. </t>
  </si>
  <si>
    <t>2.35.4</t>
  </si>
  <si>
    <t xml:space="preserve">Treatment of existing masonry using chemical emulsion @ one litre per hole at 300 mm interval </t>
  </si>
  <si>
    <t xml:space="preserve">Treatment of existing masonry using chemical emulsion @ one litre per hole at 300 mm interval including drilling holes at 45 degree and plugging them with cement mortar 1:2 (1 cement : 2 coarse sand) to the full depth of the hole : </t>
  </si>
  <si>
    <t>2.35.4.1</t>
  </si>
  <si>
    <t>2.35.5</t>
  </si>
  <si>
    <t xml:space="preserve">Treatment at points of contact of wood work by chemical emulsion Chlorpyriphos/ Lindane @ 0.5litres per hole by drilling 6 mm dia holes </t>
  </si>
  <si>
    <t xml:space="preserve">Treatment at points of contact of wood work by chemical emulsion Chlorpyriphos/ Lindane (in oil or kerosene based solution) @ 0.5 litres per hole by drilling 6 mm dia holes at downward angle of 45 degree at 150 mm centre to centre and sealing the same. </t>
  </si>
  <si>
    <t>2.36</t>
  </si>
  <si>
    <t xml:space="preserve">Deduct for disposed soil not levelled and neatly dressed. </t>
  </si>
  <si>
    <t xml:space="preserve">Extra for levelling &amp; neatly dressing of disposed soil completely as directed by Engineer-in-Charge. </t>
  </si>
  <si>
    <t>2.37</t>
  </si>
  <si>
    <t xml:space="preserve">Supply and stacking of Fly ash at site (measured stacks will be reduced by 20% for payment). </t>
  </si>
  <si>
    <t xml:space="preserve">Supply and stacking of Fly ash conforming to IRC- 58 at site, including carriage, loading , unloading &amp; stacking up to any lead (measured stacks will be reduced by 20% for payment). </t>
  </si>
  <si>
    <t>2.38</t>
  </si>
  <si>
    <t xml:space="preserve">Filling with available fly ash and earth in trenches or embankment in layers with intermediate layer of compacted earth after every four layers of compacted depth of fly ash, sides &amp; top layer of filling shall be done with earth </t>
  </si>
  <si>
    <t xml:space="preserve">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-in- charge, including compacting each layer by rolling/ ramming and watering , all complete as per drawing and direction of Engineer -in - charge. </t>
  </si>
  <si>
    <t xml:space="preserve">Total of the Sub-Head - Earth Work :  </t>
  </si>
  <si>
    <t xml:space="preserve">        Sub-Head : Concrete Work</t>
  </si>
  <si>
    <t>4.1</t>
  </si>
  <si>
    <t xml:space="preserve">P/L in position CC all work upto plinth </t>
  </si>
  <si>
    <t xml:space="preserve">Providing and laying in position cement concrete of specified grade excluding the cost of centering and shuttering - All work up to plinth level : </t>
  </si>
  <si>
    <t>4.1.2</t>
  </si>
  <si>
    <t xml:space="preserve">1:1.5:3, 20 mm stone agg with coarse sand </t>
  </si>
  <si>
    <t xml:space="preserve">1:1½:3 (1 Cement: 1½ coarse sand(zone-III) derived from natural sources : 3 graded stone aggregate 20 mm nominal size derived from natural sources). </t>
  </si>
  <si>
    <t>4.1.2A</t>
  </si>
  <si>
    <t xml:space="preserve">1:1.5:3, aggregates derived from RCA up to 25% </t>
  </si>
  <si>
    <t xml:space="preserve">1:1.5:3 (1 Cement: 1.5 coarse sand(zone-III) including manufactured sand derived from Recycled concrete aggregate (RCA) up to 25% : 3 graded stone aggregate 20 mm nominal size incuding Recycled Concrete Aggregate (RCA) up to 25%). </t>
  </si>
  <si>
    <t>4.1.3</t>
  </si>
  <si>
    <t xml:space="preserve">1:2:4, 20 mm stone agg with coarse sand </t>
  </si>
  <si>
    <t xml:space="preserve">1:2:4 (1 cement : 2 coarse sand(zone-III) derived from natural sources : 4 graded stone aggregate 20 mm nominal size derived from natural sources) </t>
  </si>
  <si>
    <t>4.1.3A</t>
  </si>
  <si>
    <t xml:space="preserve">1:2:4, aggregates derived from RCA up to 25% </t>
  </si>
  <si>
    <t xml:space="preserve">1:2:4 (1 cement : 2 coarse sand(zone-III) including manufactured sand derived from Recycled concrete aggregate (RCA) up to 25% : 4 graded stone aggregate 20 mm nominal size including Recycled Concrete Aggregate (RCA) upto 25% ) </t>
  </si>
  <si>
    <t>4.1.4</t>
  </si>
  <si>
    <t xml:space="preserve">1:2:4, 40 mm stone agg with coarse sand </t>
  </si>
  <si>
    <t xml:space="preserve">1:2:4 (1 Cement : 2 coarse sand(zone-III) derived from natural sources : 4 graded stone aggregate 40 mm nominal size derived from natural sources). </t>
  </si>
  <si>
    <t>4.1.5</t>
  </si>
  <si>
    <t xml:space="preserve">1:3:6, 20 mm stone agg with coarse sand </t>
  </si>
  <si>
    <t xml:space="preserve">1:3:6 (1 Cement : 3 coarse sand(zone-III) derived from natural sources : 6 graded stone aggregate 20 mm nominal size derived from natural sources). </t>
  </si>
  <si>
    <t>4.1.5A</t>
  </si>
  <si>
    <t xml:space="preserve">1:3:6, aggregates derived from RCA up to 25% </t>
  </si>
  <si>
    <t xml:space="preserve">1:3:6 (1 Cement : 3 manufactured sand derived from Recycled Concrete Aggregate (RCA) : 6 graded stone aggregate 20 mm nominal size Recycled Concrete Aggregate (RCA)). </t>
  </si>
  <si>
    <t>4.1.5B</t>
  </si>
  <si>
    <t xml:space="preserve">1:3:6 (1 Cement : 3 manufactured sand derived from Recycled concrete Aggregate (RCA) : 6 graded stone aggregate 20 mm nominal size Recycled Aggregate (RA)). </t>
  </si>
  <si>
    <t>4.1.6</t>
  </si>
  <si>
    <t xml:space="preserve">1:3:6, 40 mm stone agg with coarse sand </t>
  </si>
  <si>
    <t xml:space="preserve">1:3:6 (1 Cement : 3 coarse sand(zone-III) derived from natural sources : 6 graded stone aggregate 40 mm nominal size derived from natural sources). </t>
  </si>
  <si>
    <t>4.1.6A</t>
  </si>
  <si>
    <t xml:space="preserve">1:3:6, 40 mm stone agg with coarse sand (RCA) </t>
  </si>
  <si>
    <t xml:space="preserve">1:3:6 (1 Cement : 3 manufactured sand derived from Recycled Concrete Aggregate (RCA) up to 25% : 6 graded stone aggregate 40 mm nominal size Recycled Aggregate (RA)). </t>
  </si>
  <si>
    <t>4.1.8</t>
  </si>
  <si>
    <t xml:space="preserve">1:4:8, 40 mm stone agg with coarse sand </t>
  </si>
  <si>
    <t xml:space="preserve">1:4:8 (1 Cement : 4 coarse sand (zone-III) derived from natural sources : 8 graded stone aggregate 40 mm nominal size derived from natural sources). </t>
  </si>
  <si>
    <t>4.1.8A</t>
  </si>
  <si>
    <t xml:space="preserve">1:4:8, 40 mm stone agg with coarse sand (RCA) </t>
  </si>
  <si>
    <t xml:space="preserve">1:4:8 (1 Cement : 4 manufactured sand derived from Recycled Concrete Aggregate (RCA) : 8 graded stone aggregate 40 mm nominal size Recycled Aggregate (RA)). </t>
  </si>
  <si>
    <t>4.1.10</t>
  </si>
  <si>
    <t xml:space="preserve">1:5:10, 40 mm stone agg with coarse sand </t>
  </si>
  <si>
    <t xml:space="preserve">1:5:10 (1 cement : 5 coarse sand (zone-III) derived from natural sources : 10 graded stone aggregate 40 mm nominal size derived from natural sources) </t>
  </si>
  <si>
    <t>4.1.10A</t>
  </si>
  <si>
    <t xml:space="preserve">1:5:10, 40 mm stone agg with coarse sand (RCA) </t>
  </si>
  <si>
    <t xml:space="preserve">1:5:10 (1 cement : 5 manufactured sand derived from Recycled Concrete Aggregate (RCA) : 10 graded stone aggregate 40 mm nominal size including Recycled Aggregate (RA)) </t>
  </si>
  <si>
    <t>4.1.11</t>
  </si>
  <si>
    <t xml:space="preserve">1:5:10, 40 mm stone agg with fine sand </t>
  </si>
  <si>
    <t xml:space="preserve">1:5:10 (1 cement : 5 fine sand derived from natural sources : 10 graded stone aggregate 40 mm nominal size derived from natural sources) </t>
  </si>
  <si>
    <t>4.1.12</t>
  </si>
  <si>
    <t xml:space="preserve">1:2:3.5:9, fly ash, cs, 40 mm stone agg </t>
  </si>
  <si>
    <t xml:space="preserve">1:2:3½:9 (1 ordinary portland cement : 2 Fly ash : 3½ coarse sand (zone-III) derived from natural sources : 9 graded stone aggregate 40 mm nominal size derived from natural sources). </t>
  </si>
  <si>
    <t>4.1.12A</t>
  </si>
  <si>
    <t xml:space="preserve">1:2:3.5:9, fly ash, cs, 40 mm stone agg (RCA) </t>
  </si>
  <si>
    <t xml:space="preserve">1:2:3½:9 (1 ordinary portland cement : 2 Fly ash : 3½ manufactured sand derived from Recycled Concrete Aggregate (RCA) : 9 graded stone aggregate 40 mm nominal size Recycled Aggregate (RA)). </t>
  </si>
  <si>
    <t>4.1.13</t>
  </si>
  <si>
    <t xml:space="preserve">1:2.5:4:11, fly ash, cs, 40 mm stone agg </t>
  </si>
  <si>
    <t xml:space="preserve">1:2½:4:11 (1 ordinary portland cement : 2½ fly ash : 4 coarse sand (zone-III) derived from natural sources) : 11 graded stone aggregate 40 mm nominal size derived from natural sources) </t>
  </si>
  <si>
    <t>4.1.13A</t>
  </si>
  <si>
    <t xml:space="preserve">1:2.5:4:11, fly ash, cs, 40 mm stone agg (RCA) </t>
  </si>
  <si>
    <t xml:space="preserve">1:2½:4:11 (1 ordinary portland cement : 2½ fly ash : 4 manufactured sand derived from Recycled Concrete Aggregate (RCA) : 11 graded stone aggregate 40 mm nominal size Recycled Aggregate (RA)) </t>
  </si>
  <si>
    <t>4.2</t>
  </si>
  <si>
    <t xml:space="preserve">P/L CC in retaining walls, columns, string, bad, coping upto floor 5 level </t>
  </si>
  <si>
    <t xml:space="preserve">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 </t>
  </si>
  <si>
    <t>4.2.2</t>
  </si>
  <si>
    <t xml:space="preserve">1 : 1.5 : 3 - 20 mm stone agg. with coarse sand. </t>
  </si>
  <si>
    <t xml:space="preserve">1:1½:3 (1 cement : 1½ coarse sand(zone-III) derived from natural sources : 3 graded stone aggregate 20 mm nominal size derived from natural sources). </t>
  </si>
  <si>
    <t>4.2.2A</t>
  </si>
  <si>
    <t xml:space="preserve">1 : 1.5 : 3 - 20 mm stone agg. with coarse sand. (RCA) </t>
  </si>
  <si>
    <t xml:space="preserve">1:1½:3 (1 cement : 1½ coarse sand (zone-III) including manufactured sand derived from Recycled Concrete Aggregate (RCA) up to 25% : 3 graded stone aggregate 20 mm nominal size including Recycled Concrete Aggregate (RCA) upto 25%). </t>
  </si>
  <si>
    <t>4.2.3</t>
  </si>
  <si>
    <t xml:space="preserve">1 : 2 : 4 - 20 mm stone agg. with coarse sand. </t>
  </si>
  <si>
    <t xml:space="preserve">1:2:4 (1 Cement : 2 coarse sand (zone-III) derived from natural sources : 4 graded stone aggregate 20 mm nominal size derived from natural sources) </t>
  </si>
  <si>
    <t>4.2.3A</t>
  </si>
  <si>
    <t xml:space="preserve">1 : 2 : 4 - 20 mm stone agg. with coarse sand. (RCA) </t>
  </si>
  <si>
    <t xml:space="preserve">1:2:4 (1 Cement : 2 coarse sand (zone-III) including manufactured sand derived from Recycled Concrete Aggregate (RCA) up to 25% : 4 graded stone aggregate 20 mm nominal size including Recycled Concrete Aggregate (RCA) upto 25%). </t>
  </si>
  <si>
    <t>4.2.5</t>
  </si>
  <si>
    <t xml:space="preserve">1 : 3 : 6 - 20 mm stone agg. with coarse sand. </t>
  </si>
  <si>
    <t xml:space="preserve">1:3:6 (1 cement : 3 coarse sand (zone-III) derived from natural sources : 6 graded stone aggregate 20 mm nominal size derived from natural sources). </t>
  </si>
  <si>
    <t>4.2.5A</t>
  </si>
  <si>
    <t xml:space="preserve">1 : 3 : 6 - 20 mm stone agg. with coarse sand. (RCA) </t>
  </si>
  <si>
    <t xml:space="preserve">1:3:6 (1 cement : 3 manufactured sand derived from Recycled Concrete Aggregate (RCA) : 6 graded stone aggregate 20 mm nominal size Recycled Concrete Aggregate (RCA)) </t>
  </si>
  <si>
    <t>4.2.5B</t>
  </si>
  <si>
    <t xml:space="preserve">1:3:6 (1 cement : 3 manufactured sand derived from Recycled Concrete Aggregate (RCA) : 6 graded stone aggregate 20 mm nominal size Recycled Aggregate (RA)). </t>
  </si>
  <si>
    <t>4.2.8</t>
  </si>
  <si>
    <t xml:space="preserve">1:5:10 (1 cement : 5 coarse sand : 10 graded stone aggregate 40 mm nominal size). </t>
  </si>
  <si>
    <t xml:space="preserve">1:5:10 (1 cement : 5 coarse sand (zone-III) derived from natural sources : 10 graded stone aggregate 40 mm nominal size derived from natural sources). </t>
  </si>
  <si>
    <t>4.2.8A</t>
  </si>
  <si>
    <t xml:space="preserve">1:5:10 (1 cement : 5 coarse sand : 10 graded stone aggregate 40 mm nominal size). RCA </t>
  </si>
  <si>
    <t xml:space="preserve">1:5:10 (1 cement : 5 manufactured sand derived from Recycled Concrete Aggregate (RCA) : 10 graded stone aggregate 40 mm nominal size Recycled Aggregate (RA)). </t>
  </si>
  <si>
    <t>4.3</t>
  </si>
  <si>
    <t xml:space="preserve">C/S i/c strutting for </t>
  </si>
  <si>
    <t xml:space="preserve">Centering and shuttering including strutting, propping etc. and removal of form work for : </t>
  </si>
  <si>
    <t>4.3.1</t>
  </si>
  <si>
    <t xml:space="preserve">Foundation, footing etc </t>
  </si>
  <si>
    <t xml:space="preserve">Foundations, footings, bases for columns. </t>
  </si>
  <si>
    <t>4.3.2</t>
  </si>
  <si>
    <t xml:space="preserve">walls etc </t>
  </si>
  <si>
    <t xml:space="preserve">Retaining walls, return walls, walls (any thickness) including attached pilasters, buttresses, plinth and string courses fillets, kerbs and steps etc.. </t>
  </si>
  <si>
    <t>4.3.3</t>
  </si>
  <si>
    <t xml:space="preserve">Columns etc </t>
  </si>
  <si>
    <t xml:space="preserve">Columns, piers, abutments, pillars, posts and struts. </t>
  </si>
  <si>
    <t>4.4</t>
  </si>
  <si>
    <t xml:space="preserve">P/L C.C. in kerb at near ground level: </t>
  </si>
  <si>
    <t xml:space="preserve">Providing and laying cement concrete in kerbs, steps and the like at or near ground level excluding the cost of centering, shuttering and finishing. </t>
  </si>
  <si>
    <t>4.4.1</t>
  </si>
  <si>
    <t xml:space="preserve">1:1½:3 coarse sand, 20 mm stone agg. </t>
  </si>
  <si>
    <t xml:space="preserve">1:1½:3 (1 Cement : 1½ coarse sand (zone-III) derived from natural sources : 3 graded stone aggregate 20 mm nominal size derived from natural sources). </t>
  </si>
  <si>
    <t>4.4.1A</t>
  </si>
  <si>
    <t xml:space="preserve">1:1½:3 aggregates derived from RCA </t>
  </si>
  <si>
    <t xml:space="preserve">1:1.5:3 (1 Cement : 1.5 coarse sand (zone-III) including manufactured sand derived from Recycled Concrete Aggregate (RCA) up to 25% : 3 graded stone aggregate 20 mm nominal size including Recycled Concrete Aggregate (RCA) upto 25%). </t>
  </si>
  <si>
    <t>4.5</t>
  </si>
  <si>
    <t xml:space="preserve">P/F upto floor five level pre- cast C.C. string or lacing courses, copings, bed plates, anchor blocks, plain window sills, shelves,louvers, steps, stair cases, etc. :- </t>
  </si>
  <si>
    <t xml:space="preserve">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t>
  </si>
  <si>
    <t>4.5.1</t>
  </si>
  <si>
    <t xml:space="preserve">1:1.5:3 (1 cement : 1.5 coarse sand (zone-III) derived from natural sources : 3 graded stone aggregate 20mm nominal size derived from natural sources). </t>
  </si>
  <si>
    <t>4.5.1A</t>
  </si>
  <si>
    <t xml:space="preserve">1 : 1.5 : 3 - 20 mm stone agg. with coarse sand. (aggregates from RCA) </t>
  </si>
  <si>
    <t xml:space="preserve">1:1.5:3 (1 cement : 1.5 coarse sand (zone-III) including manufactured sand derived from Recycled Concrete Aggregate (RCA) up to 25% : 3 graded stone aggregate 20mm nominal size Recycled Concrete Aggregate (RCA) up to 25%). </t>
  </si>
  <si>
    <t>4.6</t>
  </si>
  <si>
    <t xml:space="preserve">P/F in precast kerb at or near ground level with cm 1 : 3 . </t>
  </si>
  <si>
    <t xml:space="preserve">Providing and fixing at or near ground level precast cement concrete in kerbs, edgings etc. as per approved pattern and setting in position with cement mortar 1:3 (1 Cement : 3 coarse sand), including the cost of required centering, shuttering complete. </t>
  </si>
  <si>
    <t>4.6.1</t>
  </si>
  <si>
    <t xml:space="preserve">P/L C.C. 1:1½:3 in kerb at ground level . </t>
  </si>
  <si>
    <t>4.6.1A</t>
  </si>
  <si>
    <t xml:space="preserve">P/L C.C. 1:1½:3 in kerb at ground level . - Aggregates derived from RCA </t>
  </si>
  <si>
    <t xml:space="preserve">1:1.5:3 (1 Cement : 1.5 coarse sand (zone-III) including manufactured sand derived from Recycled Concrete Aggregate (RCA) up to 25% : 3 graded stone aggregate 20 mm nominal size Recycled Concrete Aggregate (RCA) up to 25%). </t>
  </si>
  <si>
    <t>4.7</t>
  </si>
  <si>
    <t xml:space="preserve">P/F upto floor five level pre- cast C.C. solid block i/c hoisting and setting with C.M. 1 : 3 : </t>
  </si>
  <si>
    <t xml:space="preserve">Providing and fixing up to floor five level precast cement concrete solid block including hoisting and setting in position with cement mortar 1:3 (1 cement : 3 coarse sand), cost of required centering, shuttering complete : </t>
  </si>
  <si>
    <t>4.7.1</t>
  </si>
  <si>
    <t xml:space="preserve">1:1½:3 - 20 mm stone agg. with coarse sand. </t>
  </si>
  <si>
    <t>4.7.1A</t>
  </si>
  <si>
    <t xml:space="preserve">1:1½:3 - 20 mm stone agg. with coarse sand. Aggregates derived from RCA. </t>
  </si>
  <si>
    <t xml:space="preserve">1:1.5:3 (1 Cement : 1.5 coarse sand (zone-III) including manufactured sand derived from Recycled Concrete Aggregate (RCA) up to 25% : 3 graded stone aggregate 20 mm nominal size including (Recycled Concrete Aggregate (RCA) up to 25%). </t>
  </si>
  <si>
    <t>4.8</t>
  </si>
  <si>
    <t xml:space="preserve">P/F upto floor five level pre- cast C.C. hollow block i/c hoisting and setting with C.M. 1 : 3. </t>
  </si>
  <si>
    <t xml:space="preserve">Providing and fixing up to floor five level precast cement concrete hollow block including hoisting and setting in position with cement mortar 1:3 (1 cement : 3 coarse sand), cost of required centering, shuttering complete. </t>
  </si>
  <si>
    <t>4.8.1</t>
  </si>
  <si>
    <t>4.8.1A</t>
  </si>
  <si>
    <t xml:space="preserve">1:1½:3 - 20 mm stone agg. with coarse sand. (aggregates derived from RCA) </t>
  </si>
  <si>
    <t>4.9</t>
  </si>
  <si>
    <t xml:space="preserve">Precasting and Placing 125 mm dia. Bollards 600 mm high i/c providing MS Pipe Sleeve 50 mm ,300mm long in the Bollard and MS pipe 40 mm, 450mm long with 150x150 x 6 mm MS plate welded at bottom. </t>
  </si>
  <si>
    <t xml:space="preserve">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derived from natural sources : 6 graded stone aggregate 20 mm nominal size derived from natural sources), including necessary excavation of size 250x250x450mm deep for the same in bitumen/ concrete pavement at specified spacing. </t>
  </si>
  <si>
    <t>4.9A</t>
  </si>
  <si>
    <t xml:space="preserve">Precasting and placing in position 125 mm dia Bollards 600 mm high - M.S. Pipe Sleeve 50 mm dia 300 mm long embedded 150mm in CC 1:3:6 aggregates derived from RCA </t>
  </si>
  <si>
    <t xml:space="preserve">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Concrete Aggregate (RCA)), including necessary excavation of size 250x250x450mm deep for the same in bitumen/ concrete pavement at specified spacing. </t>
  </si>
  <si>
    <t>4.9B</t>
  </si>
  <si>
    <t xml:space="preserve">Precasting and placing in position 125 mm dia Bollards 600 mm high - M.S. Pipe Sleeve 50 mm dia 300 mm long in the Bollard embedded in CC 1:3:6 materials derived from RCA. </t>
  </si>
  <si>
    <t xml:space="preserve">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manufactured sand derived from Recycled Concrete Aggregate (RCA) : 6 graded stone aggregate 20 mm nominal size (Recycled Aggregate (RA), including necessary excavation of size 250x250x450mm deep for the same in bitumen/ concrete pavement at specified spacing. </t>
  </si>
  <si>
    <t>4.10</t>
  </si>
  <si>
    <t xml:space="preserve">P/L DPC 40 mm CC 1:2:4 </t>
  </si>
  <si>
    <t xml:space="preserve">Providing and laying damp-proof course 40mm thick with cement concrete 1:2:4 (1 cement : 2 coarse sand (zone-III) derived from natural sources : 4 graded stone aggregate 12.5mm nominal size derived from natural sources). </t>
  </si>
  <si>
    <t>4.10A</t>
  </si>
  <si>
    <t xml:space="preserve">Providing and laying damp-proof course 40mm thick with cement concrete 1:2:4 (1 cement : 2 coarse sand (zone-III) including manufactured sand derived from Recycled Concrete Aggregate (RCA) up to 25% : 4 graded stone aggregate 12.5mm nominal size including (Recycled Concrete Aggregate (RCA) up to 25%)). </t>
  </si>
  <si>
    <t>4.11</t>
  </si>
  <si>
    <t xml:space="preserve">P/F DPC 50 mm CC 1:2:4 </t>
  </si>
  <si>
    <t xml:space="preserve">Providing and laying damp-proof course 50mm thick with cement concrete 1:2:4 (1 cement : 2 coarse sand (zone-III) derived from natural sources : 4 graded stone aggregate 20mm nominal size derived from natural sources). </t>
  </si>
  <si>
    <t>4.11A</t>
  </si>
  <si>
    <t xml:space="preserve">P/F DPC 50 mm CC 1:2:4 aggregates from RCA. </t>
  </si>
  <si>
    <t xml:space="preserve">Providing and laying damp-proof course 50mm thick with cement concrete 1:2:4 (1 cement : 2 coarse sand (zone-III) including manufactured sand derived from Recycled Concrete Aggregate (RCA) up to 25% : 4 graded stone aggregate 20mm nominal size (Recycled concrete aggregate (RCA) up to 25%)). </t>
  </si>
  <si>
    <t>4.12</t>
  </si>
  <si>
    <t xml:space="preserve">Extra for water proofing material in CC work </t>
  </si>
  <si>
    <t xml:space="preserve">Extra for providing and mixing water proofing material in cement concrete work in doses by weight of cement as per manufacturer’s specification. </t>
  </si>
  <si>
    <t>units</t>
  </si>
  <si>
    <t xml:space="preserve">per bag of 50 kg cement used              </t>
  </si>
  <si>
    <t>4.13</t>
  </si>
  <si>
    <t xml:space="preserve">Applying a coat of residual bitumen 80/100 on DPC </t>
  </si>
  <si>
    <t xml:space="preserve">Providing and applying a coat of residual petroleum bitumen of grade of VG-10 of approved quality using 1.7 kg per square metre on damp proof course after cleaning the surface with brushes and finally with a piece of cloth lightly soaked in kerosene oil. </t>
  </si>
  <si>
    <t>4.14</t>
  </si>
  <si>
    <t xml:space="preserve">Extra for concrete work in SS above floor V </t>
  </si>
  <si>
    <t xml:space="preserve">Extra for concrete work in superstructure above floor V level for each four floors or part thereof by mechanical means. </t>
  </si>
  <si>
    <t>4.15</t>
  </si>
  <si>
    <t xml:space="preserve">Extra for laying concrete in or under water and/or liquid mud </t>
  </si>
  <si>
    <t xml:space="preserve">Extra for laying concrete in or under water and/or liquid mud including cost of pumping or bailing out water and removing slush etc. complete. Note for item No. 4.15 :- The quantity will be calculated by multiplying the depth measured from the sub-soil water level up to centre of gravity of concrete under sub-soil water level with quantity of concrete in cum executed under sub-soil water. The depth of centre of gravity shall be reckoned correct to 0.1m. (0.05m or more shall be taken as 0.1m and less than0.05m ignored). </t>
  </si>
  <si>
    <t xml:space="preserve">cum per metre depth                       </t>
  </si>
  <si>
    <t>4.16</t>
  </si>
  <si>
    <t xml:space="preserve">Extra for CC in or under foul position </t>
  </si>
  <si>
    <t xml:space="preserve">Extra for laying concrete in or under foul positions. </t>
  </si>
  <si>
    <t>4.17</t>
  </si>
  <si>
    <t xml:space="preserve">Making plinth protection 50 mm thick of CC 1: 3: 6 over 75 mm bed of dry brick ballast 40 mm nominal size. </t>
  </si>
  <si>
    <t xml:space="preserve">Making plinth protection 50mm thick of cement concrete 1:3:6 (1 cement : 3 coarse sand (zone-III) derived from natural sources : 6 graded stone aggregate 20 mm nominal size derived from natural sources) over 75mm thick bed of dry brick ballast 40 mm nominal size, well rammed and consolidated and grouted with fine sand, including necessary excavation leveling &amp; dressing &amp; finishing the top smooth. </t>
  </si>
  <si>
    <t>4.17A</t>
  </si>
  <si>
    <t xml:space="preserve">Making plinth protection 50 mm thick of CC 1: 3: 6 over 75 mm bed of dry brick ballast 40 mm nominal size. (aggregates from RCA) </t>
  </si>
  <si>
    <t xml:space="preserve">Making plinth protection 50mm thick of cement concrete 1:3:6 (1 cement : 3 manufactured sand derived from Recycled Concrete Aggregate (RCA) : 6 graded stone aggregate 20 mm nominal size Recycled Concrete Aggregate (RCA) over 75mm thick bed of dry brick ballast 40 mm nominal size, well rammed and consolidated and grouted with fine sand, including necessary excavation leveling &amp; dressing &amp; finishing the top smooth. </t>
  </si>
  <si>
    <t>4.17B</t>
  </si>
  <si>
    <t>4.18</t>
  </si>
  <si>
    <t xml:space="preserve">Extra for addition of synthetic polyester triangular fibre in cement concrete/ RCC/ Flooring /water retaining structures etc., </t>
  </si>
  <si>
    <t xml:space="preserve">Extra for addition of synthetic Polyester triangular fiber of length 12mm, effective diameter 10-40 microns and specific gravity of 1.34 to 1.40 in cement concrete/ RCC/ Flooring/ water retaining structures by using 125 gram of synthetic Polyester triangular fiber for 50 Kg cement used as per direction of Engineer-in-Charge. </t>
  </si>
  <si>
    <t xml:space="preserve">Per Bag of 50Kg. of cement                </t>
  </si>
  <si>
    <t>4.20</t>
  </si>
  <si>
    <t xml:space="preserve">P/L RMC approved design mix and manufactured in fully automatic batching plant and transported to site </t>
  </si>
  <si>
    <t xml:space="preserve">Providing and laying in position ready mixed or site batched design mix cement concrete for plain cement concrete work; using coarse aggregate and fine aggregate derived from natural sources, Portland Pozzolana/Ordinary Portland/Portland Slag cement, admixtures in recommended proportions as per IS : 9103 to accelerate/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t>
  </si>
  <si>
    <t xml:space="preserve">Note : Extra cement upto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</si>
  <si>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4.20.1</t>
  </si>
  <si>
    <t xml:space="preserve">All works up to plinth level. </t>
  </si>
  <si>
    <t xml:space="preserve">All works up to plinth level: </t>
  </si>
  <si>
    <t>4.20.1.1</t>
  </si>
  <si>
    <t xml:space="preserve">M-15 grade plain cement concrete (cement content considered @ 240 kg/cum). </t>
  </si>
  <si>
    <t xml:space="preserve">Concrete of M-10 grade with minimum cement content of 220 kg/cum. </t>
  </si>
  <si>
    <t>4.20.1.2</t>
  </si>
  <si>
    <t xml:space="preserve">M-10 grade plain cement concrete (cement content considered @ 220 kg/cum). </t>
  </si>
  <si>
    <t xml:space="preserve">Concrete of M-15 grade with minimum cement content of 240 kg/cum. </t>
  </si>
  <si>
    <t>4.20.1.3</t>
  </si>
  <si>
    <t xml:space="preserve">Concrete of M20 grade with minimum cement content of 270 kg /cum </t>
  </si>
  <si>
    <t>4.20.1.4</t>
  </si>
  <si>
    <t xml:space="preserve">Concrete of M25 grade with minimum cementcontent of 300 kg /cum </t>
  </si>
  <si>
    <t xml:space="preserve">Concrete of M25 grade with minimum cement content of 300 kg /cum </t>
  </si>
  <si>
    <t>4.20.2</t>
  </si>
  <si>
    <t xml:space="preserve">All works above plinth and up to floor V level. </t>
  </si>
  <si>
    <t xml:space="preserve">All works above plinth and upto floor V level : </t>
  </si>
  <si>
    <t>4.20.2.1</t>
  </si>
  <si>
    <t xml:space="preserve">M-15 grade plain cement concrete. (cement content considered @ 240 kg. /cum). </t>
  </si>
  <si>
    <t>4.20.2.2</t>
  </si>
  <si>
    <t>4.20.2.3</t>
  </si>
  <si>
    <t xml:space="preserve">Concrete of M20 grade with minimum cementcontent of 270 kg /cum </t>
  </si>
  <si>
    <t>4.20.2.4</t>
  </si>
  <si>
    <t>4.20A</t>
  </si>
  <si>
    <t xml:space="preserve">P/L design mix RMC for PCC work </t>
  </si>
  <si>
    <t xml:space="preserve">Providing and laying in position ready mixed or site batched design mix cement concrete for plain cement concrete work; using coarse aggregate and fine aggregate derived from natural sources and using recycled concrete aggregate (RCA) as coarse aggregate and fine aggregate within the permissible utilization, Portland Pozzolana /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and finishing as per direction of the engineer-in-charge; for the following grades of concrete. </t>
  </si>
  <si>
    <t xml:space="preserve">Note: Extra cement up to 10% of the minimum specified cement content in design mix shall be payable separately. In case the cement content in design mix is more than 110% of the minimum specified cement content, the contractor shall have discretion to either re-design the mix or bear the cost of extra cement. </t>
  </si>
  <si>
    <t>4.20A.1</t>
  </si>
  <si>
    <t xml:space="preserve">All works upto plinth level </t>
  </si>
  <si>
    <t>4.20A.1.1</t>
  </si>
  <si>
    <t xml:space="preserve">Concrete of M10 grade with minimum cementcontent of 220 kg /cum. </t>
  </si>
  <si>
    <t xml:space="preserve">Concrete of M10 grade with minimum cement content of 220 kg /cum. </t>
  </si>
  <si>
    <t xml:space="preserve">(Note: The permissible utilization of Recycled Concrete Aggregate (RCA) as coarse aggregate and fine aggregate is 100% each). </t>
  </si>
  <si>
    <t>4.20A.1.2</t>
  </si>
  <si>
    <t xml:space="preserve">Concrete of M15 grade with minimum cementcontent of 240 kg /cum. </t>
  </si>
  <si>
    <t xml:space="preserve">(Note: The permissible utilization of Recycled Concrete Aggregate (RCA) as coarse aggregate and fine aggregate is 25% each). </t>
  </si>
  <si>
    <t>4.20A.1.3</t>
  </si>
  <si>
    <t xml:space="preserve">Concrete of M20 grade with minimum cementcontent of 270 kg /cum. </t>
  </si>
  <si>
    <t xml:space="preserve">Concrete of M20 grade with minimum cement content of 270 kg /cum. </t>
  </si>
  <si>
    <t xml:space="preserve">(Note:The permissible utilization of RecycledConcrete Aggregate (RCA) as coarse aggregate and fine aggregate is 25% each). </t>
  </si>
  <si>
    <t>4.20A.1.4</t>
  </si>
  <si>
    <t xml:space="preserve">Concrete of M25 grade with minimum cementcontent of 300 kg /cum. </t>
  </si>
  <si>
    <t xml:space="preserve">Concrete of M25 grade with minimum cement content of 300 kg /cum. </t>
  </si>
  <si>
    <t>4.20A.2</t>
  </si>
  <si>
    <t xml:space="preserve">All works above plinth and upto floor V level </t>
  </si>
  <si>
    <t>4.20A.2.1</t>
  </si>
  <si>
    <t>4.20A.2.2</t>
  </si>
  <si>
    <t xml:space="preserve">Concrete of M15 grade with minimum cement content of 240 kg /cum. </t>
  </si>
  <si>
    <t>4.20A.2.3</t>
  </si>
  <si>
    <t>4.20A.2.4</t>
  </si>
  <si>
    <t xml:space="preserve">Total of the Sub-Head - Concrete Work :  </t>
  </si>
  <si>
    <t xml:space="preserve">        Sub-Head : Reinforced Cement Concrete</t>
  </si>
  <si>
    <t>5.1</t>
  </si>
  <si>
    <t xml:space="preserve">P/L RCC all work upto plinth level </t>
  </si>
  <si>
    <t xml:space="preserve">Providing and laying in position specified grade of reinforced cement concrete, excluding the cost of centering, shuttering, finishing and reinforcement - All work up to plinth level : </t>
  </si>
  <si>
    <t>5.1.2</t>
  </si>
  <si>
    <t xml:space="preserve">1 : 1.5 : 3 - using 20 mm stone aggregate and coarse sand. </t>
  </si>
  <si>
    <t xml:space="preserve">1:1.5:3 (1 cement : 1.5 coarse sand (zone-III) derived from natural sources : 3 graded stone aggregate 20 mm nominal size derived from natural sources) </t>
  </si>
  <si>
    <t>5.1.2A</t>
  </si>
  <si>
    <t xml:space="preserve">1 : 1.5 : 3 - using 20 mm stone aggregate and coarse sand. (aggregate from RCA up to 20%) </t>
  </si>
  <si>
    <t xml:space="preserve">1:1.5:3 (1 cement : 1.5 coarse sand (zone-III) including manufactured sand derived from Recycled Concrete Aggregate (RCA) up to 20% : 3 graded stone aggregate 20 mm nominal size of Recycled Concrete Aggregate (RCA) up to 20%) </t>
  </si>
  <si>
    <t>5.1.3</t>
  </si>
  <si>
    <t xml:space="preserve">1 : 2 : 4 - 20 mm stone aggregate from natural resources and coarse sand. </t>
  </si>
  <si>
    <t xml:space="preserve">1:2:4 (1 cement : 2 coarse sand (zone-III) derived from natural sources : 4 graded stone aggregate 20 mm nominal size derived from natural sources) </t>
  </si>
  <si>
    <t>5.1.3A</t>
  </si>
  <si>
    <t xml:space="preserve">1 : 2 : 4 - 20 mm stone aggregate from Recycled Concrete Aggregate and coarse sand. </t>
  </si>
  <si>
    <t xml:space="preserve">1:2:4 (1 cement : 2 coarse sand incuding manufactured sand derived from Recycled Concrete Aggregate (RCA) upto 20% : 4graded stone aggregate 20 mm nominal size of Recycled Concrete Aggregate (RCA) upto 20%). </t>
  </si>
  <si>
    <t>5.2</t>
  </si>
  <si>
    <t xml:space="preserve">RCC in Walls, columns etc upto floor 5 level </t>
  </si>
  <si>
    <t xml:space="preserve">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t>
  </si>
  <si>
    <t>5.2.2</t>
  </si>
  <si>
    <t xml:space="preserve">1 : 1.5: 3 - 20 mm stone aggregate from natural resources with coarse sand. </t>
  </si>
  <si>
    <t xml:space="preserve">1:1.5:3 (1 cement : 1.5 coarse sand(zone-III)derived from natural sources : 3 graded stone aggregate 20 mm nominal size derived from natural sources) </t>
  </si>
  <si>
    <t>5.2.2A</t>
  </si>
  <si>
    <t xml:space="preserve">1 : 1.5 : 3 - 20 mm stone aggregate from RCA upto 20% and coarse sand manufactured sand derived from RCA upto 20% </t>
  </si>
  <si>
    <t xml:space="preserve">1:1.5:3 (1 cement : 1.5 coarse sand incuding manufactured sand derived from Recycled Concrete Aggregate (RCA) upto 20% : 3 graded stone aggregate 20 mm nominal size including Recycled Concrete Aggregate (RCA) upto 20% . </t>
  </si>
  <si>
    <t>5.3</t>
  </si>
  <si>
    <t xml:space="preserve">RCC in beams, suspended floors roofs, etc with 1 : 1.5 : 3 upto floor 5 level </t>
  </si>
  <si>
    <t xml:space="preserve">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sand(zone-III)derived from natural sources : 3 graded stone aggregate 20 mm nominal sizederived from natural sources). </t>
  </si>
  <si>
    <t>5.3A</t>
  </si>
  <si>
    <t xml:space="preserve">RCC in beams, suspended floors roofs, etc with 1 : 1.5 : 3 upto floor 5 level (20 mm stone aggregate from RCA upto 20% and coarse sand manufactured sand derived from RCA upto 20%) </t>
  </si>
  <si>
    <t xml:space="preserve">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 including manufactured sand derived from Recycled Concrete Aggregate (RCA) upto 20% : 3 graded stone aggregate 20 mm nominal size including Recycled Concrete Aggregate (RCA) upto 20%). </t>
  </si>
  <si>
    <t>5.4</t>
  </si>
  <si>
    <t xml:space="preserve">P/L RCC in kerbs, steps and the like upto floor five level with 1:1.5:3 (Aggregate from natural resources) </t>
  </si>
  <si>
    <t xml:space="preserve">Providing and laying reinforced cement concrete in kerbs, steps and the like at or near ground level excluding the cost of centering, shuttering, finishing and reinforcement with 1:1.5:3 (1 cement : 1.5 coarse sand(zone-III) derived from natural sources : 3 graded stone aggregate 20 mm nominal size derived from natural sources ). </t>
  </si>
  <si>
    <t>5.4A</t>
  </si>
  <si>
    <t xml:space="preserve">P/L RCC in kerbs, steps and the like upto floor five level with 1:1.5:3 (Aggregates from RCA upto 20%) </t>
  </si>
  <si>
    <t xml:space="preserve">Providing and laying reinforced cement concrete in kerbs, steps and the like at or near ground level excluding the cost of centering, shuttering, finishing and reinforcement with 1:1.5:3 (1 cement : 1.5 coarse sand including manufactured sand derived from Recycled Concrete Aggregate (RCA) upto 20% : 3 graded stone aggregate 20 mm nominal size including Recycled Concrete Aggregate (RCA) upto 20%). </t>
  </si>
  <si>
    <t>5.5</t>
  </si>
  <si>
    <t xml:space="preserve">P/L RCC in arches, archribs, domes, vaults etc., upto floor five level with 1:1.5:3 (Aggregates from natural resources) </t>
  </si>
  <si>
    <t xml:space="preserve">Reinforced cement concrete work in arches, archribs, domes, vaults, shells, folded plate and roofs having slope more than 15° up to floor five level, excluding the cost of centering, shuttering, finishing and reinforcement with 1:1.5:3 (1 cement : 1.5 coarse sand (zone-III)derived from natural sources : 3 graded stone aggregate 20 mm nominal size derived from natural sources ). </t>
  </si>
  <si>
    <t>5.5A</t>
  </si>
  <si>
    <t xml:space="preserve">P/L RCC in arches, archribs, domes, vaults etc., upto floor five level with 1:1.5:3 (Aggregates from RCA upto 20%) </t>
  </si>
  <si>
    <t xml:space="preserve">Reinforced cement concrete work in arches, archribs, domes, vaults, shells, folded plate and roofs having slope more than 15° up to floor five level, excluding the cost of centering, shuttering, finishing and reinforcement with 1:1.5:3 (1 cement : 1.5 coarse sand including manufactured sand derived from Recycled Concrete Aggregate (RCA)upto 20% : 3 graded stone aggregate 20 mm nominal size including Recycled Concrete Aggregate (RCA) upto 20% ). </t>
  </si>
  <si>
    <t>5.6</t>
  </si>
  <si>
    <t xml:space="preserve">P/L RCC in chimneys, shafts upto floor five level with 1:1.5:3 (Aggregates from natural resources) </t>
  </si>
  <si>
    <t xml:space="preserve">Reinforced cement concrete work in chimneys, shafts, up to floor five level, excluding the cost of centering, shuttering, finishing and reinforcement with 1:1.5:3 (1 cement : 1.5 coarse sand(zone-III) derived from natural sources: 3 graded stone aggregate 20 mm nominal size derived from natural sources). </t>
  </si>
  <si>
    <t>5.6A</t>
  </si>
  <si>
    <t xml:space="preserve">P/L RCC in chimneys, shafts upto floor five level with 1:1.5:3 (Aggregates from RCA upto 20%) </t>
  </si>
  <si>
    <t xml:space="preserve">Reinforced cement concrete work in chimneys, shafts, up to floor five level, excluding the cost of centering, shuttering, finishing and reinforcement with 1:1.5:3 (1 cement : 1.5 coarse sand including manufactured sand derived from Recycled Concrete Aggregate (RCA)upto 20% : 3 graded stone aggregate 20 mm nominal size including Recycled Concrete Aggregate (RCA) upto 20%). </t>
  </si>
  <si>
    <t>5.7</t>
  </si>
  <si>
    <t xml:space="preserve">P/L RCC in well-steining with 1:1.5:3 (Aggregates from natural resources) </t>
  </si>
  <si>
    <t xml:space="preserve">Reinforced cement concrete work in well-steining, excluding the cost of centering, shuttering, finishing and reinforcement with 1:1.5:3 (1 cement : 1.5 coarse sand(zone-III) derived from natural sources: 3 graded stone aggregate 20 mm nominal sizederived from natural sources). </t>
  </si>
  <si>
    <t>5.7A</t>
  </si>
  <si>
    <t xml:space="preserve">P/L RCC in well-steining with 1:1.5:3 (Aggregates from RCA upto 20% ) </t>
  </si>
  <si>
    <t xml:space="preserve">Reinforced cement concrete work in well-steining, excluding the cost of centering, shuttering, finishing and reinforcement with 1:1.5:3 (1 cement : 1.5 coarse sand including manufactured sand derived from Recycled Concrete Aggregate (RCA) upto 20%: 3 graded stone aggregate 20 mm nominal size including Recycled Concrete Aggregate (RCA) upto 20%). </t>
  </si>
  <si>
    <t>5.8</t>
  </si>
  <si>
    <t xml:space="preserve">RCC in fins, forming box with 1:1.5:3 upto floor 5 level (Aggregates from natural resources) </t>
  </si>
  <si>
    <t xml:space="preserve">Reinforced cement concrete work in vertical and horizontal fins individually or forming box louvers, facias and eaves boards above plinth level up to floor five level, excluding the cost of centering, shuttering, finishing and reinforcement with 1:1.5:3 (1 cement : 1.5 coarse sand(zone-III)derived from natural sources : 3 graded stone aggregate 20mm nominal size derived from natural sources). </t>
  </si>
  <si>
    <t>5.8A</t>
  </si>
  <si>
    <t xml:space="preserve">RCC in fins, forming box with 1:1.5:3 upto floor 5 level (Aggregates from RCA upto 20% ) </t>
  </si>
  <si>
    <t xml:space="preserve">Reinforced cement concrete work in vertical and horizontal fins individually or forming box louvers, facias and eaves boards above plinth level up to floor five level, excluding the cost of centering, shuttering, finishing and reinforcement with 1:1.5:3 (1 cement : 1.5 coarse sand including manufactured sand derived from Recycled Concrete Aggregate (RCA)upto 20% : 3 graded stone aggregate 20mm nominal sized including Recycled Concrete Aggregate (RCA)upto 20%). </t>
  </si>
  <si>
    <t>5.9</t>
  </si>
  <si>
    <t xml:space="preserve">C/S i/c strutting, propping etc at all level </t>
  </si>
  <si>
    <t xml:space="preserve">Centering and shuttering including strutting, propping etc. and removal of form for : </t>
  </si>
  <si>
    <t>5.9.1</t>
  </si>
  <si>
    <t xml:space="preserve">Foundations, footings, bases of columns, etc. for mass concrete. </t>
  </si>
  <si>
    <t xml:space="preserve">Foundations, footings, bases of columns, etc. for mass concrete </t>
  </si>
  <si>
    <t>5.9.2</t>
  </si>
  <si>
    <t xml:space="preserve">Walls, plinth and string courses etc </t>
  </si>
  <si>
    <t xml:space="preserve">Walls (any thickness) including attached pilasters, butteresses, plinth and string courses etc. </t>
  </si>
  <si>
    <t>5.9.3</t>
  </si>
  <si>
    <t xml:space="preserve">Suspended floor, roofs etc </t>
  </si>
  <si>
    <t xml:space="preserve">Suspended floors, roofs, landings, balconies and access platform </t>
  </si>
  <si>
    <t>5.9.4</t>
  </si>
  <si>
    <t xml:space="preserve">Shelves (Cast in situ) </t>
  </si>
  <si>
    <t>5.9.5</t>
  </si>
  <si>
    <t xml:space="preserve">Lintels, beams etc </t>
  </si>
  <si>
    <t xml:space="preserve">Lintels, beams, plinth beams, girders, bressumers and cantilevers </t>
  </si>
  <si>
    <t>5.9.6</t>
  </si>
  <si>
    <t xml:space="preserve">Columns, Pillars, Piers, Abutments, Posts and Struts </t>
  </si>
  <si>
    <t>5.9.7</t>
  </si>
  <si>
    <t xml:space="preserve">Stair (excluding landing). </t>
  </si>
  <si>
    <t xml:space="preserve">Stairs, (excluding landings) except spiral-staircases </t>
  </si>
  <si>
    <t>5.9.8</t>
  </si>
  <si>
    <t xml:space="preserve">Spiral staircases </t>
  </si>
  <si>
    <t xml:space="preserve">Spiral staircases (including landing) </t>
  </si>
  <si>
    <t>5.9.9</t>
  </si>
  <si>
    <t xml:space="preserve">Arches, domes etc </t>
  </si>
  <si>
    <t xml:space="preserve">Arches, domes, vaults up to 6 m span </t>
  </si>
  <si>
    <t>5.9.10</t>
  </si>
  <si>
    <t xml:space="preserve">Extra for arches, domes etc exceeding 6 metre span </t>
  </si>
  <si>
    <t xml:space="preserve">Extra for arches, domes, vaults exceeding 6 m span </t>
  </si>
  <si>
    <t>5.9.11</t>
  </si>
  <si>
    <t xml:space="preserve">Chimneys and shafts. </t>
  </si>
  <si>
    <t xml:space="preserve">Chimneys and shafts </t>
  </si>
  <si>
    <t>5.9.12</t>
  </si>
  <si>
    <t xml:space="preserve">Well steining. </t>
  </si>
  <si>
    <t xml:space="preserve">Well steining </t>
  </si>
  <si>
    <t>5.9.13</t>
  </si>
  <si>
    <t xml:space="preserve">Vertical and horizental fins. </t>
  </si>
  <si>
    <t xml:space="preserve">Vertical and horizontal fins individually or forming box louvers band, facias and eaves boards </t>
  </si>
  <si>
    <t>5.9.15</t>
  </si>
  <si>
    <t xml:space="preserve">Small lintels 1.5 m span coping etc </t>
  </si>
  <si>
    <t xml:space="preserve">Small lintels not exceeding 1.5 m clear span, moulding as in cornices, window sills, string courses, bands, copings, bed plates, anchor blocks and the like </t>
  </si>
  <si>
    <t>5.9.16</t>
  </si>
  <si>
    <t xml:space="preserve">Edges of slabs and breaks in floors and walls </t>
  </si>
  <si>
    <t>5.9.16.1</t>
  </si>
  <si>
    <t xml:space="preserve">Under 20 cm wide </t>
  </si>
  <si>
    <t xml:space="preserve">One Running Metre                         </t>
  </si>
  <si>
    <t>5.9.16.2</t>
  </si>
  <si>
    <t xml:space="preserve">Above 20 cm wide </t>
  </si>
  <si>
    <t>5.9.17</t>
  </si>
  <si>
    <t xml:space="preserve">Cornices and mouldings </t>
  </si>
  <si>
    <t>5.9.18</t>
  </si>
  <si>
    <t xml:space="preserve">Small surfaces such as canti- lever ends, brackets etc </t>
  </si>
  <si>
    <t xml:space="preserve">Small surfaces such as cantilever ends, brackets and ends of steps, caps and bases to pilasters and columns and the like </t>
  </si>
  <si>
    <t>5.9.19</t>
  </si>
  <si>
    <t xml:space="preserve">Weather shade etc </t>
  </si>
  <si>
    <t xml:space="preserve">Weather shade, Chajjas, corbels etc., including edges </t>
  </si>
  <si>
    <t>5.9.20</t>
  </si>
  <si>
    <t xml:space="preserve">suspended floors etc with 12 mm water proof ply </t>
  </si>
  <si>
    <t xml:space="preserve">Suspended floors, roofs, landings, balconies and access platform with water proof ply 12 mm thick </t>
  </si>
  <si>
    <t>5.9.21</t>
  </si>
  <si>
    <t xml:space="preserve">lintel, beams etc with 12 mm water proof ply </t>
  </si>
  <si>
    <t xml:space="preserve">Lintels, beams, plinth beams, girders, bressumers and cantilevers with water proof ply 12 mm thick </t>
  </si>
  <si>
    <t>5.10</t>
  </si>
  <si>
    <t xml:space="preserve">Providing and fixing tie bolt, spring coil and plastic cone in wall shuttering complete as per the direction of Engineer-in-charge. </t>
  </si>
  <si>
    <t>5.10.1</t>
  </si>
  <si>
    <t xml:space="preserve">12 mm dia. &amp; 100 mm length </t>
  </si>
  <si>
    <t xml:space="preserve">sets </t>
  </si>
  <si>
    <t xml:space="preserve">Each Set                                  </t>
  </si>
  <si>
    <t>5.10.2</t>
  </si>
  <si>
    <t xml:space="preserve">12 mm dia &amp; 150 mm length </t>
  </si>
  <si>
    <t xml:space="preserve">12 mm dia. &amp; 150 mm length </t>
  </si>
  <si>
    <t>5.10.3</t>
  </si>
  <si>
    <t xml:space="preserve">20 mm dia &amp; 150 mm length. </t>
  </si>
  <si>
    <t xml:space="preserve">20 mm dia. &amp; 150 mm length </t>
  </si>
  <si>
    <t>5.10.4</t>
  </si>
  <si>
    <t xml:space="preserve">20 mm dia &amp; 225 mm length. </t>
  </si>
  <si>
    <t xml:space="preserve">20 mm dia.&amp; 225 mm length </t>
  </si>
  <si>
    <t>5.11</t>
  </si>
  <si>
    <t xml:space="preserve">Extra for additional height in centring and shuttering over height 3.5m </t>
  </si>
  <si>
    <t xml:space="preserve">Extra for additional height in centering, shuttering where ever required with adequate bracing, propping etc., including cost of de-shuttering and decentering at all levels, over a height of 3.5 m, for every additional height of 1 metre or part thereof (Plan area to be measured). </t>
  </si>
  <si>
    <t>5.11.1</t>
  </si>
  <si>
    <t xml:space="preserve">Suspended floor etc </t>
  </si>
  <si>
    <t xml:space="preserve">Suspended floors, roofs, landing, beams and balconies (Plan area to be measured) </t>
  </si>
  <si>
    <t>5.12</t>
  </si>
  <si>
    <t xml:space="preserve">Providing, hoisting and fixing upto floor 5 level precast RCC work in string courses, bands etc with 1:1.5:3 (Aggregates from natural resources) </t>
  </si>
  <si>
    <t xml:space="preserve">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sand(zone-III) derived from natural sources : 3 graded stone aggregate 20 mm nominal size derived from natural sources). </t>
  </si>
  <si>
    <t>5.12A</t>
  </si>
  <si>
    <t xml:space="preserve">Providing, hoisting and fixing upto floor 5 level precast RCC work in string courses, bands etc with 1:1.5:3 (Aggregates from RCA upto 20%) </t>
  </si>
  <si>
    <t xml:space="preserve">Providing, hoisting and fixing above plinth level up to floor five level precast reinforced cement concrete work in string courses, bands, copings, bed plates, anchor blocks, plain window sills and the like, including the cost of required centering, shuttering but, excluding cost of reinforcement, with 1:1.5:3 (1 cement : 1.5 coarse sand incuding manufactured sand derived from Recycled Concrete Aggregate (RCA) upto 20% : 3 graded stone aggregate 20 mm nominal size Recycled Concrete Aggregate (RCA) upto 20%). </t>
  </si>
  <si>
    <t>5.13</t>
  </si>
  <si>
    <t xml:space="preserve">Providing, hoisting and fixing upto floor 5 level precast RCC in small lintels upto 1.5m clear span with 1:1.5:3 (Aggregates from natural resources) </t>
  </si>
  <si>
    <t xml:space="preserve">Providing, hoisting and fixing up to floor five level precast reinforced cement concrete in small lintels not exceeding 1.5m clear span up to floor five level, including the cost of required centering, shuttering but, excluding the cost of reinforcement, with 1:1.5:3 (1 cement : 1.5 coarse sand(zone- III) derived from natural sources : 3 graded stone aggregate 20 mm nominal size derived from natural sources ). </t>
  </si>
  <si>
    <t>5.13A</t>
  </si>
  <si>
    <t xml:space="preserve">Providing, hoisting and fixing upto floor 5 level precast RCC in small lintels upto 1.5m clear span with 1:1.5:3 (Aggregates from RCA up to 20%) </t>
  </si>
  <si>
    <t xml:space="preserve">Providing, hoisting and fixing up to floor five level precast reinforced cement concrete in small lintels not exceeding 1.5m clear span up to floor five level, including the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 </t>
  </si>
  <si>
    <t>5.14</t>
  </si>
  <si>
    <t xml:space="preserve">Providing, hoisting and fixing upto floor 5 level precast RCC in mouldings with 1:1.5:3 (Aggregate derived from natural resources). </t>
  </si>
  <si>
    <t xml:space="preserve">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 III)derived from natural sources : 3 graded stone aggregate 20 mm nominal size derived from natural sources ). </t>
  </si>
  <si>
    <t>5.14A</t>
  </si>
  <si>
    <t xml:space="preserve">Providing, hoisting and fixing upto floor 5 level precast RCC in mouldings with 1:1.5:3 (Aggregate derived from RCA up to 20%). </t>
  </si>
  <si>
    <t xml:space="preserve">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 incuding manufactured sand derived from Recycled Concrete Aggregate (RCA) upto 20% : 3 graded stone aggregate 20 mm nominal size including Recycled Concrete Aggregate (RCA) upto 20%). </t>
  </si>
  <si>
    <t>5.15</t>
  </si>
  <si>
    <t xml:space="preserve">Providing, hoisting and fixing upto floor 5 level precast RCC in lintels etc with 1:1.5:3 (aggregates from natural resources) </t>
  </si>
  <si>
    <t xml:space="preserve">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 (1 cement : 1.5 coarse sand(zone- III)derived from natural sources : 3 graded stone aggregate 20 mm nominal size derived from natural sources ). </t>
  </si>
  <si>
    <t>5.15A</t>
  </si>
  <si>
    <t xml:space="preserve">Providing, hoisting and fixing upto floor 5 level precast RCC in lintels etc with 1:1.5:3 (aggregates from RCA) </t>
  </si>
  <si>
    <t xml:space="preserve">Providing, transporting, hoisting and fixing above plinth level up to floor five level precast reinforced cement concrete in lintels, beams and bressumers, including setting in cement mortar 1:3 (1 cement : 3 coarse sand), cost of required centering and shuttering but, excluding the cost of reinforcement, with 1:1.5:3(1 cement : 1.5 coarse sand incuding manufactured sand derived from Recycled Concrete Aggregate (RCA) upto 20% : 3 graded stone aggregate 20 mm nominal size including Recycled Concrete Aggregate (RCA) upto 20%). </t>
  </si>
  <si>
    <t>5.16</t>
  </si>
  <si>
    <t xml:space="preserve">Providing, hoisting and fixing upto floor 5 level precast RCC in shelves with 1:1.5:3 </t>
  </si>
  <si>
    <t xml:space="preserve">Providing, transporting, hoisting and fixing above plinth level up to floor five level precast reinforced cement concrete in shelves, including setting in cement mortar 1:3 (1 cement : 3 coarse sand), cost of required centering, shuttering and finishing with neat cement punning on exposed surfaces but, excluding the cost of reinforcement, with 1:1.5:3 (1 cement : 1.5 coarse sand (zone- III) derived from natural sources : 3 graded stone aggregate 20 mm nominal size derived from natural sources ). </t>
  </si>
  <si>
    <t>5.16A</t>
  </si>
  <si>
    <t xml:space="preserve">Providing, hoisting and fixing upto floor 5 level precast RCC in shelves with 1:1.5:3 (Aggregates from RCA up to 20%) </t>
  </si>
  <si>
    <t xml:space="preserve">Providing, transporting, hoisting and fixing above plinth level up to floor five level precast reinforced cement concrete in shelves, including setting in cement mortar 1:3 (1cement : 3 coarse sand), cost of required centering, shuttering and finishing with neat cement punning on exposed surfaces but, excluding the cost of reinforcement, with 1:1.5:3 (1 cement : 1.5 coarse sand including manufactured sand derived from Recycled Concrete Aggregate (RCA) upto 20% : 3 graded stone aggregate 20 mm nominal size including Recycled Concrete Aggregate (RCA) upto 20%). </t>
  </si>
  <si>
    <t>5.17</t>
  </si>
  <si>
    <t xml:space="preserve">Providing, hoisting and fixing upto floor 5 level precast RCC in vertical and horizontal fins with 1:1.5:3 </t>
  </si>
  <si>
    <t xml:space="preserve">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 (1 cement : 1.5 coarse sand(zone- III)derived from natural sources : 3 graded stone aggregate 20 mm nominal size derived from natural sources ). </t>
  </si>
  <si>
    <t>5.17A</t>
  </si>
  <si>
    <t xml:space="preserve">Providing, hoisting and fixing upto floor 5 level precast RCC in vertical and horizontal fins with 1:1.5:3 (aggregate from RCA up to 20%) </t>
  </si>
  <si>
    <t xml:space="preserve">Providing, transporting, hoisting and fixing above plinth level up to floor five level precast reinforced cement concrete in vertical &amp; horizontal fins, individually or forming box louvers, setting in cement mortar 1:2 (1 cement : 2 coarse sand), including the cost of required centering, shuttering but, excluding the cost of reinforcement, with 1:1.5:3(1 cement : 1.5 coarse sand incuding manufactured sand derived from Recycled Concrete Aggregate (RCA) upto 20% : 3 graded stone aggregate 20 mm nominal size including Recycled Concrete Aggregate (RCA) upto 20%). </t>
  </si>
  <si>
    <t>5.18</t>
  </si>
  <si>
    <t xml:space="preserve">Providing precast CC jali 1:2:4 </t>
  </si>
  <si>
    <t xml:space="preserve">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 </t>
  </si>
  <si>
    <t>5.18.1</t>
  </si>
  <si>
    <t xml:space="preserve">50 mm thick. </t>
  </si>
  <si>
    <t xml:space="preserve">50 mm thick </t>
  </si>
  <si>
    <t>5.18.2</t>
  </si>
  <si>
    <t xml:space="preserve">40 mm thick. </t>
  </si>
  <si>
    <t xml:space="preserve">40 mm thick </t>
  </si>
  <si>
    <t>5.18.3</t>
  </si>
  <si>
    <t xml:space="preserve">25 mm thick. </t>
  </si>
  <si>
    <t xml:space="preserve">25 mm thick </t>
  </si>
  <si>
    <t>5.19</t>
  </si>
  <si>
    <t xml:space="preserve">Encasing rolled steel sections in beams and columns, with CC 1:1.5:3 </t>
  </si>
  <si>
    <t xml:space="preserve">Encasing rolled steel sections, in beams and columns, with cement concrete 1:1.5:3 (1 cement : 1.5 coarse sand(zone-III)derived from natural sources : 3 graded stone aggregate 20 mm nominal size derived from natural resources ), including centering and shuttering complete but, excluding cost of reinforcement. </t>
  </si>
  <si>
    <t>5.19A</t>
  </si>
  <si>
    <t xml:space="preserve">Encasing rolled steel sections in beams and columns, with CC 1:1.5:3 (Aggregates from RCA up to 20%) </t>
  </si>
  <si>
    <t xml:space="preserve">Encasing rolled steel sections, in beams and columns, with cement concrete 1:1.5:3 (1 cement : 1.5 coarse sand incuding manufactured sand derived from Recycled Concrete Aggregate (RCA) upto 20% : 3 graded stone aggregate 20 mm nominal size Recycled Concrete Aggregate (RCA) upto 20%), including centering and shuttering complete but, excluding cost of reinforcement. </t>
  </si>
  <si>
    <t>5.20</t>
  </si>
  <si>
    <t xml:space="preserve">Encasing rolled steel section in grillages with CC 1:1.5:3 including centering and shuttering but excluding cost of expanded metal and hangers </t>
  </si>
  <si>
    <t xml:space="preserve">Encasing rolled steel section in grillages with cement concrete 1:1.5:3 (1 cement : 1.5 coarse sand(zone-III)derived from natural sources : 3 graded stone aggregate 20 mm nominal size derived from natural sources ) including centering and shuttering but, excluding cost of expanded metal and hangers. </t>
  </si>
  <si>
    <t>5.20A</t>
  </si>
  <si>
    <t xml:space="preserve">Encasing rolled steel section in grillages with CC 1:1.5:3 (aggregates from RCA up to 20%) including centering and shuttering but excluding cost of expanded metal and hangers </t>
  </si>
  <si>
    <t xml:space="preserve">Encasing rolled steel section in grillages with cement concrete 1:1.5:3(1 cement : 1.5 coarse sand incuding manufactured sand derived from Recycled Concrete Aggregate (RCA) upto 20% : 3 graded stone aggregate 20 mm nominal size Recycled Concrete Aggregate (RCA) upto 20%), including centering and shuttering but, excluding cost of expanded metal and hangers. </t>
  </si>
  <si>
    <t>5.21</t>
  </si>
  <si>
    <t xml:space="preserve">Extra for P/F expanded metal mesh for encasing of rolled steel sections in beams, columns etc </t>
  </si>
  <si>
    <t xml:space="preserve">Extra for providing and fixing expanded metal mesh of size 20x60 mm and strands 3.25 mm wide 1.6 mm thick weighing 3.64 kg per sqm for encasing of rolled steel sections in beams, columns and grillages, excluding cost of hangers. </t>
  </si>
  <si>
    <t>5.22</t>
  </si>
  <si>
    <t xml:space="preserve">Reinforcement for RCC work up to plinth level :- </t>
  </si>
  <si>
    <t xml:space="preserve">Steel reinforcement for R.C.C. work including straightening, cutting, bending, placing in position and binding all complete upto plinth level. </t>
  </si>
  <si>
    <t>5.22.1</t>
  </si>
  <si>
    <t xml:space="preserve">Mild steel and medium tensile steel bars. </t>
  </si>
  <si>
    <t xml:space="preserve">Mild steel and Medium Tensile steel bars </t>
  </si>
  <si>
    <t xml:space="preserve">Kg   </t>
  </si>
  <si>
    <t xml:space="preserve">One Kilogram                              </t>
  </si>
  <si>
    <t>5.22.2</t>
  </si>
  <si>
    <t xml:space="preserve">Hard drawn steel wire. </t>
  </si>
  <si>
    <t xml:space="preserve">Hard drawn steel wire </t>
  </si>
  <si>
    <t>5.22.3</t>
  </si>
  <si>
    <t xml:space="preserve">Cold twisted bars. </t>
  </si>
  <si>
    <t xml:space="preserve">Cold twisted bars </t>
  </si>
  <si>
    <t>5.22.4</t>
  </si>
  <si>
    <t xml:space="preserve">Hot rolled deformed bars. </t>
  </si>
  <si>
    <t xml:space="preserve">Hot rolled deformed bars </t>
  </si>
  <si>
    <t>5.22.5</t>
  </si>
  <si>
    <t xml:space="preserve">Hard drawn steel wire fabric. </t>
  </si>
  <si>
    <t xml:space="preserve">Hard drawn steel wire fabric </t>
  </si>
  <si>
    <t>5.22.6</t>
  </si>
  <si>
    <t xml:space="preserve">Thermo-Mechanically Treated bars. </t>
  </si>
  <si>
    <t xml:space="preserve">Thermo-Mechanically Treated bars of grade Fe-500D or more. </t>
  </si>
  <si>
    <t>5.22A</t>
  </si>
  <si>
    <t xml:space="preserve">Reinforcement for RCC work :- Above plinth level </t>
  </si>
  <si>
    <t xml:space="preserve">Steel reinforcement for R.C.C. work including straightening, cutting, bending, placing in position and binding all complete above plinth level. </t>
  </si>
  <si>
    <t>5.22A.1</t>
  </si>
  <si>
    <t>5.22A.2</t>
  </si>
  <si>
    <t>5.22A.3</t>
  </si>
  <si>
    <t>5.22A.4</t>
  </si>
  <si>
    <t>5.22A.5</t>
  </si>
  <si>
    <t>5.22A.6</t>
  </si>
  <si>
    <t>5.22B</t>
  </si>
  <si>
    <t xml:space="preserve">Steel reinforcement for R.C.C. work ready to use "cut and bend" rebars upto plinth level </t>
  </si>
  <si>
    <t xml:space="preserve">Steel reinforcement for R.C.C. work ready to use "cut and bend" rebars of approved make from factory/workshop to construction site including placing in position and binding all complete upto plinth level. </t>
  </si>
  <si>
    <t>5.22B.1</t>
  </si>
  <si>
    <t>5.22C</t>
  </si>
  <si>
    <t xml:space="preserve">Steel reinforcement for R.C.C. work ready to use "cut and bend" rebars above plinth level </t>
  </si>
  <si>
    <t xml:space="preserve">Steel reinforcement for R.C.C. work ready to use "cut and bend" rebars of approved make from factory/workshop to construction site including placing in position and binding all complete above plinth level. </t>
  </si>
  <si>
    <t>5.22C.1</t>
  </si>
  <si>
    <t>5.23</t>
  </si>
  <si>
    <t xml:space="preserve">Smooth finishing of exposed RCC surface with 6 mm CM 1:3. </t>
  </si>
  <si>
    <t xml:space="preserve">Smooth finishing of the exposed surface of R.C.C. work with 6 mm thick cement mortar 1:3 (1 Cement : 3 fine sand). </t>
  </si>
  <si>
    <t>5.24</t>
  </si>
  <si>
    <t xml:space="preserve">Extra for rendring smooth on top of suspended floors with CM 1 : 2 </t>
  </si>
  <si>
    <t xml:space="preserve">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t>
  </si>
  <si>
    <t>5.25</t>
  </si>
  <si>
    <t xml:space="preserve">P/F in position copper plate for expansion joints . </t>
  </si>
  <si>
    <t xml:space="preserve">Providing and fixing in position copper plate as per design for expansion joints. </t>
  </si>
  <si>
    <t>5.26</t>
  </si>
  <si>
    <t xml:space="preserve">P/F in position bitumen in expansion joints. </t>
  </si>
  <si>
    <t xml:space="preserve">Providing and filling in position, blown bitumen in expansion joints. </t>
  </si>
  <si>
    <t>5.27</t>
  </si>
  <si>
    <t xml:space="preserve">P/F in position bitumen mix filler for expansion joints. </t>
  </si>
  <si>
    <t xml:space="preserve">Providing and filling in position bitumen mix filler of proportion 80 kg. of hot bitumen, 1 kg. of cement and 0.25 cubic metre of coarse sand for expansion joints. </t>
  </si>
  <si>
    <t>5.28</t>
  </si>
  <si>
    <t xml:space="preserve">P/F in position 12 mm thick bitumen fibre board in expansion joints. </t>
  </si>
  <si>
    <t xml:space="preserve">Providing and fixing in position 12mm thick bitumen impregnated fiber board conforming to IS: 1838, including cost of primer, sealing compound Grade-A in expansion joints. </t>
  </si>
  <si>
    <t xml:space="preserve">per cm depth  per 100m                    </t>
  </si>
  <si>
    <t>5.29</t>
  </si>
  <si>
    <t xml:space="preserve">P/F sheet covering over expansion joints. </t>
  </si>
  <si>
    <t xml:space="preserve">Providing and fixing sheet covering over expansion joints with iron screws as per design. </t>
  </si>
  <si>
    <t>5.29.1</t>
  </si>
  <si>
    <t xml:space="preserve">Non-asbestos fibre board 6 mm thick </t>
  </si>
  <si>
    <t xml:space="preserve">Non-asbestos 6 mm thick fibre cement board, Type-A, Category-Ill as per IS: 14862:2000 </t>
  </si>
  <si>
    <t>5.29.1.1</t>
  </si>
  <si>
    <t xml:space="preserve">150 mm wide. </t>
  </si>
  <si>
    <t xml:space="preserve">150mm wide </t>
  </si>
  <si>
    <t>5.29.1.2</t>
  </si>
  <si>
    <t xml:space="preserve">200 mm wide. </t>
  </si>
  <si>
    <t xml:space="preserve">200mm wide </t>
  </si>
  <si>
    <t>5.29.2</t>
  </si>
  <si>
    <t xml:space="preserve">Aluminium fluted strips 3.15 mm thick : </t>
  </si>
  <si>
    <t xml:space="preserve">Aluminium fluted strips 3.15 mm thick. </t>
  </si>
  <si>
    <t>5.29.2.1</t>
  </si>
  <si>
    <t xml:space="preserve">150 mm wide </t>
  </si>
  <si>
    <t>5.29.2.2</t>
  </si>
  <si>
    <t xml:space="preserve">200 mm wide </t>
  </si>
  <si>
    <t>5.29.3</t>
  </si>
  <si>
    <t xml:space="preserve">Cement bonded wood particle board 6mm thick as per IS : 14276 </t>
  </si>
  <si>
    <t>5.29.3.1</t>
  </si>
  <si>
    <t>5.29.3.2</t>
  </si>
  <si>
    <t>5.30</t>
  </si>
  <si>
    <t xml:space="preserve">RCC in beams, suspended floors roofs, etc with 1 : 2 : 4 upto floor 5 level </t>
  </si>
  <si>
    <t xml:space="preserve">Add for plaster drip course/ groove in plastered surface or moulding to R.C.C. projections </t>
  </si>
  <si>
    <t>5.31</t>
  </si>
  <si>
    <t xml:space="preserve">Extra for laying RCC in or under water and/or liquid mud </t>
  </si>
  <si>
    <t xml:space="preserve">Extra for laying reinforced cement concrete in or under water and/ or liquid mud, including cost of pumping or bailing out water and removing slush etc., complete. </t>
  </si>
  <si>
    <t xml:space="preserve">Note For above Item 5.31 :-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 0.1 m and less than 0.05 m ignored). No extra payment shall be made for placing reinforcement or centering &amp; shuttering under sub - soil water conditions. </t>
  </si>
  <si>
    <t>5.32</t>
  </si>
  <si>
    <t xml:space="preserve">Extra for laying RCC in or foul position </t>
  </si>
  <si>
    <t xml:space="preserve">Extra for laying reinforced cement concrete in or under foul positions. </t>
  </si>
  <si>
    <t>5.33</t>
  </si>
  <si>
    <t xml:space="preserve">P/L design mix M-25 concrete upto floor 5 level </t>
  </si>
  <si>
    <t xml:space="preserve">Providing and laying in position ready mixed or site batched design mix cement concrete for reinforced cement concrete work; using coarse aggregate and fine aggregate derived from natural sources, Portland Pozzolana / Ordinary Portland /Portland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t>
  </si>
  <si>
    <t xml:space="preserve">Note: Extra cement up to 10% of the minimum specified cement content in design mix shall be payable separately. In case the cement content in design mix is more than 110% of the specified minimum cement content, the contractor shall have discretion to either re-design the mix or bear the cost of extra cement </t>
  </si>
  <si>
    <t>5.33.1</t>
  </si>
  <si>
    <t>5.33.1.1</t>
  </si>
  <si>
    <t xml:space="preserve">Concrete of M25 grade with minimm cement content of 330 kg /cum </t>
  </si>
  <si>
    <t xml:space="preserve">Concrete of M25 grade with minimum cement content of 330 kg /cum </t>
  </si>
  <si>
    <t>5.33.1.2</t>
  </si>
  <si>
    <t xml:space="preserve">Concrete of M30 grade with minimm cement content of 350 kg /cum </t>
  </si>
  <si>
    <t xml:space="preserve">Concrete of M30 grade with minimum cement content of 350 kg /cum </t>
  </si>
  <si>
    <t>5.33.1.3</t>
  </si>
  <si>
    <t xml:space="preserve">Concrete of M35 grade with minimm cement content of 370 kg /cum </t>
  </si>
  <si>
    <t xml:space="preserve">Concrete of M35 grade with minimum cement content of 370 kg /cum </t>
  </si>
  <si>
    <t>5.33.1.4</t>
  </si>
  <si>
    <t xml:space="preserve">Concrete of M40 grade with minimm cement content of390 kg /cum </t>
  </si>
  <si>
    <t xml:space="preserve">Concrete of M40 grade with minimum cement content of 390 kg /cum </t>
  </si>
  <si>
    <t>5.33.1.5</t>
  </si>
  <si>
    <t xml:space="preserve">Concrete of M50 grade with minimm cement content of 410 kg /cum </t>
  </si>
  <si>
    <t xml:space="preserve">Concrete of M50 grade with minimum cement content of 410 kg /cum </t>
  </si>
  <si>
    <t>5.33.2</t>
  </si>
  <si>
    <t xml:space="preserve">All works above plinth level upto floor V level </t>
  </si>
  <si>
    <t>5.33.2.1</t>
  </si>
  <si>
    <t>5.33.2.2</t>
  </si>
  <si>
    <t>5.33.2.3</t>
  </si>
  <si>
    <t>5.33.2.4</t>
  </si>
  <si>
    <t>5.33.2.5</t>
  </si>
  <si>
    <t>5.33A</t>
  </si>
  <si>
    <t xml:space="preserve">Providing and laying in position ready mixed or site batched design mix cement concrete for reinforced cement concrete work; using coarse aggregate and fine aggregate derived from natural sources and using recycled concrete aggregate (RCA) as coarse aggregate and fine aggregate within permissible utilization of 20% each, Portland Pozzolana /Ordinary Portland/Portland Slag cement, admixtures in recommended proportions as per IS: 9103 to accelerate / retard setting of concrete, to improve durability and workability without impairing strength; including pumping of concrete to site of laying, curing, carriage for all leads; but excluding the cost of centering, shuttering, finishing and reinforcement as per direction of the engineer-in-charge; for the following grades of concrete. </t>
  </si>
  <si>
    <t>5.33A.1</t>
  </si>
  <si>
    <t>5.33A.1.1</t>
  </si>
  <si>
    <t>5.33A.2</t>
  </si>
  <si>
    <t xml:space="preserve">All works above plinth level up to floor V level. </t>
  </si>
  <si>
    <t>5.33A.2.1</t>
  </si>
  <si>
    <t>5.35</t>
  </si>
  <si>
    <t xml:space="preserve">Add for using extra cement in design mix </t>
  </si>
  <si>
    <t xml:space="preserve">Add for using extra cement in the items of design mix over and above the specified cement content therein. </t>
  </si>
  <si>
    <t xml:space="preserve">Qtl  </t>
  </si>
  <si>
    <t xml:space="preserve">One Quintal                               </t>
  </si>
  <si>
    <t>5.36</t>
  </si>
  <si>
    <t xml:space="preserve">P/P in position precast RCC waffle units for floors and roofs in 1:1.5:3 </t>
  </si>
  <si>
    <t xml:space="preserve">Providing and placing in position precast reinforced cement concrete waffle units, square or rectangular, as per design and shape for floors and roofs in 1:1½:3 (1 Cement : 1½ coarse sand (zone-III)derived from natural sources : 3 graded stone aggregate 10 mm nominal size derived from natural sources),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t>
  </si>
  <si>
    <t>5.36A</t>
  </si>
  <si>
    <t xml:space="preserve">P/P in position precast RCC waffle units for floors and roofs in 1:1.5:3 (aggregates from RCA up to 20%) </t>
  </si>
  <si>
    <t xml:space="preserve">Providing and placing in position precast reinforced cement concrete waffle units, square or rectangular, as per design and shape for floors and roofs in 1:1½:3 (1 cement : 1.5 coarse sand incuding manufactured sand derived from Recycled Concrete Aggregate (RCA) upto 20% : 3 graded stone aggregate 10 mm nominal size including Recycled Concrete Aggregate (RCA) upto 20%),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t>
  </si>
  <si>
    <t>5.38</t>
  </si>
  <si>
    <t xml:space="preserve">Extra for R.C.C./ B.M.C/ R.M.C. work above floor V level for each four floors or part thereof. </t>
  </si>
  <si>
    <t>5.41</t>
  </si>
  <si>
    <t xml:space="preserve">Supplying and applying water based concrete curing compound to concrete/ masonry surface. </t>
  </si>
  <si>
    <t xml:space="preserve">Supplying and applying pre tested and approved water based concrete curing compound to concrete/ masonry surface, all as per manufacturer’s specification and direction of Engineer-in-charge. </t>
  </si>
  <si>
    <t>5.41.1</t>
  </si>
  <si>
    <t xml:space="preserve">Non pigmented wet curing compound </t>
  </si>
  <si>
    <t>5.42</t>
  </si>
  <si>
    <t xml:space="preserve">P/F tapered / parallel threaded couplers for Mechanical Splices of Bars for Concrete Reinforcement </t>
  </si>
  <si>
    <t xml:space="preserve">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t>
  </si>
  <si>
    <t>5.42.1</t>
  </si>
  <si>
    <t xml:space="preserve">Coupler for 16 mm dia. reinforcement bar </t>
  </si>
  <si>
    <t xml:space="preserve">Coupler for 16 mm diameter reinforcement bar </t>
  </si>
  <si>
    <t>5.42.2</t>
  </si>
  <si>
    <t xml:space="preserve">Coupler for 20 mm dia. reinforcement bar </t>
  </si>
  <si>
    <t xml:space="preserve">Coupler for 20 mm diameter reinforcement bar </t>
  </si>
  <si>
    <t>5.42.3</t>
  </si>
  <si>
    <t xml:space="preserve">Coupler for 25 mm dia. reinforcement bar </t>
  </si>
  <si>
    <t xml:space="preserve">Coupler for 25 mm diameter reinforcement bar </t>
  </si>
  <si>
    <t>5.42.4</t>
  </si>
  <si>
    <t xml:space="preserve">Coupler for 28 mm dia. reinforcement bar </t>
  </si>
  <si>
    <t xml:space="preserve">Coupler for 28 mm diameter reinforcement bar </t>
  </si>
  <si>
    <t>5.42.5</t>
  </si>
  <si>
    <t xml:space="preserve">Coupler for 32 mm dia. reinforcement bar </t>
  </si>
  <si>
    <t xml:space="preserve">Coupler for 32 mm diameter reinforcement bar </t>
  </si>
  <si>
    <t>5.43</t>
  </si>
  <si>
    <t xml:space="preserve">P/F Stainless steel Grade 304 plate-1.0 mm thick as per design for expansion joints. </t>
  </si>
  <si>
    <t xml:space="preserve">Providing and fixing in position Stainless steel Grade 304 plate-1.0 mm thick as per design for expansion joints. </t>
  </si>
  <si>
    <t>5.43.1</t>
  </si>
  <si>
    <t>5.43.2</t>
  </si>
  <si>
    <t xml:space="preserve">300 mm wide. </t>
  </si>
  <si>
    <t>5.44</t>
  </si>
  <si>
    <t xml:space="preserve">P/F expansion joint system of aluminium members as per ASTM B221-02 floor to floor /floor to wall expansion control system for various vertical localtion </t>
  </si>
  <si>
    <t xml:space="preserve">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location in load application areas that accommodates multi directional seismic movement without stress to it's components. System shall consist of metal profiles with a universal aluminum base member designed to accommodate various project conditions and finish floor treatments. </t>
  </si>
  <si>
    <t xml:space="preserve">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corresponding aluminum extrusion cavity to allow freedom of movement and flexure in all directions including vertical displacement. Provision of Moisture Barrier Membrane in the Joint System to have watertight joint is mandatory requirement all as per the manufactures design and as approved by Engineer -in- Charge. (Material shall confirm to ASTM 6063). </t>
  </si>
  <si>
    <t>5.44.1</t>
  </si>
  <si>
    <t xml:space="preserve">Floor Joint of 100 mm gap </t>
  </si>
  <si>
    <t>5.44.2</t>
  </si>
  <si>
    <t xml:space="preserve">Floor Joint of 150 mm gap </t>
  </si>
  <si>
    <t>5.44.3</t>
  </si>
  <si>
    <t xml:space="preserve">Floor Joint of 200 mm gap </t>
  </si>
  <si>
    <t>5.45</t>
  </si>
  <si>
    <t xml:space="preserve">P/F expansion joint system of aluminium members as per ASTM B221-02 for vertical wall to wall/ wall to corner application, both new and existing construction in office Buildings &amp; complexes with no slipping down tendency </t>
  </si>
  <si>
    <t xml:space="preserve">Providing and fixing of expansion joint system related with wall joint (internal/external) location as per drawings and direction of Engineer-In- Charge.The joints shall be of extruded aluminum base members, self aligning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 </t>
  </si>
  <si>
    <t>5.45.1</t>
  </si>
  <si>
    <t xml:space="preserve">Wall Joint of 100 mm gap </t>
  </si>
  <si>
    <t>5.45.2</t>
  </si>
  <si>
    <t xml:space="preserve">Wall Joint of 150 mm gap </t>
  </si>
  <si>
    <t>5.45.3</t>
  </si>
  <si>
    <t xml:space="preserve">Wall Joint of 200 mm gap </t>
  </si>
  <si>
    <t>5.46</t>
  </si>
  <si>
    <t xml:space="preserve">P/F expansion joint system - that provides watertight roof to roof/roof to corner joint cover expansion control system that is capable of accommodating multidirectional seismic movement without stress to its components </t>
  </si>
  <si>
    <t xml:space="preserve">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an universal aluminum base member designed to accommodate various project conditions and roof treatments. The cover plate shall be designed of width and thickness required to satisfy movement and loading requirements and secured to base members by utilizing manufacturer’s pre-engineered self-centering arrangement that freely rotates / moves in all directions. </t>
  </si>
  <si>
    <t xml:space="preserve">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 </t>
  </si>
  <si>
    <t>5.46.1</t>
  </si>
  <si>
    <t xml:space="preserve">Roof Joint of 100 mm gap </t>
  </si>
  <si>
    <t>5.46.2</t>
  </si>
  <si>
    <t xml:space="preserve">Roof Joint of 150 mm gap </t>
  </si>
  <si>
    <t>5.46.3</t>
  </si>
  <si>
    <t xml:space="preserve">Roof Joint of 200 mm gap </t>
  </si>
  <si>
    <t>5.47</t>
  </si>
  <si>
    <t xml:space="preserve">P/F Precast RCC M-40 doors and window frames </t>
  </si>
  <si>
    <t xml:space="preserve">Providing and fixing in position factory made precast RCC M-40 door and window frame fixing with hold fast embedded in 1:3:6 concrete block having excellent smooth finish as per IS: 6523 with reinforcement of 3 Nos, 6 mm dia main bars tied with 3 mm M.S stirrups placed @ 200 mm C/C and 6 numbers high strength polymer blocks of required size for fixing hinges including providing 6 no specially designed M.S. galvanised sleeves for accomodating 6 mm dia fully threaded bolts for fixing hold fast on vertical members, providing suitable arrangement for recieving sliding door bolts and tower bolt etc all complete, as per the direction of Engineer in charge. The frame shall be measured in running metre correct to two places of decimal. </t>
  </si>
  <si>
    <t>5.47.1</t>
  </si>
  <si>
    <t xml:space="preserve">Door frame 125 mmx 60 mm </t>
  </si>
  <si>
    <t>5.47.2</t>
  </si>
  <si>
    <t xml:space="preserve">Door frame 100 mmx 60 mm </t>
  </si>
  <si>
    <t>5.47.3</t>
  </si>
  <si>
    <t xml:space="preserve">Door frame 85 mmx60 mm </t>
  </si>
  <si>
    <t>5.48</t>
  </si>
  <si>
    <t xml:space="preserve">P/L RCC for Piers,abutments,portal frames etc.. </t>
  </si>
  <si>
    <t xml:space="preserve">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t>
  </si>
  <si>
    <t xml:space="preserve">Note:- Cement content considered in this item is 480 Kg/ Cum. Excess/ less cement used as per design mix is payable/ recoverable separately. </t>
  </si>
  <si>
    <t>5.48.1</t>
  </si>
  <si>
    <t xml:space="preserve">Reinforced Cement Concrete -M-50 </t>
  </si>
  <si>
    <t>5.48.2</t>
  </si>
  <si>
    <t xml:space="preserve">Reinforced Cement Concrete -M-60 </t>
  </si>
  <si>
    <t>5.48.3</t>
  </si>
  <si>
    <t xml:space="preserve">Extra for using M -50/ M60 Grade Self-compacting Reinforced Cement Concrete </t>
  </si>
  <si>
    <t xml:space="preserve">Extra for using M -50/ M-60 Grade Self-compacting Cement Concrete </t>
  </si>
  <si>
    <t>5.49</t>
  </si>
  <si>
    <t xml:space="preserve">Constructing RCC Diaphragm wall by providing and laying machine batched, machine mixed self compacting RMC concrete of M 30 grade etc…. </t>
  </si>
  <si>
    <t xml:space="preserve">Constructing cast-in situ RCC diaphragm wall by providing and laying machine batched, machine mixed, self compacting, ready mix reinforced cement concrete, tramie controlled, of M 30 grade using minimum 400kg.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rocks,including working in or under water and / or liquid mud </t>
  </si>
  <si>
    <t xml:space="preserve">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t>
  </si>
  <si>
    <t xml:space="preserve">including providing recess for bearing plates and fixing insert boxes for inclined rock anchors etc. complete as per the specifications and approved design and as directed by the Engineer-in-charge, but excluding the cost of reinforcement and inserts. </t>
  </si>
  <si>
    <t xml:space="preserve">(rates include cost of all inputs of labour, material and T&amp;P, cost of handling, lifting &amp; placing in position the reinforcement bars etc. involved in the work and all other incidental expenditure for completing the work aas directed by the Engineer-in-charge), However, the actual area of the diaphragm wall, correct to two places of decimal, from design bottom level to the design cut off level (including portion anchored in the rock upto the design bottom level) only shall be measured for payment. </t>
  </si>
  <si>
    <t xml:space="preserve">Excess/less cement used for design mix including the extra cement required for under water concreting is payable / recoverable seperately. </t>
  </si>
  <si>
    <t xml:space="preserve">Total of the Sub-Head - Reinforced Cement Concrete :  </t>
  </si>
  <si>
    <t xml:space="preserve">        Sub-Head : Masonry Work</t>
  </si>
  <si>
    <t>6.1</t>
  </si>
  <si>
    <t xml:space="preserve">B/W with bricks of class 75 in found &amp; plinth in </t>
  </si>
  <si>
    <t xml:space="preserve">Brick work with common burnt clay F.P.S. (non modular) bricks of class designation 7.5 in foundation and plinth in: </t>
  </si>
  <si>
    <t>6.1.1</t>
  </si>
  <si>
    <t xml:space="preserve">In CM 1:4 </t>
  </si>
  <si>
    <t xml:space="preserve">Cement mortar 1:4 (1 cement : 4 coarse sand) </t>
  </si>
  <si>
    <t>6.1.2</t>
  </si>
  <si>
    <t xml:space="preserve">In CM 1:6 </t>
  </si>
  <si>
    <t xml:space="preserve">Cement mortar 1:6 (1 cement : 6 coarse sand) </t>
  </si>
  <si>
    <t>6.2</t>
  </si>
  <si>
    <t xml:space="preserve">B/W with modular bricks in found &amp; plinth in </t>
  </si>
  <si>
    <t xml:space="preserve">Brick work with common burnt clay modular bricks of class designation 7.5 in foundation and plinth in: </t>
  </si>
  <si>
    <t>6.2.1</t>
  </si>
  <si>
    <t>6.2.2</t>
  </si>
  <si>
    <t xml:space="preserve">Cement Mortar 1:6 (1 cement : 6 coarse sand). </t>
  </si>
  <si>
    <t>6.3</t>
  </si>
  <si>
    <t xml:space="preserve">Brick work with common burnt clay machine moulded perforated bricks </t>
  </si>
  <si>
    <t xml:space="preserve">Brick work with common burnt clay machine moulded perforated bricks of class designation 12.5 conforming to IS: 2222 in superstructure above plinth level up to floor five level in cement mortar 1:6 (1 cement : 6 coarse sand) : </t>
  </si>
  <si>
    <t>6.3.1</t>
  </si>
  <si>
    <t xml:space="preserve">With F.P.S.(non modular) bricks. </t>
  </si>
  <si>
    <t>6.3.2</t>
  </si>
  <si>
    <t xml:space="preserve">With Modular bricks. </t>
  </si>
  <si>
    <t>6.4</t>
  </si>
  <si>
    <t xml:space="preserve">Brick work with FPS bricks of class designation 50 in super structure above plinth level upto floor V l </t>
  </si>
  <si>
    <t xml:space="preserve">Brick work with common burnt clay F.P.S. (non modular) bricks of class designation 7.5 in superstructure above plinth level up to floor V level in all shapes and sizes in : </t>
  </si>
  <si>
    <t>6.4.1</t>
  </si>
  <si>
    <t>6.4.2</t>
  </si>
  <si>
    <t>6.5</t>
  </si>
  <si>
    <t xml:space="preserve">Extra for BW in SS above floor 5 level </t>
  </si>
  <si>
    <t xml:space="preserve">Extra for brick work / AAC block masonry / Tile brick masonry in superstructure above floor V level, for each four floors or part thereof by mechanical means. </t>
  </si>
  <si>
    <t>6.6</t>
  </si>
  <si>
    <t xml:space="preserve">Extra for forming cavity 5 cm to 7.5 cm wide in cavity walls </t>
  </si>
  <si>
    <t xml:space="preserve">Extra for forming cavity 5 cm to 11.5 cm wide in cavity walls with necessary weep and vent holes including use of cores and cost of providing and fixing bitumastic coated M .S. ties 300 mm long of 25x 3 mm section at not less than 3 ties per sqm as per approved design. </t>
  </si>
  <si>
    <t>6.7</t>
  </si>
  <si>
    <t xml:space="preserve">Providing half brick masonry with bricks of class 75 in CM 1:3 in s/s for closing cavity </t>
  </si>
  <si>
    <t xml:space="preserve">Providing half brick masonry with common burnt clay F.P.S. (non modular) bricks of class designation 7.5 in cement mortar 1:3 (1 Cement : 3 coarse sand) in superstructure for closing cavity 5 to 7.5 cm wide in cavity wall complete with 10cm / 11.4 cm wide bitumen felt type 3 grade 1. </t>
  </si>
  <si>
    <t xml:space="preserve">One  Metre                                </t>
  </si>
  <si>
    <t>6.8</t>
  </si>
  <si>
    <t xml:space="preserve">B/W 7 cm thick in CM 1:3 in SS </t>
  </si>
  <si>
    <t xml:space="preserve">Brick work 7 cm thick with common burnt clay F.P.S. (non modular) brick of class designation 7.5 in cement mortar 1:3 (1 cement : 3 coarse sand) in superstructure above plinth level and upto floor five level. </t>
  </si>
  <si>
    <t>6.9</t>
  </si>
  <si>
    <t xml:space="preserve">B/W in plain arches in s/s for span upto 6 m with bricks in CM 1:3 </t>
  </si>
  <si>
    <t xml:space="preserve">Brick work in plain arches in superstructure above plinth level and upto floor five level including centering and shuttering complete for span up to 6 metres with common burnt clay F.P.S. (non modular) bricks of class designation 7.5 in cement mortar 1:3 (1 cement : 3 coarse sand). </t>
  </si>
  <si>
    <t>6.10</t>
  </si>
  <si>
    <t xml:space="preserve">B/W in gauged arches in s/s in CM 1:3 for span upto 6 m with bricks class 75 </t>
  </si>
  <si>
    <t xml:space="preserve">Brick work in gauged arches in sperstructure above plinth level and upto floor five level in cement mortar 1:3 (1 cement : 3 coarse sand) including centering and shuttering complete, for span up to 6 meters with common burnt clay F.P.S. (non modular) bricks of class designation 7.5. </t>
  </si>
  <si>
    <t>6.11</t>
  </si>
  <si>
    <t xml:space="preserve">Extra for additional cost of centring for arches exceeding 6 m </t>
  </si>
  <si>
    <t xml:space="preserve">Extra for additional cost of centering for arches exceeding 6m span including all shuttering, bolting, wedging and removal (Area of the soffit to be measured). </t>
  </si>
  <si>
    <t>6.12</t>
  </si>
  <si>
    <t xml:space="preserve">Half brick masonry with bricks of class 75 in found &amp; plinth </t>
  </si>
  <si>
    <t xml:space="preserve">Half brick masonry with common burnt clay F.P.S. (non modular) bricksof class designation 7.5 in foundations and plinth in : </t>
  </si>
  <si>
    <t>6.12.1</t>
  </si>
  <si>
    <t xml:space="preserve">in CM 1:3 </t>
  </si>
  <si>
    <t xml:space="preserve">Cement mortar 1:3 (1 cement : 3 coarse sand) </t>
  </si>
  <si>
    <t>6.12.2</t>
  </si>
  <si>
    <t xml:space="preserve">in CM 1:4 </t>
  </si>
  <si>
    <t>6.13</t>
  </si>
  <si>
    <t xml:space="preserve">H/B masonry in S/S upto floor 5 level </t>
  </si>
  <si>
    <t xml:space="preserve">Half brick masonry with common burnt clay F.P.S. (non modular) bricks of class designation 7.5 in superstructure above plinth level up to floor V level. </t>
  </si>
  <si>
    <t>6.13.1</t>
  </si>
  <si>
    <t xml:space="preserve">CM 1:3 </t>
  </si>
  <si>
    <t xml:space="preserve">Cement mortar 1:3 (1 cement :3 coarse sand) </t>
  </si>
  <si>
    <t>6.13.2</t>
  </si>
  <si>
    <t xml:space="preserve">CM 1:4 </t>
  </si>
  <si>
    <t xml:space="preserve">Cement mortar 1:4 (1 cement :4 coarse sand) </t>
  </si>
  <si>
    <t>6.14</t>
  </si>
  <si>
    <t xml:space="preserve">Extra for H/B work in SS above floor 5 level </t>
  </si>
  <si>
    <t xml:space="preserve">Extra for half brick masonry in superstructure, above floor V level for every four floors or part thereof by mechanical means. </t>
  </si>
  <si>
    <t>6.15</t>
  </si>
  <si>
    <t xml:space="preserve">Extra for hoop iron 2 nos 6mm dia bar every third course of half brick masonry </t>
  </si>
  <si>
    <t xml:space="preserve">Extra for providing and placing in position 2 Nos 6mm dia. M.S. bars at every third course of half brick masonry.ird course of half brick masonry. </t>
  </si>
  <si>
    <t>6.16</t>
  </si>
  <si>
    <t xml:space="preserve">Tile brick masonry with tile bricks of class 100 in found &amp; plinth </t>
  </si>
  <si>
    <t xml:space="preserve">Tile brick masonry with common burnt clay F.P.S. (non modular) tile bricks of class designation 10 in foundation and plinth in: </t>
  </si>
  <si>
    <t>6.16.1</t>
  </si>
  <si>
    <t>6.16.2</t>
  </si>
  <si>
    <t xml:space="preserve">CM 1:6 </t>
  </si>
  <si>
    <t xml:space="preserve">Cement mortar 1:6 (1 cement : 6 coarse sand). </t>
  </si>
  <si>
    <t>6.17</t>
  </si>
  <si>
    <t xml:space="preserve">Tile brick masonry with machine moulded tile bricks designation 125 in found &amp; plinth in CM 1:6 </t>
  </si>
  <si>
    <t xml:space="preserve">Tile brick masonry with common burnt clay machine moulded tile bricks of class designation 12.5 conforming to IS : 2690 (Part I) in foundation and plinth in cement mortar 1:6 (1 cement : 6 coarse sand). </t>
  </si>
  <si>
    <t>6.18</t>
  </si>
  <si>
    <t xml:space="preserve">Tile brick masonry with machine moulded tile bricks designation 125 in S/S upto floor 5 level in CM 1:6 </t>
  </si>
  <si>
    <t xml:space="preserve">Tile brick masonry with common burnt clay F.P.S. (non modular) tile bricks of class designation 10 in superstructure above plinth level up to floor V level in cement mortar 1:6 (1 cement : 6 coarse sand). </t>
  </si>
  <si>
    <t>6.20</t>
  </si>
  <si>
    <t xml:space="preserve">Tile brick masonry with tile bricks of class 100 in plain arch work in SS in CM 1:4 </t>
  </si>
  <si>
    <t xml:space="preserve">Tile brick masonry with common burnt clay F.P.S. (non modular) tile bricks of class designation 10 in plain arch work in superstructure above plinth and upto floor five level in cement mortar 1:4 (1 cement : 4 coarse sand) including centering and shuttering complete. </t>
  </si>
  <si>
    <t>6.21</t>
  </si>
  <si>
    <t xml:space="preserve">Tile brick masonry with tile bricks of class 100 in gauged arch work in SS CM 1:4 </t>
  </si>
  <si>
    <t xml:space="preserve">Tile brick masonry with common burnt clay F.P.S. (non modular) tile bricks of class designation 10 in gauged arch work in superstructure above plinth and upto floor five level in cement mortar 1:4 (1 cement : 4 coarse sand) including centering and shuttering complete. </t>
  </si>
  <si>
    <t>6.22</t>
  </si>
  <si>
    <t xml:space="preserve">Tile brick masonry work 5 cm thick with tile brick of class 100 in CM 1:3 in SS </t>
  </si>
  <si>
    <t xml:space="preserve">Tile brick masonry work 5 cm thick with common burnt clay F.P.S. (non modular) tile bricks of class designation 10 in cement mortar 1:3 (1 cement : 3 coarse sand) in superstructure above plinth and upto floor five level. </t>
  </si>
  <si>
    <t>6.23</t>
  </si>
  <si>
    <t xml:space="preserve">Honey-comb B/W 10/11.2 cm with in CM 1:4 </t>
  </si>
  <si>
    <t xml:space="preserve">Honey-comb brick work 10 / 11.4 cm thick with common burnt clay bricks of class designation 7.5 in super structure above plinth level upto floor V level with cement mortar 1:4 (1 cement : 4 coarse sand). </t>
  </si>
  <si>
    <t>6.25</t>
  </si>
  <si>
    <t xml:space="preserve">Extra for BW in or under foul position. </t>
  </si>
  <si>
    <t xml:space="preserve">Extra for laying brick work in or under foul position. </t>
  </si>
  <si>
    <t>6.26</t>
  </si>
  <si>
    <t xml:space="preserve">B/W with selected brick of class 75 in exposed B/W i/c making grooves complete from GL upto PL in CM 1:6 </t>
  </si>
  <si>
    <t xml:space="preserve">Brick work with common burnt clay selected F.P.S. (non modular) bricks of class designation 7.5 in exposed brick work including making horizontal and vertical grooves 10 mm wide 12 mm deep complete in cement mortar 1:6 (1 cement : 6 coarse sand) </t>
  </si>
  <si>
    <t>6.26.1</t>
  </si>
  <si>
    <t xml:space="preserve">From ground level upto plinth level. </t>
  </si>
  <si>
    <t xml:space="preserve">From ground level upto plinth level </t>
  </si>
  <si>
    <t>6.26.2</t>
  </si>
  <si>
    <t xml:space="preserve">Above plinth level upto floor V level. </t>
  </si>
  <si>
    <t>6.27</t>
  </si>
  <si>
    <t xml:space="preserve">B/W with modular bricks of class 75 in exposed B/W i/c making grooves complete from GL upto PL in CM 1:6 </t>
  </si>
  <si>
    <t xml:space="preserve">Brick work with common burnt clay modular bricks of class designation 7.5 in exposed brick work including making horizontal and vertical grooves 10mm wide 12 mm deep complete in cement mortar 1:6 (1 cement : 6 coarse sand). </t>
  </si>
  <si>
    <t>6.27.1</t>
  </si>
  <si>
    <t>6.27.2</t>
  </si>
  <si>
    <t>6.28</t>
  </si>
  <si>
    <t xml:space="preserve">B/W with moulded modular brick of class 125 in CM 1:6 and making groove in found </t>
  </si>
  <si>
    <t xml:space="preserve">Brick work with common burnt clay machine moulded modular bricks of class designation 12.5 in exposed brick work including making horizontal and vertical grooves 10 mm wide 12 mm deep complete in cement mortar 1:6 (1 cement : 6 coarse sand). </t>
  </si>
  <si>
    <t>6.28.1</t>
  </si>
  <si>
    <t>6.28.2</t>
  </si>
  <si>
    <t>6.29</t>
  </si>
  <si>
    <t xml:space="preserve">B/W with moulded brick of class 125 in exposed B/W i/c making grooves complete from GL upto PL in CM 1:6 </t>
  </si>
  <si>
    <t xml:space="preserve">Brick work with common burnt clay machine moulded F.P.S. (non modular) bricks of class designation 12.5 in exposed brick work including making horizontal and vertical grooves 10 mm wide 12 mm deepcomplete in cement mortar 1:6 (1 cement : 6 coarse sand). </t>
  </si>
  <si>
    <t>6.29.1</t>
  </si>
  <si>
    <t>6.29.2</t>
  </si>
  <si>
    <t>6.30</t>
  </si>
  <si>
    <t xml:space="preserve">B/W with machine moulded perforated bricks of class 125 in exposed BW i/c making grooves in CM 1:6 </t>
  </si>
  <si>
    <t xml:space="preserve">Brick work with common burnt clay machine moulded perforated F.P.S. (non modular) bricks of class designation 12.5 conforming IS : 2222 in exposed brick work including making horizontal and vertical grooves 10mm wide 12 mm deep complete in cement mortar 1:6 (1 cement : 6 coarse sand). </t>
  </si>
  <si>
    <t>6.30.1</t>
  </si>
  <si>
    <t>6.30.2</t>
  </si>
  <si>
    <t>6.31</t>
  </si>
  <si>
    <t xml:space="preserve">B/W with machine moulded perforated modular bricks of class 125 in exposed B/W i/c making grooves in CM 1:6 </t>
  </si>
  <si>
    <t xml:space="preserve">Brick work with common burnt clay machine moulded perforated modular bricks of class designation 12.5 conforming to IS : 2222 in exposed brick work including making horizontal and vertical grooves 10 mm wide 12mm deep complete in cement mortar 1:6 (1 cement : 6 coarse sand). </t>
  </si>
  <si>
    <t>6.31.1</t>
  </si>
  <si>
    <t>6.31.2</t>
  </si>
  <si>
    <t>6.32</t>
  </si>
  <si>
    <t xml:space="preserve">B/W with clay flyash with bricks in S/S above PL upto floor 5 level in </t>
  </si>
  <si>
    <t xml:space="preserve">Brick work with clay flyash F.P.S. (non modular) brick of class designation 7.5 in superstructure above plinth level up to floor five level in : </t>
  </si>
  <si>
    <t>6.32.1</t>
  </si>
  <si>
    <t>6.32.2</t>
  </si>
  <si>
    <t>6.34</t>
  </si>
  <si>
    <t xml:space="preserve">B/W with fly ash lime bricks of class 100 in in SS above PL to floor 5 level in </t>
  </si>
  <si>
    <t xml:space="preserve">Brick work with non modular fly ash bricks conforming to IS:12894, class designation 10 average compressive strength in super structure above plinth level up to floor V level in : </t>
  </si>
  <si>
    <t>6.34.1</t>
  </si>
  <si>
    <t>6.34.2</t>
  </si>
  <si>
    <t xml:space="preserve">Cement mortar 1:6 (1 cement : 6 Coarse sand) </t>
  </si>
  <si>
    <t>6.35</t>
  </si>
  <si>
    <t xml:space="preserve">B/W with calcium silicate bricks machine moulded of class designation 100 in in SS above PL to floor 5 level in </t>
  </si>
  <si>
    <t xml:space="preserve">Brick work with modular calcium silicate bricks machine moulded conforming to IS:4139, class designation 10 average compressive strength in super structure above plinth level up to floor V level in : </t>
  </si>
  <si>
    <t>6.35.1</t>
  </si>
  <si>
    <t>6.35.2</t>
  </si>
  <si>
    <t>6.36</t>
  </si>
  <si>
    <t xml:space="preserve">B/W extruded burnt flyash clay sewer bricks in found and plinth </t>
  </si>
  <si>
    <t xml:space="preserve">Brick work with modular extruded brunt fly ash clay sewer bricks (Conforming to IS: 4885 ) in cement mortar 1:4 (1 cement : 4 coarse sand) in foundation and plinth : </t>
  </si>
  <si>
    <t>6.36.1</t>
  </si>
  <si>
    <t xml:space="preserve">Cement Mortar 1:4 ( 1 cement : 4 coarse sand) </t>
  </si>
  <si>
    <t>6.37</t>
  </si>
  <si>
    <t xml:space="preserve">B/W with modular extruded burnt fly ash clay sewer in arches in found and plinth in CM 1:3 </t>
  </si>
  <si>
    <t xml:space="preserve">Brick work with modular extruded brunt fly ash clay sewer bricks (conforming to IS : 4885) in arches in foundation and plinth in cement mortar 1:3 ( 1 cement : 3 fine sand). </t>
  </si>
  <si>
    <t>6.38</t>
  </si>
  <si>
    <t xml:space="preserve">P/L AAC blocks masonry with 100 mm AAC blocks in S/S above PL upto floor 5 level in CM 1:4 </t>
  </si>
  <si>
    <t xml:space="preserve">Providing and laying autoclaved aerated Concrete (AAC) blocks masonry with 100mm / 125 mm thick with Grade 1 AAC blocks of density 551 to 650 kg/cum conforming to IS:2185 (Part 3) in super structure above plinth level up to floor V level in cement mortar 1:4 (1 cement : 4 coarse sand ). The rate includes providing and placing in position 2 Nos 6 mm dia M.S. bars at every third course of masonry work. </t>
  </si>
  <si>
    <t>6.40</t>
  </si>
  <si>
    <t xml:space="preserve">P/L Gypsum panel partitions 100 mm thick with water proof in SS above PL upto floor 5 level </t>
  </si>
  <si>
    <t xml:space="preserve">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t>
  </si>
  <si>
    <t>6.41</t>
  </si>
  <si>
    <t xml:space="preserve">Extra for Gypsum panel partitions in SS above floor 5 level </t>
  </si>
  <si>
    <t xml:space="preserve">Extra for Gypsum panel Partitions in superstructure above floor V level for every four floors or part thereof. </t>
  </si>
  <si>
    <t>6.44</t>
  </si>
  <si>
    <t xml:space="preserve">Brick edging 7cm wide 11.4cm deep to plinth protection </t>
  </si>
  <si>
    <t xml:space="preserve">Brick edging 7cm wide 11.4 cm deep to plinth protection with common burnt clay F.P.S. (non modular) bricks of class designation 7.5 including grouting with cement mortar 1:4 (1 cement : 4 fine sand). </t>
  </si>
  <si>
    <t>6.45</t>
  </si>
  <si>
    <t xml:space="preserve">Deduct for providing bricks of class 50 instead of class 75 .... </t>
  </si>
  <si>
    <t xml:space="preserve">Half brick masonry with non modular fly ash bricks of class designation 10, conformingio IS :12894, in super structure above plinth and upto floor V level. </t>
  </si>
  <si>
    <t>6.45.1</t>
  </si>
  <si>
    <t xml:space="preserve">Cement mortar 1 : 3 (1 cement : 3 coarse sand) </t>
  </si>
  <si>
    <t>6.45.2</t>
  </si>
  <si>
    <t xml:space="preserve">Cement mortar 1 : 4 (1 cement : 4 coarse sand) </t>
  </si>
  <si>
    <t>6.47</t>
  </si>
  <si>
    <t xml:space="preserve">Providing and laying autoclaved aerated cement blocks masonry </t>
  </si>
  <si>
    <t xml:space="preserve">Providing and laying autoclaved aerated cement blocks masonry with 150mm/230mm/300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t>
  </si>
  <si>
    <t xml:space="preserve">Total of the Sub-Head - Masonry Work :  </t>
  </si>
  <si>
    <t xml:space="preserve">        Sub-Head : Stone Work</t>
  </si>
  <si>
    <t>7.1</t>
  </si>
  <si>
    <t xml:space="preserve">RR masonry with hard stone in found &amp; plinth </t>
  </si>
  <si>
    <t xml:space="preserve">Random rubble masonry with hard stone in foundation and plinth including levelling up with cement concrete 1:6:12 (1 cement : 6 coarse sand : 12 graded stone aggregate 20mm nominal size) upto plinth level with : </t>
  </si>
  <si>
    <t>7.1.1</t>
  </si>
  <si>
    <t xml:space="preserve">in CM 1:6 </t>
  </si>
  <si>
    <t>7.2</t>
  </si>
  <si>
    <t xml:space="preserve">Extra for RR in SS above PL to floor 5 level </t>
  </si>
  <si>
    <t xml:space="preserve">Random rubble masonry with hard stone in superstructure above plinth level and upto floor five level, including leveling up with cement concrete 1:6:12 (1 cement : 6 coarse sand : 12 graded stone aggregate 20mm nominal size) at window sills, ceiling level and the like. </t>
  </si>
  <si>
    <t>7.2.1</t>
  </si>
  <si>
    <t>7.4</t>
  </si>
  <si>
    <t xml:space="preserve">Extra for RR masonry with hard stone in </t>
  </si>
  <si>
    <t xml:space="preserve">Extra for random rubble masonry with hard stone in : </t>
  </si>
  <si>
    <t>7.4.1</t>
  </si>
  <si>
    <t xml:space="preserve">Square or rectangular pillars </t>
  </si>
  <si>
    <t>7.4.2</t>
  </si>
  <si>
    <t xml:space="preserve">Circular pillars </t>
  </si>
  <si>
    <t xml:space="preserve">Circular pillars. </t>
  </si>
  <si>
    <t>7.5</t>
  </si>
  <si>
    <t xml:space="preserve">Extra for RR masonry with hard stone curved on plan for a mean radius not exceeding 6 m </t>
  </si>
  <si>
    <t xml:space="preserve">Extra for random rubble masonry with hard stone curved on plan for a mean radius not exceeding 6 m. </t>
  </si>
  <si>
    <t>7.6</t>
  </si>
  <si>
    <t xml:space="preserve">CR masonry (first sort) with hard stone in found and plinth with </t>
  </si>
  <si>
    <t xml:space="preserve">Coursed rubble masonry (first sort) with hard stone in foundation and plinth with : </t>
  </si>
  <si>
    <t>7.6.1</t>
  </si>
  <si>
    <t>7.7</t>
  </si>
  <si>
    <t xml:space="preserve">CR masonry (second sort) with hard stone in found &amp; plinth </t>
  </si>
  <si>
    <t xml:space="preserve">Coursed rubble masonry (second sort) with hard stone in foundation &amp; plinth with : </t>
  </si>
  <si>
    <t>7.7.1</t>
  </si>
  <si>
    <t>7.8</t>
  </si>
  <si>
    <t xml:space="preserve">Extra for CR masonry with hard stone in SS upto 5 level </t>
  </si>
  <si>
    <t xml:space="preserve">Coursed rubble masonry with hard stone (first or second sort) in superstructure above plinth level and upto floor five level. </t>
  </si>
  <si>
    <t>7.8.1</t>
  </si>
  <si>
    <t xml:space="preserve">Masonry work (first sort) , in cement mortar 1:6 (1 cement : 6 coarse sand) </t>
  </si>
  <si>
    <t>7.8.2</t>
  </si>
  <si>
    <t xml:space="preserve">Masonry work (second sort) , in cement mortar 1:6 (1 cement : 6 coarse sand) </t>
  </si>
  <si>
    <t>7.10</t>
  </si>
  <si>
    <t xml:space="preserve">Extra for CR masonry with hard stone (first/second sort) in </t>
  </si>
  <si>
    <t xml:space="preserve">Extra for coursed rubble masonry with hard stone (first or second sort) in : </t>
  </si>
  <si>
    <t>7.10.1</t>
  </si>
  <si>
    <t>7.10.2</t>
  </si>
  <si>
    <t>7.11</t>
  </si>
  <si>
    <t xml:space="preserve">Extra for CR masonry with hard stone curved on plan for mean radius not exceeding 6 m </t>
  </si>
  <si>
    <t xml:space="preserve">Extra for coursed rubble masonry with hard stone (first or second sort) curved on plan for a mean radius not exceeding 6 m. </t>
  </si>
  <si>
    <t>7.12</t>
  </si>
  <si>
    <t xml:space="preserve">Stone work in plain ashlar in SS upto floor 5 level in CM 1:6 </t>
  </si>
  <si>
    <t xml:space="preserve">Stone work in plain ashlar in super structure upto floor five level in cement mortar 1:6 (1 cement : 6 coarse sand) including pointing with cement mortar 1:2 (1 white cement : 2 stone dust) with an admixture of pigment matching the stone shade : </t>
  </si>
  <si>
    <t>7.12.1</t>
  </si>
  <si>
    <t xml:space="preserve">One face dressed </t>
  </si>
  <si>
    <t xml:space="preserve">One face dressed. </t>
  </si>
  <si>
    <t>7.12.1.1</t>
  </si>
  <si>
    <t xml:space="preserve">Red sand stone </t>
  </si>
  <si>
    <t>7.12.1.2</t>
  </si>
  <si>
    <t xml:space="preserve">White sand stone </t>
  </si>
  <si>
    <t>7.12.2</t>
  </si>
  <si>
    <t xml:space="preserve">Both face dressed </t>
  </si>
  <si>
    <t xml:space="preserve">Both face dressed. </t>
  </si>
  <si>
    <t>7.12.2.1</t>
  </si>
  <si>
    <t xml:space="preserve">Red sand stone. </t>
  </si>
  <si>
    <t>7.12.2.2</t>
  </si>
  <si>
    <t>7.13</t>
  </si>
  <si>
    <t xml:space="preserve">S/W plain ashlar in arches </t>
  </si>
  <si>
    <t xml:space="preserve">Stone work plain ashlar in arches in super structure upto floor V level in cement mortar 1:3 (1 cement : 3 coarse sand) including centring, shuttering and pointing with white cement mortar 1:2 (1 white cement : 2 stone dust) with an admixture of pigment matching the stone shade. </t>
  </si>
  <si>
    <t>7.13.1</t>
  </si>
  <si>
    <t>7.13.1.1</t>
  </si>
  <si>
    <t>7.13.1.2</t>
  </si>
  <si>
    <t>7.13.2</t>
  </si>
  <si>
    <t>7.13.2.1</t>
  </si>
  <si>
    <t>7.13.2.2</t>
  </si>
  <si>
    <t>7.14</t>
  </si>
  <si>
    <t xml:space="preserve">Stone work plain ashlar in domes in CM 1:3 </t>
  </si>
  <si>
    <t xml:space="preserve">Stone work plain ashlar in domes, in super structure upto floor V level in cement mortar 1:3 (1 cement : 3 coarse sand) including centring, shuttering and pointing with white cement mortar 1:2 (1 white cement : 2 stone dust) with an admixture of pigment matching the stone shade. </t>
  </si>
  <si>
    <t>7.14.1</t>
  </si>
  <si>
    <t>7.14.1.1</t>
  </si>
  <si>
    <t>7.14.1.2</t>
  </si>
  <si>
    <t>7.14.2</t>
  </si>
  <si>
    <t>7.14.2.1</t>
  </si>
  <si>
    <t>7.14.2.2</t>
  </si>
  <si>
    <t>7.15</t>
  </si>
  <si>
    <t xml:space="preserve">Stone work ashlar punched (ordinary) in SS upto floor 5 level in CM 1:6 </t>
  </si>
  <si>
    <t xml:space="preserve">Stone work ashlar punched (ordinary) in superstructure upto floor five level in cement mortar 1:6 (1 white cement : 6 coarse sand) including pointing with cement mortar 1:2 (1 white cement : 2 stone dust) with an admixture of pigment matching the stone shade. </t>
  </si>
  <si>
    <t>7.15.1</t>
  </si>
  <si>
    <t xml:space="preserve">One face Punched </t>
  </si>
  <si>
    <t>7.15.1.1</t>
  </si>
  <si>
    <t>7.15.1.2</t>
  </si>
  <si>
    <t xml:space="preserve">White sand stone. </t>
  </si>
  <si>
    <t>7.15.2</t>
  </si>
  <si>
    <t xml:space="preserve">Both faced punched </t>
  </si>
  <si>
    <t>7.15.2.1</t>
  </si>
  <si>
    <t>7.15.2.2</t>
  </si>
  <si>
    <t>7.16</t>
  </si>
  <si>
    <t xml:space="preserve">Extra for stone work, plain ashlar or ashlar punched above floor V level for every four floors or part thereof. </t>
  </si>
  <si>
    <t xml:space="preserve">for Extra stone work, random rubble / coursed rubble masonry / ashlar masonry above floor V level for every four floors or part thereof by mechnical means. </t>
  </si>
  <si>
    <t>7.17</t>
  </si>
  <si>
    <t xml:space="preserve">Extra for plain ashlar or ashlar punched in :- </t>
  </si>
  <si>
    <t xml:space="preserve">Extra for plain ashlar or ashlar punched in : </t>
  </si>
  <si>
    <t>7.17.1</t>
  </si>
  <si>
    <t xml:space="preserve">Square or rectangular pillars. </t>
  </si>
  <si>
    <t>7.18</t>
  </si>
  <si>
    <t xml:space="preserve">Extra for stone work; plain ashlar/ashlar punched curved on plan with a mean radius not exceeding 6 metre. </t>
  </si>
  <si>
    <t xml:space="preserve">Extra for stone work; plain ashlar or ashlar punched curved on plan with a mean radius not exceeding 6 m. </t>
  </si>
  <si>
    <t>7.19</t>
  </si>
  <si>
    <t xml:space="preserve">Extra for additional cost of centring for arches exceeding 6 m span. </t>
  </si>
  <si>
    <t xml:space="preserve">Extra for additional cost of centering for arches exceeding 6m span including all strutting, bolting, wedging etc. and removal (area of soffit to be measured). </t>
  </si>
  <si>
    <t>7.20</t>
  </si>
  <si>
    <t xml:space="preserve">Stone work sunk or moulded or sunk and moulded upto floor V level in CM 1 : 6 CS :- </t>
  </si>
  <si>
    <t xml:space="preserve">Stone work ashlar sunk or moulded or sunk and moulded upto floor five level in cement mortar 1:6 (1 cement : 6 coarse sand) including pointing with white cement mortar 1:2 (1 white cement : 2 stone dust) with an admixture of pigment matching the stone shade : </t>
  </si>
  <si>
    <t>7.20.1</t>
  </si>
  <si>
    <t>7.20.2</t>
  </si>
  <si>
    <t>7.21</t>
  </si>
  <si>
    <t xml:space="preserve">Extra for stone work sunk or moulded or sunk and moulded or carved in : </t>
  </si>
  <si>
    <t xml:space="preserve">Extra for stone work ashlar sunk or moulded or sunk and moulded or carved in : </t>
  </si>
  <si>
    <t>7.21.1</t>
  </si>
  <si>
    <t xml:space="preserve">Triangular or Square or rectangular pillars. </t>
  </si>
  <si>
    <t xml:space="preserve">Triangular or Square or rectangular pillars </t>
  </si>
  <si>
    <t>7.21.2</t>
  </si>
  <si>
    <t xml:space="preserve">Circular or polygonal pillars. </t>
  </si>
  <si>
    <t xml:space="preserve">Circular or polygonal pillars </t>
  </si>
  <si>
    <t>7.22</t>
  </si>
  <si>
    <t xml:space="preserve">Extra for stone work sunk or moulded in cornices. </t>
  </si>
  <si>
    <t xml:space="preserve">Extra for stone work ashlar sunk or moulded in cornices. </t>
  </si>
  <si>
    <t xml:space="preserve">per metre per cm girth                    </t>
  </si>
  <si>
    <t>7.24</t>
  </si>
  <si>
    <t xml:space="preserve">Extra for stone work (veneer work) curved on plan with a mean radius not exceeding 6 m. </t>
  </si>
  <si>
    <t>7.26</t>
  </si>
  <si>
    <t xml:space="preserve">P/F stone dowels 10 x 5 x 2.50 Cm cut to double wedge shape as per design. </t>
  </si>
  <si>
    <t xml:space="preserve">Providing and fixing stone dowels 10x5x2.50 cm cut to double wedge shape as per design in cement mortar 1:2 (1 cement : 2 coarse sand) including making the necessary chases. </t>
  </si>
  <si>
    <t>7.28</t>
  </si>
  <si>
    <t xml:space="preserve">P/F sloping chajja of stone 40mm thick &amp; upto 80cm wide beyond the wall as measured along the slope in CM 1:4 </t>
  </si>
  <si>
    <t xml:space="preserve">Providing and fixing sloping chajja of stone 40 mm thick and upto 80 cm wide beyond the wall as measured along the slope in cement mortar 1:4 (1 cement : 4 coarse sand) with 12mm diameter anchoring steel bar 45 cm long fixed in each stone and supported on and including with bricks cove in cement mortar 1:4 (1 cement : 4 coarse sand) including pointing in cement mortar 1:2 (1 white cement : 2 stone dust) with an admixture of pigment matching the stone shade: </t>
  </si>
  <si>
    <t>7.28.1</t>
  </si>
  <si>
    <t xml:space="preserve">Red sand stone: </t>
  </si>
  <si>
    <t>7.28.1.1</t>
  </si>
  <si>
    <t xml:space="preserve">With F.P.S. Bricks. </t>
  </si>
  <si>
    <t xml:space="preserve">With common burnt clay F.P.S.(non modular) bricks of class designation 7.5 </t>
  </si>
  <si>
    <t>7.28.2</t>
  </si>
  <si>
    <t xml:space="preserve">White sand stone : </t>
  </si>
  <si>
    <t xml:space="preserve">White sand stone: </t>
  </si>
  <si>
    <t>7.28.2.1</t>
  </si>
  <si>
    <t xml:space="preserve">With F.P.S. bricks. </t>
  </si>
  <si>
    <t>7.29</t>
  </si>
  <si>
    <t xml:space="preserve">P/F horizontal chajja of stone 40 mm thick and upto 80 cm in C.M. 1 :4 CS :- </t>
  </si>
  <si>
    <t xml:space="preserve">Providing and fixing horizontal chajja of stone 40 mm thick and upto 80 cm projection in cement mortar 1:4 (1 cement : 4 coarse sand) including pointing in white cement mortar 1:2 (1 white cement : 2 stone dust) with an admixture of pigment matching the stone shade: : </t>
  </si>
  <si>
    <t>7.29.1</t>
  </si>
  <si>
    <t>7.29.2</t>
  </si>
  <si>
    <t>7.30</t>
  </si>
  <si>
    <t xml:space="preserve">30 mm red sand stone sun-shade (chisel-dressed) supported on stone brackets, fixed in walls with CM 1 : 4 CS. </t>
  </si>
  <si>
    <t xml:space="preserve">30mm red sand stone sun-shade (chisel-dressed) supported on red sand stone brackets, fixed in walls with cement mortar 1:4 (1 cement : 4 coarse sand) including finishing complete. </t>
  </si>
  <si>
    <t>7.31</t>
  </si>
  <si>
    <t xml:space="preserve">P/F red sand stone brackets 55x22.5x45 cm sunk &amp; moulded i/c P/F with 4 No. gun metal cramps 25 x 6 mm, 30 cm long. </t>
  </si>
  <si>
    <t xml:space="preserve">Providing and fixing red sand stone brackets 55x22.5x45cm sunk and moulded including providing and fixing with 4 Nos. gun metal cramp 25x6mm 30 cm long and dowel bars 7.5 cm long 6 mm dia as per design. </t>
  </si>
  <si>
    <t>7.32</t>
  </si>
  <si>
    <t xml:space="preserve">Stone work, plain in copings, cornices, string courses and plinth courses, in CM 1:6 CS: </t>
  </si>
  <si>
    <t xml:space="preserve">Stone work, plain in copings, cornices, string courses and plinth courses, upto 75 mm thick in Cement mortar 1:6 (1 cement : 6 coarse sand) including pointing with white cement mortar 1:2 (1 white cement : 2 stone dust) with an admixture of pigment matching the stone shade. </t>
  </si>
  <si>
    <t>7.32.1</t>
  </si>
  <si>
    <t>7.32.2</t>
  </si>
  <si>
    <t>7.33</t>
  </si>
  <si>
    <t xml:space="preserve">P/F stone jali 40 mm thick throughout in CM 1:3 </t>
  </si>
  <si>
    <t xml:space="preserve">Providing and fixing stone jali 40mm thick throughout in cement mortar 1:3 (1 cement : 3 coarse sand) including pointing in white cement mortar 1:2 (1 white cement : 2 stone dust) with an admixture of pigment, matching the stone shade, jali slab without any chamfers etc. </t>
  </si>
  <si>
    <t>7.33.1</t>
  </si>
  <si>
    <t>7.33.2</t>
  </si>
  <si>
    <t>7.34</t>
  </si>
  <si>
    <t xml:space="preserve">Extra for laying stone work in or under water and/or liquid mud i/c pumping/bailing out water and removing slush. </t>
  </si>
  <si>
    <t xml:space="preserve">Extra for laying stone work in or under water and/or liquid mud including cost of pumping or bailing out water and removing slush etc., complete. (NOTE:-The quantity will be calculated by multiplying the depth measured from sub-soil water level upto the centre of gravity of stone work under sub-water with the quantity of stone work in cum executed under the sub-soil water. The depth of centre of gravity shall be reckoned correct to 0.1m 0.05m or more shall be taken as 0.1m and less than 0.05m ignored). </t>
  </si>
  <si>
    <t xml:space="preserve">cum/ mtr depth                            </t>
  </si>
  <si>
    <t>7.35</t>
  </si>
  <si>
    <t xml:space="preserve">Extra for stone work in or uder foul position . </t>
  </si>
  <si>
    <t xml:space="preserve">Extra for laying stone work in or under foul position. </t>
  </si>
  <si>
    <t>7.38</t>
  </si>
  <si>
    <t xml:space="preserve">Stone tile work for wall lining:- </t>
  </si>
  <si>
    <t xml:space="preserve">Stone tile work for wall lining upto 10 m height with special adhesive over 12mm thick bed of cement mortar 1:3 (1 cement : 3 coarse sand) including pointing in white cement with an admixture of pigment to match the stone shade. </t>
  </si>
  <si>
    <t>7.38.1</t>
  </si>
  <si>
    <t xml:space="preserve">8 mm thick :- </t>
  </si>
  <si>
    <t xml:space="preserve">8mm thick (mirror polished and machine cut edge) </t>
  </si>
  <si>
    <t>7.38.1.1</t>
  </si>
  <si>
    <t xml:space="preserve">Granite stone of any colours. </t>
  </si>
  <si>
    <t xml:space="preserve">Granite stone of any colour and shade. </t>
  </si>
  <si>
    <t>7.38.1.2</t>
  </si>
  <si>
    <t xml:space="preserve">Raj Nagar/Udaipur/ Zebra stone. </t>
  </si>
  <si>
    <t xml:space="preserve">Raj Nagar plain white marble/ Udaipur green marble/ Zebra black marble. </t>
  </si>
  <si>
    <t xml:space="preserve">Total of the Sub-Head - Stone Work :  </t>
  </si>
  <si>
    <t xml:space="preserve">        Sub-Head : Cladding Work</t>
  </si>
  <si>
    <t>8.1</t>
  </si>
  <si>
    <t xml:space="preserve">Marble work for wall lining (veneer work) in CM 1:3 </t>
  </si>
  <si>
    <t xml:space="preserve">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t>
  </si>
  <si>
    <t>8.1.1</t>
  </si>
  <si>
    <t xml:space="preserve">Raj Nagar marble </t>
  </si>
  <si>
    <t xml:space="preserve">Raj Nagar Plain white marble/ Udaipur green marble/ Zebra black marble. </t>
  </si>
  <si>
    <t>8.1.1.1</t>
  </si>
  <si>
    <t xml:space="preserve">Area upto 0.50 Sqm </t>
  </si>
  <si>
    <t xml:space="preserve">Area of slab upto 0.50 sqm </t>
  </si>
  <si>
    <t>8.1.1.2</t>
  </si>
  <si>
    <t xml:space="preserve">Area of slab above 0.50 Sqm </t>
  </si>
  <si>
    <t xml:space="preserve">Area of slab over 0.50 sqm </t>
  </si>
  <si>
    <t>8.2</t>
  </si>
  <si>
    <t xml:space="preserve">P/F 18mm thick for kitchen platforms etc over 20mm CM 1:4 </t>
  </si>
  <si>
    <t xml:space="preserve">Providing and fixing 18 mm thick gang saw cut, mirror polished, premoulded and prepolished, machine cut for kitchen platforms, vanity counters, window sills, facias and similar locations of required size,approved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 </t>
  </si>
  <si>
    <t>8.2.1</t>
  </si>
  <si>
    <t xml:space="preserve">Raj Nagar Plain white marble/ Udaipur green marble/ Zebra black marble </t>
  </si>
  <si>
    <t>8.2.1.1</t>
  </si>
  <si>
    <t>8.2.1.2</t>
  </si>
  <si>
    <t>8.2.2</t>
  </si>
  <si>
    <t xml:space="preserve">Granite </t>
  </si>
  <si>
    <t xml:space="preserve">Granite stone slab colour black, Cherry/Ruby red </t>
  </si>
  <si>
    <t>8.2.2.1</t>
  </si>
  <si>
    <t>8.2.2.2</t>
  </si>
  <si>
    <t>8.2.3</t>
  </si>
  <si>
    <t xml:space="preserve">Granite except black, cherry/ Ruby red </t>
  </si>
  <si>
    <t xml:space="preserve">Granite stone slab all colour and texture except black, Cherry/ Ruby red </t>
  </si>
  <si>
    <t>8.2.3.1</t>
  </si>
  <si>
    <t>8.2.3.2</t>
  </si>
  <si>
    <t>8.3</t>
  </si>
  <si>
    <t xml:space="preserve">Extra for providing edge moulding to 18mm thick stone counters, vanities etc </t>
  </si>
  <si>
    <t xml:space="preserve">Providing edge moulding to 18 mm thick marble stone counters, Vanities etc., including machine polishing to edge to give high gloss finish etc. complete as per design approved by Engineer-in-Charge. </t>
  </si>
  <si>
    <t>8.3.1</t>
  </si>
  <si>
    <t xml:space="preserve">Marble work </t>
  </si>
  <si>
    <t>8.3.2</t>
  </si>
  <si>
    <t xml:space="preserve">Granite work </t>
  </si>
  <si>
    <t>8.4</t>
  </si>
  <si>
    <t xml:space="preserve">Extra for fixing marble/ granite stone in facia and drops of width upto 150mm with expoxy resin based </t>
  </si>
  <si>
    <t xml:space="preserve">Extra for fixing marble /granite stone, over and above corresponding basic item, in facia and drops of width upto 150 mm with epoxy resin based adhesive, including cleaning etc. complete. </t>
  </si>
  <si>
    <t>8.5</t>
  </si>
  <si>
    <t xml:space="preserve">Extra for providing opening wash basins/kitchen etc., sink in marble/ granite/ stone work. </t>
  </si>
  <si>
    <t xml:space="preserve">Extra for providing opening of required size &amp; shape for wash basin/kitchen sink in kitchen platform, vanity counter and similar location in marble/ Granite/ stone work, including necessary holes for pillar taps etc. including moulding, rubbing and polishing of cut edges etc. complete </t>
  </si>
  <si>
    <t>8.6</t>
  </si>
  <si>
    <t xml:space="preserve">Mirror polishing on marble / granite work to give high gloss finish complete. </t>
  </si>
  <si>
    <t xml:space="preserve">Mirror polishing on marble work/Granite work/stone work where ever required to give high gloss finish complete. </t>
  </si>
  <si>
    <t>8.7</t>
  </si>
  <si>
    <t xml:space="preserve">P/F cramps in RCC/CC backing with CM 1 : 2 CS i/c drilling necessary hole in stones and embedding the cramp in the hole :- </t>
  </si>
  <si>
    <t xml:space="preserve">Providing and fixing cramps of required size &amp; shape in RCC/ CC / Brick masonry backing with cement mortar 1:2 ( 1 cement :2 coarse sand),including drilling necessary hole in stones and embedding the cramp in the hole (fastener to be paid separately). </t>
  </si>
  <si>
    <t>8.7.1</t>
  </si>
  <si>
    <t xml:space="preserve">Gunmetal cramps. </t>
  </si>
  <si>
    <t xml:space="preserve">Gunmetal cramps </t>
  </si>
  <si>
    <t>8.7.2</t>
  </si>
  <si>
    <t xml:space="preserve">Stainless steel cramps. </t>
  </si>
  <si>
    <t xml:space="preserve">Stainless steel cramps </t>
  </si>
  <si>
    <t>8.8</t>
  </si>
  <si>
    <t xml:space="preserve">P/F expansion hold fasteners on CC/R.C.C. surface backing i/c drilling hole - </t>
  </si>
  <si>
    <t xml:space="preserve">Providing and fixing expansion hold fasteners on C.C. /R.C.C. /Brick masonry surface backing including drilling necessary holes and the cost of bolt etc complete. </t>
  </si>
  <si>
    <t>8.8.1</t>
  </si>
  <si>
    <t xml:space="preserve">Wedge expansion type : </t>
  </si>
  <si>
    <t xml:space="preserve">Wedge expansion type </t>
  </si>
  <si>
    <t>8.8.1.1</t>
  </si>
  <si>
    <t xml:space="preserve">Fastner with threaded dia. 6 mm. </t>
  </si>
  <si>
    <t xml:space="preserve">Fastener with threaded dia 6 mm </t>
  </si>
  <si>
    <t>8.8.1.2</t>
  </si>
  <si>
    <t xml:space="preserve">Fastner with threaded dia. 10 mm. </t>
  </si>
  <si>
    <t xml:space="preserve">Fastener with threaded dia 10 mm </t>
  </si>
  <si>
    <t>8.8.1.3</t>
  </si>
  <si>
    <t xml:space="preserve">Fastner with threaded dia. 12 mm. </t>
  </si>
  <si>
    <t xml:space="preserve">Fastener with threaded dia 12 mm </t>
  </si>
  <si>
    <t>8.9</t>
  </si>
  <si>
    <t xml:space="preserve">Stone tile (polished) work for wall lining over 12 mm thick bed of CM 1: 3 CS :- </t>
  </si>
  <si>
    <t xml:space="preserve">Stone tile (polished) work for wall lining over 12 mm thick bed of cement mortar 1:3 (1 cement : 3 coarse sand) and cement slurry @ 3.3 kg/sqm including pointing in white cement complete. </t>
  </si>
  <si>
    <t>8.9.1</t>
  </si>
  <si>
    <t xml:space="preserve">8 mm thick: </t>
  </si>
  <si>
    <t xml:space="preserve">8mm thick </t>
  </si>
  <si>
    <t>8.9.1.1</t>
  </si>
  <si>
    <t xml:space="preserve">Raj Nagar plain/ Udaipur green marble/ Zebra black marble. </t>
  </si>
  <si>
    <t xml:space="preserve">Raj nagar plain white marble/ Udaipur green marble/ Zebra black marble </t>
  </si>
  <si>
    <t>8.9.1.2</t>
  </si>
  <si>
    <t xml:space="preserve">Granite of any colour and shade. </t>
  </si>
  <si>
    <t xml:space="preserve">Granite of any colour and shade </t>
  </si>
  <si>
    <t>8.10</t>
  </si>
  <si>
    <t xml:space="preserve">P/F stone slab table rubbed, edges rounded and polishe 75 x 50cm and 1.8cm thick in urinal partitions: </t>
  </si>
  <si>
    <t xml:space="preserve">Providing and fixing stone slab with table rubbed, edges rounded and polished, of size 75x50 cm deep and 1.8 cm thick, fixed in urinalpartitions by cutting a chase of appropriate width with chase cutter and embedding the stone in the chase with epoxy grout or with cement concrete 1:2:4 (1 cement : 2 coarse sand : 4 graded stone aggregate 6 mm nominal size) as per direction of Engineer-in-charge and finishedsmooth. </t>
  </si>
  <si>
    <t>8.10.1</t>
  </si>
  <si>
    <t xml:space="preserve">White Agaria Marble stone. </t>
  </si>
  <si>
    <t xml:space="preserve">White Agaria Marble Stone </t>
  </si>
  <si>
    <t>8.10.2</t>
  </si>
  <si>
    <t xml:space="preserve">Granite Stone of approved shade. </t>
  </si>
  <si>
    <t xml:space="preserve">Granite Stone of approved shade </t>
  </si>
  <si>
    <t>8.11</t>
  </si>
  <si>
    <t xml:space="preserve">P/F machine cut, mirror / eggshell polished , Marblestone work for wall lining (veneer work) - 18 mm thick Italian Marble stone slab,Perlato, Rosso verona, Fire Red or Dark Emperadore etc. </t>
  </si>
  <si>
    <t xml:space="preserve">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t>
  </si>
  <si>
    <t>8.11.1</t>
  </si>
  <si>
    <t xml:space="preserve">18 mm thick Italian Marble stone slab,Perlato, Rosso verona, Fire Red or Dark Emperadore etc. </t>
  </si>
  <si>
    <t>8.14</t>
  </si>
  <si>
    <t xml:space="preserve">Stone work (machine cut edges) for wall lining etc. (veneer work) : </t>
  </si>
  <si>
    <t xml:space="preserve">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t>
  </si>
  <si>
    <t>8.14.1</t>
  </si>
  <si>
    <t xml:space="preserve">Red sand stone - exposed face fine dressed with rough backing. </t>
  </si>
  <si>
    <t>8.14.1.1</t>
  </si>
  <si>
    <t xml:space="preserve">70 mm thick </t>
  </si>
  <si>
    <t>8.14.1.2</t>
  </si>
  <si>
    <t xml:space="preserve">60 mm thick </t>
  </si>
  <si>
    <t>8.14.1.3</t>
  </si>
  <si>
    <t>8.14.1.4</t>
  </si>
  <si>
    <t>8.14.1.5</t>
  </si>
  <si>
    <t xml:space="preserve">30 mm thick </t>
  </si>
  <si>
    <t>8.14.2</t>
  </si>
  <si>
    <t xml:space="preserve">Red sand stone - Exposed face machine cut and table rubbed with rough backing. </t>
  </si>
  <si>
    <t>8.14.2.1</t>
  </si>
  <si>
    <t>8.14.2.2</t>
  </si>
  <si>
    <t>8.14.2.3</t>
  </si>
  <si>
    <t>8.14.2.4</t>
  </si>
  <si>
    <t>8.14.2.5</t>
  </si>
  <si>
    <t>8.14.3</t>
  </si>
  <si>
    <t>8.14.3.1</t>
  </si>
  <si>
    <t>8.14.3.2</t>
  </si>
  <si>
    <t>8.14.3.3</t>
  </si>
  <si>
    <t>8.14.3.4</t>
  </si>
  <si>
    <t>8.14.3.5</t>
  </si>
  <si>
    <t>8.14.4</t>
  </si>
  <si>
    <t xml:space="preserve">White sand stone - Exposed face machine cut and table rubbed with rough backing. </t>
  </si>
  <si>
    <t>8.14.4.1</t>
  </si>
  <si>
    <t>8.14.4.2</t>
  </si>
  <si>
    <t>8.14.4.3</t>
  </si>
  <si>
    <t>8.14.4.4</t>
  </si>
  <si>
    <t>8.14.4.5</t>
  </si>
  <si>
    <t>8.14.5</t>
  </si>
  <si>
    <t xml:space="preserve">Gang saw cut stone </t>
  </si>
  <si>
    <t>8.14.5.1</t>
  </si>
  <si>
    <t xml:space="preserve">30mm thick White sand stone </t>
  </si>
  <si>
    <t>8.14.5.2</t>
  </si>
  <si>
    <t xml:space="preserve">30mm thick Red sand stone </t>
  </si>
  <si>
    <t>8.15</t>
  </si>
  <si>
    <t xml:space="preserve">P/F stainless steel cramps : </t>
  </si>
  <si>
    <t xml:space="preserve">Providing and fixing stainless steel cramps of required size and shape for anchoring stone wall lining to the backing or securing adjacent stones in stone wall lining in cement mortar 1:2 (1 cement : 2 coarse sand), including making the necessary chases in stone and holes in wallswherever required. </t>
  </si>
  <si>
    <t>8.16</t>
  </si>
  <si>
    <t xml:space="preserve">P/F copper pins 7.5 cm long 6 mm diameter for securing adjacent stones in stone wall lining : </t>
  </si>
  <si>
    <t xml:space="preserve">Providing and fixing copper pins 7.5 cm long 6 mm diameter for securing adjacent stones in stone wall lining in cement mortar 1:2 (1 cement : 2 coarse sand), including making the necessary chases. </t>
  </si>
  <si>
    <t>8.17</t>
  </si>
  <si>
    <t xml:space="preserve">Wall lining butch work upto 10m height with Dholpur stone 40 mm thick rough facing on the exposed surface with stone strips of minimum length 300 mm and required width: </t>
  </si>
  <si>
    <t xml:space="preserve">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 </t>
  </si>
  <si>
    <t>8.18</t>
  </si>
  <si>
    <t xml:space="preserve">Stone work (machine cut edges Veneer work) for wall lining upto 10 m height, backing filled with a grout of 12 mm thick cement mortar 1:3 : </t>
  </si>
  <si>
    <t xml:space="preserve">Stone work (machine cut edges Veneer work) for wall lining upto 10 m height, backing filled with a grout of 12 mm thick cement mortar 1:3 (1 Cement : 3 coarse sand) and jointed with Cement mortar 1:2 (1 cement : 2 stone dust), including rubbing and polishing complete. (To be secured to the backing and the sides by means of cramps and pins which shallbe paid for separately). </t>
  </si>
  <si>
    <t>8.18.1</t>
  </si>
  <si>
    <t xml:space="preserve">Kota stone slabs exposed face dressed and rubbed. </t>
  </si>
  <si>
    <t>8.18.1.1</t>
  </si>
  <si>
    <t>8.19</t>
  </si>
  <si>
    <t xml:space="preserve">Extra for stone work for wall lining on exterior walls of height more than 10 m from ground level for every additional height of 3 m or part there of. </t>
  </si>
  <si>
    <t>8.20</t>
  </si>
  <si>
    <t xml:space="preserve">P/F dry cladding upto 10 metre heights with 30mm thick gang saw cut stone : </t>
  </si>
  <si>
    <t xml:space="preserve">Providing and fixing dry cladding upto 10 metre heights with 30mm thick gang saw cut stone with (machine cut edges) of uniform colour andsize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t>
  </si>
  <si>
    <t>8.20.1</t>
  </si>
  <si>
    <t xml:space="preserve">Red sand stone - 30mm thick gang saw cut stone </t>
  </si>
  <si>
    <t>8.20.2</t>
  </si>
  <si>
    <t xml:space="preserve">White sand stone - 30mm thick gang saw cut stone </t>
  </si>
  <si>
    <t>8.21</t>
  </si>
  <si>
    <t xml:space="preserve">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t>
  </si>
  <si>
    <t xml:space="preserve">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Engineer-in-charge for approval before execution). The frame work shall be fixed in true horizontal &amp; vertical lines/planes. (Only structural steel frame work shall be measured for the purpose of payment, stainless steel cramps shall be paid for separately and nothing extra shall be paid). </t>
  </si>
  <si>
    <t>8.22</t>
  </si>
  <si>
    <t xml:space="preserve">P/F adjustable stainless steel cramps of approved quality </t>
  </si>
  <si>
    <t xml:space="preserve">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 </t>
  </si>
  <si>
    <t>8.23</t>
  </si>
  <si>
    <t xml:space="preserve">Providing 50x50x50 mm 2nd class teak wood plugs </t>
  </si>
  <si>
    <t xml:space="preserve">Providing 50x50x50 mm 2nd class teak wood plugs including cutting brick work and fixing in cement mortar 1:3 (1 cement : 3 fine sand) and making good the walls etc. </t>
  </si>
  <si>
    <t>8.24</t>
  </si>
  <si>
    <t xml:space="preserve">P/F expandable fasteners masonry work /CC/ R.C.C. and making good etc. complete. </t>
  </si>
  <si>
    <t xml:space="preserve">Providing and fixing expandable fasteners of specified size with necessary plastic sleeves and galvanised M.S. screws including drilling holes in masonry work /CC/ R.C.C. and making good etc. complete. </t>
  </si>
  <si>
    <t>8.24.1</t>
  </si>
  <si>
    <t xml:space="preserve">25 mm long </t>
  </si>
  <si>
    <t>8.24.2</t>
  </si>
  <si>
    <t xml:space="preserve">32 mm long </t>
  </si>
  <si>
    <t>8.24.3</t>
  </si>
  <si>
    <t xml:space="preserve">40 mm long </t>
  </si>
  <si>
    <t>8.24.4</t>
  </si>
  <si>
    <t xml:space="preserve">50 mm long </t>
  </si>
  <si>
    <t>8.25</t>
  </si>
  <si>
    <t xml:space="preserve">P/F 2nd class teak wood plain lining tongued and grooved </t>
  </si>
  <si>
    <t xml:space="preserve">Providing and fixing 2nd class teak wood plain lining tongued and grooved, including wooden plugs complete with necessary screws and priming coat on unexposed surface. </t>
  </si>
  <si>
    <t>8.25.1</t>
  </si>
  <si>
    <t>8.25.2</t>
  </si>
  <si>
    <t>8.25.3</t>
  </si>
  <si>
    <t xml:space="preserve">20 mm thick </t>
  </si>
  <si>
    <t>8.25.4</t>
  </si>
  <si>
    <t xml:space="preserve">12 mm thick </t>
  </si>
  <si>
    <t>8.26</t>
  </si>
  <si>
    <t xml:space="preserve">P/F in wall lining flat pressed three layer MDF board: </t>
  </si>
  <si>
    <t xml:space="preserve">Providing and fixing in wall lining flat pressed three layer (medium density) particle board or graded wood Pre-laminated one side decorative lamination and other side balancing lamination Grade I, Type II, IS : 12823 marked, including priming coat on unexposed arrangement andscrews etc. complete : </t>
  </si>
  <si>
    <t>8.26.1</t>
  </si>
  <si>
    <t>8.26.2</t>
  </si>
  <si>
    <t xml:space="preserve">18 mm thick </t>
  </si>
  <si>
    <t>8.26.3</t>
  </si>
  <si>
    <t>8.27</t>
  </si>
  <si>
    <t xml:space="preserve">P/F wood frame work consisting of battens 50x25mm fixed with rawl plug </t>
  </si>
  <si>
    <t xml:space="preserve">Providing and fixing specified wood frame work consisting of battens 50x25mm fixed with rawl plug and drilling necessary holes for rawl plug etc. including priming coat complete. </t>
  </si>
  <si>
    <t>8.27.1</t>
  </si>
  <si>
    <t xml:space="preserve">Kiln seasoned and chemically treated hollock wood </t>
  </si>
  <si>
    <t>8.28</t>
  </si>
  <si>
    <t xml:space="preserve">P/F plywood 4 mm thick, one side decorative veneer conforming to IS: 1328 (type-1), for plain lining / cladding </t>
  </si>
  <si>
    <t xml:space="preserve">Providing and fixing plywood 4 mm thick, one side decorative veneer conforming to IS: 1328 (type-1), for plain lining / cladding with necessary screws, including priming coat on unexposed surface with : </t>
  </si>
  <si>
    <t>8.28.1</t>
  </si>
  <si>
    <t xml:space="preserve">Decorative veneer facings of approved manufacture </t>
  </si>
  <si>
    <t>8.29</t>
  </si>
  <si>
    <t xml:space="preserve">P/F 4mm thick coir veneer board, plain lining </t>
  </si>
  <si>
    <t xml:space="preserve">Providing and fixing 4mm thick coir veneer board, ISI marked IS : 14842, plain lining with necessary screws, priming coat on unexposed surface etc., complete. </t>
  </si>
  <si>
    <t>8.30</t>
  </si>
  <si>
    <t xml:space="preserve">P/F skirting with Pre-laminated (one side lamination) flat pressed 3 layer or graded particle board </t>
  </si>
  <si>
    <t xml:space="preserve">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t>
  </si>
  <si>
    <t>8.30.1</t>
  </si>
  <si>
    <t>8.30.2</t>
  </si>
  <si>
    <t>8.31</t>
  </si>
  <si>
    <t xml:space="preserve">P/F Ist quality ceramic glazed wall tiles conforming to IS: 15622 (thickness to be specified by the manufacturer), of approvedmake,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 </t>
  </si>
  <si>
    <t xml:space="preserve">Providing and fixing Ist quality ceramic glazed wall tiles conforming to IS: 15622 (thickness to be specified by the manufacturer), of approvedmake,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 </t>
  </si>
  <si>
    <t>8.32</t>
  </si>
  <si>
    <t xml:space="preserve">Designing, fabricating, testing, installing and fixing in position Curtain Wall with Aluminium Composite Panel Cladding, with open grooves for linear as well as curvilinear portions of the building , for all heights and all levels etc. </t>
  </si>
  <si>
    <t xml:space="preserve">Designing, fabricating, testing, installing and fixing in position Curtain Wall with Aluminium Composite Panel Cladding, with open grooves for linear as well as curvilinear portions of the building , for all heights and all levels etc. including: </t>
  </si>
  <si>
    <t xml:space="preserve">Total of the Sub-Head - Cladding Work :  </t>
  </si>
  <si>
    <t xml:space="preserve">        Sub-Head : Wood  and P.V.C. Work</t>
  </si>
  <si>
    <t>9.1</t>
  </si>
  <si>
    <t xml:space="preserve">W/W in frames of doors, windows and other frames </t>
  </si>
  <si>
    <t xml:space="preserve">Providing wood work in frames of doors, windows, clerestory windows and other frames, wrought framed and fixed in position with hold fast lugs or with dash fasteners of required dia &amp; length (hold fast lugs or dash fastener shall be paid for separately). </t>
  </si>
  <si>
    <t>9.1.1</t>
  </si>
  <si>
    <t xml:space="preserve">2nd class teak wood </t>
  </si>
  <si>
    <t xml:space="preserve">Second class teak wood </t>
  </si>
  <si>
    <t>9.1.2</t>
  </si>
  <si>
    <t xml:space="preserve">Sal Wood. </t>
  </si>
  <si>
    <t xml:space="preserve">Sal wood </t>
  </si>
  <si>
    <t>9.1.3</t>
  </si>
  <si>
    <t xml:space="preserve">Kiln seasoned and chemically treated hollock wood. </t>
  </si>
  <si>
    <t>9.2</t>
  </si>
  <si>
    <t xml:space="preserve">Providing laminated veneer lumber factory made doors, windows frames etc </t>
  </si>
  <si>
    <t xml:space="preserve">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 </t>
  </si>
  <si>
    <t>9.3</t>
  </si>
  <si>
    <t xml:space="preserve">W/W in frames of false ceiling, partitions etc </t>
  </si>
  <si>
    <t xml:space="preserve">Providing wood work in frames of false ceiling, partitions etc. sawn and fixed in position with necessary stainless steel screws etc. </t>
  </si>
  <si>
    <t>9.3.1</t>
  </si>
  <si>
    <t xml:space="preserve">Sal wood . </t>
  </si>
  <si>
    <t>9.3.2</t>
  </si>
  <si>
    <t>9.4</t>
  </si>
  <si>
    <t xml:space="preserve">Extra for additional labour for circular works </t>
  </si>
  <si>
    <t xml:space="preserve">Extra for additional labour for circular works, such as in frames of fan light </t>
  </si>
  <si>
    <t>9.4.1</t>
  </si>
  <si>
    <t>9.4.2</t>
  </si>
  <si>
    <t xml:space="preserve">Sal wood. </t>
  </si>
  <si>
    <t>9.4.3</t>
  </si>
  <si>
    <t>9.5</t>
  </si>
  <si>
    <t xml:space="preserve">P/F Panelled or/and glazed shutters for doors etc </t>
  </si>
  <si>
    <t xml:space="preserve">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t>
  </si>
  <si>
    <t>9.5.1</t>
  </si>
  <si>
    <t>9.5.1.1</t>
  </si>
  <si>
    <t xml:space="preserve">35 mm thick </t>
  </si>
  <si>
    <t xml:space="preserve">35 mm thick shutters </t>
  </si>
  <si>
    <t>9.5.1.2</t>
  </si>
  <si>
    <t xml:space="preserve">30 mm thick shutters </t>
  </si>
  <si>
    <t>9.5.2</t>
  </si>
  <si>
    <t>9.5.2.1</t>
  </si>
  <si>
    <t>9.5.2.2</t>
  </si>
  <si>
    <t>9.5.3</t>
  </si>
  <si>
    <t xml:space="preserve">Kiln seasoned selected planks of sheesham wood. </t>
  </si>
  <si>
    <t xml:space="preserve">Kiln seasoned selected planks of sheesham wood </t>
  </si>
  <si>
    <t>9.5.3.1</t>
  </si>
  <si>
    <t>9.5.3.2</t>
  </si>
  <si>
    <t>9.6</t>
  </si>
  <si>
    <t xml:space="preserve">P/F 35mm thick factory made laminated veneer lumber door shutter </t>
  </si>
  <si>
    <t xml:space="preserve">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t>
  </si>
  <si>
    <t>9.6.1</t>
  </si>
  <si>
    <t xml:space="preserve">12mm thick plain Grade-1, medium density flat pressed 3 layer or graded particle board (FPT-1) </t>
  </si>
  <si>
    <t xml:space="preserve">12 mm thick plain grade -1, medium density flat pressed three layer particle board FPT - I or graded wood particle board FPT- I, IS : 3087 marked, bonded with BWP type synthetic resin adhesive as per IS : 848 : </t>
  </si>
  <si>
    <t>9.6.2</t>
  </si>
  <si>
    <t xml:space="preserve">12mm thick pre-laminated decorative lamination on both sides) particle board Grade-1 medium density flat pressed, 3 layer and graded (FPT-1) </t>
  </si>
  <si>
    <t xml:space="preserve">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t>
  </si>
  <si>
    <t>9.6.3</t>
  </si>
  <si>
    <t xml:space="preserve">12mm thick pre-laminated (decorative lamination on one side &amp; other side balancing) Grade-1, medium density flat pressed, 3 layer &amp; graded (FPT-1) </t>
  </si>
  <si>
    <t xml:space="preserve">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pre-laminated conforming to IS : 12823, Grade -1, Type II marked. </t>
  </si>
  <si>
    <t>9.7</t>
  </si>
  <si>
    <t xml:space="preserve">P/F Panelling or panelling and glazing in shutters (25 mm to 40 mm thick) </t>
  </si>
  <si>
    <t xml:space="preserve">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</si>
  <si>
    <t>9.7.1</t>
  </si>
  <si>
    <t>9.7.2</t>
  </si>
  <si>
    <t>9.7.3</t>
  </si>
  <si>
    <t xml:space="preserve">Ply wood 5 ply,9 mm thick </t>
  </si>
  <si>
    <t xml:space="preserve">Ply wood 5 ply, 9 mm thick </t>
  </si>
  <si>
    <t>9.7.3.1</t>
  </si>
  <si>
    <t xml:space="preserve">Decorative ply wood </t>
  </si>
  <si>
    <t xml:space="preserve">Decorative plywood both side decorative veneer (Type - I) conforming to IS 1328 BWR type </t>
  </si>
  <si>
    <t>9.7.3.2</t>
  </si>
  <si>
    <t xml:space="preserve">Decorative ply wood one side decorative and commercial on other face (Type-I) BWR type </t>
  </si>
  <si>
    <t xml:space="preserve">Decorative plywood one side decorativeveneer and commercial veneer on other face (Type 1) conforming to IS 1328 BWR Type </t>
  </si>
  <si>
    <t>9.7.4</t>
  </si>
  <si>
    <t xml:space="preserve">Ply wood 7 ply, 9 mm thick </t>
  </si>
  <si>
    <t>9.7.4.1</t>
  </si>
  <si>
    <t>9.7.5</t>
  </si>
  <si>
    <t xml:space="preserve">Particle board 12mm thick </t>
  </si>
  <si>
    <t xml:space="preserve">Particle Board 12 mm thick </t>
  </si>
  <si>
    <t>9.7.5.1</t>
  </si>
  <si>
    <t xml:space="preserve">Pain particle board flat pressed 3 layer grade I </t>
  </si>
  <si>
    <t xml:space="preserve">Plain particle board flat pressed, 3 layer or graded wood particle board medium density Grade I, IS : 3087 marked </t>
  </si>
  <si>
    <t>9.7.5.2</t>
  </si>
  <si>
    <t xml:space="preserve">Vneered particle board with commercial veneering on both sides </t>
  </si>
  <si>
    <t xml:space="preserve">Veneered flat pressed three layer or graded wood particle board with commercial veneering on both sides conforming to IS:3097, grade I </t>
  </si>
  <si>
    <t>9.7.5.3</t>
  </si>
  <si>
    <t xml:space="preserve">particle board decorative lamination one side balancing other side grade I Type-II </t>
  </si>
  <si>
    <t xml:space="preserve">Pre-laminated particle board with decorative lamination on one side and balancing lamination on other side, Grade I, Type II IS: 12823 marked </t>
  </si>
  <si>
    <t>9.7.5.4</t>
  </si>
  <si>
    <t xml:space="preserve">prelaminated particle board decorative lamination both side grade I, type II </t>
  </si>
  <si>
    <t xml:space="preserve">Pre-laminated particle board with decorativelamination on both sides, Grade I, Type II, IS:12823 marked </t>
  </si>
  <si>
    <t>9.7.6</t>
  </si>
  <si>
    <t xml:space="preserve">Coir Veneer Board (conforming to IS 14842) </t>
  </si>
  <si>
    <t>9.7.6.1</t>
  </si>
  <si>
    <t>9.7.7</t>
  </si>
  <si>
    <t xml:space="preserve">Float glass panes </t>
  </si>
  <si>
    <t>9.7.7.1</t>
  </si>
  <si>
    <t xml:space="preserve">4.00mm thick glass panes </t>
  </si>
  <si>
    <t xml:space="preserve">4 mm thick glass pane (weight not less than 10 kg/sqm). </t>
  </si>
  <si>
    <t>9.7.7.2</t>
  </si>
  <si>
    <t xml:space="preserve">5.5 mm thick glass panes </t>
  </si>
  <si>
    <t xml:space="preserve">5.0 mm thick glass panes (weight not less than 12.50 kg/sqm). </t>
  </si>
  <si>
    <t>9.7.8</t>
  </si>
  <si>
    <t xml:space="preserve">Fly proof SS wire gauge 304, 0.5mm dia. and 1.4mm wide with wooden beading. </t>
  </si>
  <si>
    <t xml:space="preserve">Fly proof stainless steel grade 304 wire gauge with 0.5 mm dia. wire and 1.4 mm wide aperture with matching wood beading </t>
  </si>
  <si>
    <t>9.9</t>
  </si>
  <si>
    <t xml:space="preserve">P/F Glazed shutters using (4mm thick) glass panes </t>
  </si>
  <si>
    <t xml:space="preserve">Providing and fixing glazed shutters for doors, windows and clerestory windows using 4 mm thick float glass panes (weight not less than 10 kg per sqm) fixing with ISI marked M.S. pressed butt hinges bright finished of required size with necessary screws. </t>
  </si>
  <si>
    <t>9.9.1</t>
  </si>
  <si>
    <t>9.9.1.1</t>
  </si>
  <si>
    <t>9.9.1.2</t>
  </si>
  <si>
    <t>9.9.2</t>
  </si>
  <si>
    <t xml:space="preserve">Kiln seasoned and chemically treated hollock wood : </t>
  </si>
  <si>
    <t>9.9.2.1</t>
  </si>
  <si>
    <t xml:space="preserve">35 mm thick. </t>
  </si>
  <si>
    <t>9.9.2.2</t>
  </si>
  <si>
    <t xml:space="preserve">30 mm thick. </t>
  </si>
  <si>
    <t>9.9.3</t>
  </si>
  <si>
    <t>9.9.3.1</t>
  </si>
  <si>
    <t>9.9.3.2</t>
  </si>
  <si>
    <t>9.10</t>
  </si>
  <si>
    <t xml:space="preserve">P/F factory made laminated veneer lumber glazed shutter conforming IS: 14616 to TADS 15:2001,using 4mm thick float glass panes for doors,windows i/c black enamelled M.S. butt hinges with necessary screws: </t>
  </si>
  <si>
    <t xml:space="preserve">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 </t>
  </si>
  <si>
    <t>9.10.1</t>
  </si>
  <si>
    <t xml:space="preserve">30 mm thick shutters. </t>
  </si>
  <si>
    <t>9.11</t>
  </si>
  <si>
    <t xml:space="preserve">Extra for providing heavy sheet glass panes instead of ordinary glass panes in glazed shutters </t>
  </si>
  <si>
    <t xml:space="preserve">Extra for providing heavy sheet float glass panes instead of ordinary float glass in glazed doors, windows and clerestory window shutters. (Area of opening for glass panes excluding portion inside rebate shall be measured) </t>
  </si>
  <si>
    <t>9.11.1</t>
  </si>
  <si>
    <t xml:space="preserve">5.5mm instead of 4mm </t>
  </si>
  <si>
    <t xml:space="preserve">5.0 mm thick (weight not less than 12.50 kg per sqm) instead of 4 mm thick (weight not less than 10 kg per sqm). </t>
  </si>
  <si>
    <t>9.12</t>
  </si>
  <si>
    <t xml:space="preserve">Extra for using frosted glass panes 4mm instead of 4mm ordinary glass panes </t>
  </si>
  <si>
    <t xml:space="preserve">Extra for providing frosted glass panes 4 mm thick (weight not less than 10 kg per sqm) instead of ordinary float glass panes 4 mm thick (weight not less than 10 kg per sqm) in doors, windows and clerestory window shutters. (Area of opening for glass panes excluding portion inside rebate shall be measured). </t>
  </si>
  <si>
    <t>9.13</t>
  </si>
  <si>
    <t xml:space="preserve">Deduct for using pin headed glass panes instead of ordinary glass panes 4 mm thick </t>
  </si>
  <si>
    <t xml:space="preserve">Deduct for providing pin headed glass panes instead of ordinary float glass panes 4 mm thick (weight not less than 10 kg per sqm) in doors, windows and clerestory windows shutters (Area of opening for glass panes excluding portion inside rebate shall be measured). </t>
  </si>
  <si>
    <t>9.14</t>
  </si>
  <si>
    <t xml:space="preserve">Extra for providing stainless steel butt hinges instead of MS butt hinges with screws </t>
  </si>
  <si>
    <t xml:space="preserve">Extra for providing ISI marked Stainless Steel butt hinges instead of M.S. pressed butt hinges bright finished of required size with necessary screws. (Shutter area to be measured). </t>
  </si>
  <si>
    <t>9.15</t>
  </si>
  <si>
    <t xml:space="preserve">Deduct if fixed shutters without hinges </t>
  </si>
  <si>
    <t xml:space="preserve">Deduct for not providing hinges in doors, windows or clerestory window shutters with : </t>
  </si>
  <si>
    <t>9.15.1</t>
  </si>
  <si>
    <t xml:space="preserve">Stainless steel butt hinges </t>
  </si>
  <si>
    <t xml:space="preserve">ISI marked Stainless steel butt hinges with stainless steel screws : </t>
  </si>
  <si>
    <t>9.15.1.1</t>
  </si>
  <si>
    <t xml:space="preserve">For 2nd class teak wood and other inferior class of wood shutters </t>
  </si>
  <si>
    <t xml:space="preserve">For 2nd class teak wood and other class of wood shutters </t>
  </si>
  <si>
    <t>9.15.2</t>
  </si>
  <si>
    <t xml:space="preserve">Black MS butt hinges </t>
  </si>
  <si>
    <t xml:space="preserve">ISI marked M.S. pressed butt hinges bright finished of required size with necessary screws. </t>
  </si>
  <si>
    <t>9.15.2.1</t>
  </si>
  <si>
    <t>9.16</t>
  </si>
  <si>
    <t xml:space="preserve">P/F 25mm thick shutters for cup board etc </t>
  </si>
  <si>
    <t xml:space="preserve">Providing and fixing 25 mm thick shutters for cup board etc. </t>
  </si>
  <si>
    <t>9.16.1</t>
  </si>
  <si>
    <t xml:space="preserve">Panelled or panelled &amp; glazed shutters </t>
  </si>
  <si>
    <t>9.16.1.1</t>
  </si>
  <si>
    <t xml:space="preserve">2nd class teak wood i/c anodised aluminium hinges </t>
  </si>
  <si>
    <t xml:space="preserve">Second class teak wood including ISI marked anodised aluminium butt hinges with necessary screws </t>
  </si>
  <si>
    <t>9.16.1.2</t>
  </si>
  <si>
    <t xml:space="preserve">Second class teak wood including ISI marked nickel plated bright finished M.S. piano hinges with necessary screws. </t>
  </si>
  <si>
    <t xml:space="preserve">Second class teak wood including ISI marked nickel plated bright finished M.S. piano hingeswith necessary screws </t>
  </si>
  <si>
    <t>9.16.2</t>
  </si>
  <si>
    <t xml:space="preserve">Glazed shutters </t>
  </si>
  <si>
    <t xml:space="preserve">Glazed shutters : </t>
  </si>
  <si>
    <t>9.16.2.1</t>
  </si>
  <si>
    <t xml:space="preserve">Second class teak wood including ISI marked anodized aluminium butt hinges with necessary screws </t>
  </si>
  <si>
    <t>9.16.2.2</t>
  </si>
  <si>
    <t>9.17</t>
  </si>
  <si>
    <t xml:space="preserve">P/F flat pressed 3layer particle board(medium density) exterior grade (Grade I) </t>
  </si>
  <si>
    <t xml:space="preserve">Providing and fixing flat pressed three layer particle or graded plain wood board medium density exterior grade (Grade I) FPT-I, conforming and marked to frame, backing or studding with screws etc. complete (Frames, backing or studding to be paid separately): </t>
  </si>
  <si>
    <t>9.17.1</t>
  </si>
  <si>
    <t>9.17.2</t>
  </si>
  <si>
    <t>9.18</t>
  </si>
  <si>
    <t xml:space="preserve">P/F prelaminated flat pressed 3 layer (medium density) particle board with one side decorative and other side balancing lamination Grade I Type II exterior grade </t>
  </si>
  <si>
    <t xml:space="preserve">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t>
  </si>
  <si>
    <t>9.18.1</t>
  </si>
  <si>
    <t>9.18.2</t>
  </si>
  <si>
    <t>9.20</t>
  </si>
  <si>
    <t xml:space="preserve">P/F flush shutters decorative type, core of block board with teak 3mm ply veneering on both faces </t>
  </si>
  <si>
    <t xml:space="preserve">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t>
  </si>
  <si>
    <t>9.20.1</t>
  </si>
  <si>
    <t xml:space="preserve">35mm thick i/c stainless steel butt hinges </t>
  </si>
  <si>
    <t xml:space="preserve">35 mm thick including ISI marked Stainless Steel butt hinges with necessary screws. </t>
  </si>
  <si>
    <t>9.20.2</t>
  </si>
  <si>
    <t xml:space="preserve">30mm thick i/c stainless steel butt hinges </t>
  </si>
  <si>
    <t xml:space="preserve">30 mm thick including ISI marked Stainless Steel butt hinges with necessary screws </t>
  </si>
  <si>
    <t>9.20.3</t>
  </si>
  <si>
    <t xml:space="preserve">25mm thick i/c nickel plated MS Piano hinges </t>
  </si>
  <si>
    <t xml:space="preserve">25 mm thick (for cupboard) including ISI marked nickel plated bright finished M.S. Piano hinges IS : 3818 marked with necessary screws </t>
  </si>
  <si>
    <t>9.21</t>
  </si>
  <si>
    <t xml:space="preserve">P/F Flush shutters non- decorative type, core of block board with commercial 3 ply veneering on both faces </t>
  </si>
  <si>
    <t xml:space="preserve">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t>
  </si>
  <si>
    <t>9.21.1</t>
  </si>
  <si>
    <t xml:space="preserve">35mm thick i/c Stainless steel butt hinges </t>
  </si>
  <si>
    <t xml:space="preserve">35 mm thick including ISI marked Stainless Steel butt hinges with necessary screws </t>
  </si>
  <si>
    <t>9.21.2</t>
  </si>
  <si>
    <t>9.21.3</t>
  </si>
  <si>
    <t xml:space="preserve">25 mm thick (for cupboard) including ISI marked nickel plated bright finished M.S. piano hinges with necessary screws </t>
  </si>
  <si>
    <t>9.22</t>
  </si>
  <si>
    <t xml:space="preserve">Extra for P/F flush doors with decorative veneering </t>
  </si>
  <si>
    <t xml:space="preserve">Extra for Providing and fixing flush doors with decorative veneering instead of non decorative ISI marked flush door shutters conforming to IS: 2202 (Part I) </t>
  </si>
  <si>
    <t>9.22.1</t>
  </si>
  <si>
    <t xml:space="preserve">On one side in item 9.25 </t>
  </si>
  <si>
    <t xml:space="preserve">On one side only. </t>
  </si>
  <si>
    <t>9.23</t>
  </si>
  <si>
    <t xml:space="preserve">Extra for providing lipping with 2nd class teak wood battens 25mm minimum depth on all edges of shutters Over item 9.24 and 9.25 </t>
  </si>
  <si>
    <t xml:space="preserve">Extra for providing lipping with 2nd class teak wood battens 25 mm minimum depth on all edges of flush door shutters (over all area of door shutter to be measured). </t>
  </si>
  <si>
    <t>9.24</t>
  </si>
  <si>
    <t xml:space="preserve">Extra for P/F vision panel in flush door shutters </t>
  </si>
  <si>
    <t xml:space="preserve">Extra for providing vision panel not exceeding 0.1 sqm in all type of flush doors (cost of glass excluded) (overall area of door shutter to be measured): </t>
  </si>
  <si>
    <t>9.24.1</t>
  </si>
  <si>
    <t xml:space="preserve">Rectangular or square </t>
  </si>
  <si>
    <t>9.24.2</t>
  </si>
  <si>
    <t xml:space="preserve">Circular </t>
  </si>
  <si>
    <t>9.25</t>
  </si>
  <si>
    <t xml:space="preserve">Extra if louvers (upto 0.2sqm) are provided in flush door shutters </t>
  </si>
  <si>
    <t xml:space="preserve">Extra if louvers (not exceeding 0.2 sqm) are provided in flush door shutters (overall area of door shutters to be measured). </t>
  </si>
  <si>
    <t>9.25.1</t>
  </si>
  <si>
    <t xml:space="preserve">Decorative type door </t>
  </si>
  <si>
    <t>9.26</t>
  </si>
  <si>
    <t xml:space="preserve">Extra for cutting rebate in flush door shutters </t>
  </si>
  <si>
    <t xml:space="preserve">Extra for cutting rebate in flush door shutters (Total area of the shutter to be measured). </t>
  </si>
  <si>
    <t>9.27</t>
  </si>
  <si>
    <t xml:space="preserve">P/F 35mm thick wire gauze shutters using galvanised MS wire gauze for doors, windows </t>
  </si>
  <si>
    <t xml:space="preserve">Providing and fixing wire gauge shutters using galvanized M.S. wire gauge of average width of aperture 1.4 mm in both directions with wire of dia 0.63 mm, for doors, windows and clerestory windows with hinges and necessary screws : </t>
  </si>
  <si>
    <t>9.27.1</t>
  </si>
  <si>
    <t xml:space="preserve">35 mm thick shutters. </t>
  </si>
  <si>
    <t>9.27.1.1.1</t>
  </si>
  <si>
    <t xml:space="preserve">with ISI marked M.S. pressed butt hinges bright finished of required size. -Second class teak wood </t>
  </si>
  <si>
    <t xml:space="preserve">with ISI marked M.S. pressed butt hinges bright finished of required size - Second class teak wood </t>
  </si>
  <si>
    <t>9.27.1.1.2</t>
  </si>
  <si>
    <t xml:space="preserve">with ISI marked M.S. pressed butt hinges bright finished of required size -Kiln seasoned and chemically treated hollock wood. </t>
  </si>
  <si>
    <t xml:space="preserve">with ISI marked M.S. pressed butt hinges bright finished of required size - Kiln seasoned and chemically treated hollock wood </t>
  </si>
  <si>
    <t>9.27.1.1.3</t>
  </si>
  <si>
    <t xml:space="preserve">with ISI marked M.S. pressed butt hinges bright finished of required size - Kiln seasoned selected class of sheesham wood. </t>
  </si>
  <si>
    <t xml:space="preserve">with ISI marked M.S. pressed butt hinges bright finished of required size - Kiln seasoned selected class of sheesham wood </t>
  </si>
  <si>
    <t>9.27.1.2.1</t>
  </si>
  <si>
    <t xml:space="preserve">With ISI marked stainless steel butt hinges of required size - Second class teak wood. </t>
  </si>
  <si>
    <t xml:space="preserve">With ISI marked stainless steel butt hinges of required size - Second class teak wood </t>
  </si>
  <si>
    <t>9.27.1.2.2</t>
  </si>
  <si>
    <t xml:space="preserve">With ISI marked stainless steel butt hinges of required size - Kiln seasoned and chemically treated hollock wood. </t>
  </si>
  <si>
    <t xml:space="preserve">With ISI marked stainless steel butt hinges of required size - Kiln seasoned and chemically treated hollock wood </t>
  </si>
  <si>
    <t>9.27.1.2.3</t>
  </si>
  <si>
    <t xml:space="preserve">With ISI marked stainless steel butt hinges of required size - Kiln seasoned selected class of sheesham wood. </t>
  </si>
  <si>
    <t xml:space="preserve">With ISI marked stainless steel butt hinges of required size - Kiln seasoned selected class of sheesham wood </t>
  </si>
  <si>
    <t>9.27.2</t>
  </si>
  <si>
    <t xml:space="preserve">30mm thick shutters </t>
  </si>
  <si>
    <t>9.27.2.1.1</t>
  </si>
  <si>
    <t xml:space="preserve">with ISI marked M.S. pressed butt hinges bright finished of required size - Second class teak wood. </t>
  </si>
  <si>
    <t>9.27.2.1.2</t>
  </si>
  <si>
    <t xml:space="preserve">with ISI marked M.S. pressed butt hinges bright finished of required size - Kiln seasoned and chemically treated hollock wood. </t>
  </si>
  <si>
    <t>9.27.2.1.3</t>
  </si>
  <si>
    <t>9.27.2.2.1</t>
  </si>
  <si>
    <t xml:space="preserve">With ISI marked stainless steel butt hinges ofrequired size - Second class teak wood </t>
  </si>
  <si>
    <t>9.27.2.2.2</t>
  </si>
  <si>
    <t xml:space="preserve">With ISI marked stainless steel butt hinges ofrequired size - Kiln seasoned and chemically treated hollock wood </t>
  </si>
  <si>
    <t>9.27.2.2.3</t>
  </si>
  <si>
    <t xml:space="preserve">With ISI marked stainless steel butt hinges ofrequired size - Kiln seasoned selected class of sheesham wood </t>
  </si>
  <si>
    <t>9.31</t>
  </si>
  <si>
    <t xml:space="preserve">P/F wire gauze laminated veneer lumber shutters using galvanised wire gauze for doors, windows </t>
  </si>
  <si>
    <t xml:space="preserve">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Engineer-in-charge: (Note:- Butt hinges and necessary screws shall be paid separately) </t>
  </si>
  <si>
    <t>9.31.1</t>
  </si>
  <si>
    <t>9.31.2</t>
  </si>
  <si>
    <t>9.40</t>
  </si>
  <si>
    <t xml:space="preserve">P/F wooden moulded beading to door and window frames with iron screws, plugs :- </t>
  </si>
  <si>
    <t xml:space="preserve">Providing and fixing wooden moulded beading to door and window frames with iron screws, plugs and priming coat on unexposed surface etc. complete : </t>
  </si>
  <si>
    <t>9.40.1</t>
  </si>
  <si>
    <t xml:space="preserve">2nd class teak wood : </t>
  </si>
  <si>
    <t>9.40.1.1</t>
  </si>
  <si>
    <t xml:space="preserve">50 x 12 mm. </t>
  </si>
  <si>
    <t xml:space="preserve">50x12 mm </t>
  </si>
  <si>
    <t>9.40.1.2</t>
  </si>
  <si>
    <t xml:space="preserve">50 x 20 mm. </t>
  </si>
  <si>
    <t xml:space="preserve">50 x 20 mm </t>
  </si>
  <si>
    <t>9.40.2</t>
  </si>
  <si>
    <t xml:space="preserve">Hollock wood : </t>
  </si>
  <si>
    <t>9.40.2.1</t>
  </si>
  <si>
    <t>9.40.2.2</t>
  </si>
  <si>
    <t xml:space="preserve">50x20 mm </t>
  </si>
  <si>
    <t>9.41</t>
  </si>
  <si>
    <t xml:space="preserve">P/F plain jaffri of 35 x 10 mm laths placed 35mm apart(frames to be paid separately) i/c fixing 50 x 12 mm beading :- </t>
  </si>
  <si>
    <t xml:space="preserve">Providing and fixing plain jaffri of 35x10 mm laths placed 35 mm apart (frames to be paid separately), including fixing 50x12 mm beading complete with </t>
  </si>
  <si>
    <t>9.41.1</t>
  </si>
  <si>
    <t xml:space="preserve">Second class teak wood. </t>
  </si>
  <si>
    <t>9.42</t>
  </si>
  <si>
    <t xml:space="preserve">P/F 18mm thick 150mm wide pelmet of flat pressed 3 layer top cover with 6mm commercial plywood, MS nickel pipe 20mm dia </t>
  </si>
  <si>
    <t xml:space="preserve">Providing and fixing 18 mm thick, 150 mm wide pelmet of flat pressed three layer or graded plain wood particle board medium density grade I, ISI marked and conforming to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t>
  </si>
  <si>
    <t>9.43</t>
  </si>
  <si>
    <t xml:space="preserve">P/F 18mm thick, 150mm wide pelmet of Coir veneer board i/c top cover of 6mm coir veneer board, nickle plated MS pipe 20 mm dia curtain rod, nickel plated brackets </t>
  </si>
  <si>
    <t xml:space="preserve">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t>
  </si>
  <si>
    <t>9.44</t>
  </si>
  <si>
    <t xml:space="preserve">Extra for using veneered particle board </t>
  </si>
  <si>
    <t xml:space="preserve">Extra for using veneered particle board conforming to IS 3097 Grade I, in item of pelmet 18 mm thick 150 mm wide. </t>
  </si>
  <si>
    <t>9.44.1</t>
  </si>
  <si>
    <t xml:space="preserve">Non-Decorative veneer both face </t>
  </si>
  <si>
    <t xml:space="preserve">Non decorative veneer on both sides. </t>
  </si>
  <si>
    <t>9.44.2</t>
  </si>
  <si>
    <t xml:space="preserve">particle board, decorative veneering on both face </t>
  </si>
  <si>
    <t xml:space="preserve">Particle board with decorative veneering on both sides </t>
  </si>
  <si>
    <t>9.45</t>
  </si>
  <si>
    <t xml:space="preserve">P/F teak wood lipping of size 25 x 3 mm in pelmet </t>
  </si>
  <si>
    <t xml:space="preserve">Providing and fixing teak wood lipping of size 25x3 mm in pelmet. </t>
  </si>
  <si>
    <t>9.46</t>
  </si>
  <si>
    <t xml:space="preserve">P/F CP brass curtain rods 1.25mm thick, wooden plugs </t>
  </si>
  <si>
    <t xml:space="preserve">Providing and fixing chromium plated brass curtain rod having wall thickness of 1.25 mm with two chromium plated brass brackets fixed withC.P. brass screws and PVC sleeves etc., wherever necessary complete : </t>
  </si>
  <si>
    <t>9.46.1</t>
  </si>
  <si>
    <t xml:space="preserve">12 mm diametre </t>
  </si>
  <si>
    <t xml:space="preserve">12 mm dia </t>
  </si>
  <si>
    <t>9.46.2</t>
  </si>
  <si>
    <t xml:space="preserve">20 mm diametre </t>
  </si>
  <si>
    <t xml:space="preserve">20 mm dia </t>
  </si>
  <si>
    <t>9.46.3</t>
  </si>
  <si>
    <t xml:space="preserve">25 mm diametre </t>
  </si>
  <si>
    <t xml:space="preserve">25 mm dia </t>
  </si>
  <si>
    <t>9.47</t>
  </si>
  <si>
    <t xml:space="preserve">P/F nickel plated MS pipe curtain rods </t>
  </si>
  <si>
    <t xml:space="preserve">Providing and fixing nickel plated M.S. pipe curtain rods with nickel plated brackets : </t>
  </si>
  <si>
    <t>9.47.1</t>
  </si>
  <si>
    <t xml:space="preserve">20 mm dia (heavy type) </t>
  </si>
  <si>
    <t>9.47.2</t>
  </si>
  <si>
    <t xml:space="preserve">25 mm dia (heavy type) </t>
  </si>
  <si>
    <t>9.48</t>
  </si>
  <si>
    <t xml:space="preserve">P/F MS grills of required pattern in frames of windows </t>
  </si>
  <si>
    <t xml:space="preserve">Providing and fixing M.S. grills of required pattern in frames of windows etc. with M.S. flats, square or round bars etc. including priming coat with approved steel primer all complete. </t>
  </si>
  <si>
    <t>9.48.1</t>
  </si>
  <si>
    <t xml:space="preserve">fixed by welding </t>
  </si>
  <si>
    <t xml:space="preserve">Fixed to steel windows by welding </t>
  </si>
  <si>
    <t>9.48.2</t>
  </si>
  <si>
    <t xml:space="preserve">Fixed to openings/wooden frames with rawl plugs screws etc </t>
  </si>
  <si>
    <t xml:space="preserve">Fixed to openings /wooden frames with rawl plugs screws etc. </t>
  </si>
  <si>
    <t>9.49</t>
  </si>
  <si>
    <t xml:space="preserve">P/F expanded metal 20x60mm strands 3.2mm wide &amp; 1.6mm thick for windows etc i/c 62x19mm beading of 2nd class teak wood </t>
  </si>
  <si>
    <t xml:space="preserve">Providing and fixing expanded metal 20x60 mm strands 3.25 mm wide and 1.6 mm thick for windows etc. including 62 x19 mm beading of second class teak wood and priming coat with approved steel primer all complete. </t>
  </si>
  <si>
    <t>9.50</t>
  </si>
  <si>
    <t xml:space="preserve">P/F hard drawn steel wire fabric 75 x 25 mm mesh of weight not less than 7.75 kg per sqm to window frames etc. i/c 62 x 19mm beading of IInd class teak wood. </t>
  </si>
  <si>
    <t xml:space="preserve">Providing and fixing hard drawn steel wire fabric 75x25 mm mesh of weight not less than 7.75 Kg per sqm to window frames etc. including 62x19 mm beading of second class teak wood and priming coat with approved steel primer all complete. </t>
  </si>
  <si>
    <t>9.51</t>
  </si>
  <si>
    <t xml:space="preserve">P/F fly proof galvanised M.S. wire gauze to windows using galvanised M.S wire gauze with average width of aperture 1.4 mm of dia. 0.63 mm :- </t>
  </si>
  <si>
    <t xml:space="preserve">Providing and fixing fly proof galvanized M.S. wire gauge to windows and clerestory windows using wire gauge with average width of aperture 1.4 mm in both directions with wire of dia 0.63 mm all complete. </t>
  </si>
  <si>
    <t>9.51.1</t>
  </si>
  <si>
    <t xml:space="preserve">With 2nd class teak wood beading 62x19 mm. </t>
  </si>
  <si>
    <t xml:space="preserve">With second class teak wood beading 62X19 mm </t>
  </si>
  <si>
    <t>9.51.2</t>
  </si>
  <si>
    <t xml:space="preserve">With 12 mm mild steel U beading. </t>
  </si>
  <si>
    <t xml:space="preserve">With 12 mm mild steel U beading </t>
  </si>
  <si>
    <t>9.52</t>
  </si>
  <si>
    <t xml:space="preserve">Deduct for fixing 75x25 mm hard drawn steel wire fabric of weight not less than 7.75 Kg per sqm in panelled and glazed door and window shutter instead of glass sheet 4 mm thick </t>
  </si>
  <si>
    <t xml:space="preserve">Deduct for fixing 75x25 mm hard drawn steel wire fabric of weight not less than 7.75 Kg per sqm in panelled and glazed door and window shutter instead of glass sheet 4 mm thick (weight not less than 10 kg per sqm) </t>
  </si>
  <si>
    <t>9.53</t>
  </si>
  <si>
    <t xml:space="preserve">P/F 40x5mm Flat iron hold fast i/c embedding in CC blocks. </t>
  </si>
  <si>
    <t xml:space="preserve">Providing 40x5 mm flat iron hold fast 400 mm long including fixing to frame with 10 mm diameter bolts, nuts and wooden plugs and embedding in cement concrete block 300x100x150 mm 1:3:6 mix (1 cement : 3 coarse sand : 6 graded stone aggregate 20 mm nominal size) </t>
  </si>
  <si>
    <t>9.54</t>
  </si>
  <si>
    <t xml:space="preserve">Providing beams i/c hoisting, fixing in position &amp; applying wood preservating for the unexposed surfaces, etc. complete with :- </t>
  </si>
  <si>
    <t xml:space="preserve">Providing beams including hoisting, fixing in position and applying wood preservative for the unexposed surfaces, etc. complete with : </t>
  </si>
  <si>
    <t>9.54.1</t>
  </si>
  <si>
    <t>9.54.2</t>
  </si>
  <si>
    <t xml:space="preserve">Hollock wood. </t>
  </si>
  <si>
    <t xml:space="preserve">Hollock wood </t>
  </si>
  <si>
    <t>9.55</t>
  </si>
  <si>
    <t xml:space="preserve">P/F M.S. pressed butt hinges bright finished with necessary screws etc. complete :- </t>
  </si>
  <si>
    <t xml:space="preserve">Providing and fixing ISI marked IS:1341 M.S. pressed butt hinges bright finished with necessary screws etc. complete : </t>
  </si>
  <si>
    <t>9.55.1</t>
  </si>
  <si>
    <t xml:space="preserve">125 x 65 x 2.12 mm. </t>
  </si>
  <si>
    <t xml:space="preserve">125x65x2.12 mm </t>
  </si>
  <si>
    <t>9.55.2</t>
  </si>
  <si>
    <t xml:space="preserve">100 x 58 x 1.90 mm. </t>
  </si>
  <si>
    <t xml:space="preserve">100x58x1.90 mm </t>
  </si>
  <si>
    <t>9.55.3</t>
  </si>
  <si>
    <t xml:space="preserve">75 x 47 x 1.70 mm. </t>
  </si>
  <si>
    <t xml:space="preserve">75x47x1.70 mm </t>
  </si>
  <si>
    <t>9.55.4</t>
  </si>
  <si>
    <t xml:space="preserve">50 X 37 X 1.50 mm. </t>
  </si>
  <si>
    <t xml:space="preserve">50x37x1.50 mm </t>
  </si>
  <si>
    <t>9.56</t>
  </si>
  <si>
    <t xml:space="preserve">P/F M.S. pressed parliamentary hinges bright finished with n/a screws etc. complete :- </t>
  </si>
  <si>
    <t xml:space="preserve">Providing and fixing ISI marked, IS : 1341, M.S. heavy weight bright finished butt hinges with necessary screws etc. complete : </t>
  </si>
  <si>
    <t>9.56.1</t>
  </si>
  <si>
    <t xml:space="preserve">125 x 90 x 4.00 mm. </t>
  </si>
  <si>
    <t xml:space="preserve">125x90x4.00 mm </t>
  </si>
  <si>
    <t>9.56.2</t>
  </si>
  <si>
    <t xml:space="preserve">100 x 75 x 3.50 mm. </t>
  </si>
  <si>
    <t xml:space="preserve">100x75x3.50 mm </t>
  </si>
  <si>
    <t>9.56.3</t>
  </si>
  <si>
    <t xml:space="preserve">75 x 60 x 3.10 mm. </t>
  </si>
  <si>
    <t xml:space="preserve">75x60x3.10 mm </t>
  </si>
  <si>
    <t>9.56.4</t>
  </si>
  <si>
    <t xml:space="preserve">50 x 40 x 2.50 mm. </t>
  </si>
  <si>
    <t xml:space="preserve">50x40x2.50 mm </t>
  </si>
  <si>
    <t>9.57</t>
  </si>
  <si>
    <t xml:space="preserve">P/F oxidised M.S. pressed butt hinges with necessary screws etc. complete :- </t>
  </si>
  <si>
    <t xml:space="preserve">Providing and fixing ISI marked IS:1341 oxidised M.S. pressed butt hinges with necessary screws etc. complete. (Copper oxidised as per IS 1378) </t>
  </si>
  <si>
    <t>9.57.1</t>
  </si>
  <si>
    <t>9.57.2</t>
  </si>
  <si>
    <t xml:space="preserve">100 x 58 1.90 mm. </t>
  </si>
  <si>
    <t>9.57.3</t>
  </si>
  <si>
    <t>9.57.4</t>
  </si>
  <si>
    <t xml:space="preserve">50 x 37 x 1.50 mm. </t>
  </si>
  <si>
    <t>9.58</t>
  </si>
  <si>
    <t xml:space="preserve">P/F oxidised MS pressed parli- amentary hinges with necessary screws etc. complete :- </t>
  </si>
  <si>
    <t xml:space="preserve">Providing and fixing ISI marked IS: 1341 oxidised M.S. Pressed Parliamentary hinges with necessary screws etc. complete (Copper oxidised as per IS 1378) </t>
  </si>
  <si>
    <t>9.58.1</t>
  </si>
  <si>
    <t xml:space="preserve">150x125x27x2.80 mm </t>
  </si>
  <si>
    <t>9.58.2</t>
  </si>
  <si>
    <t xml:space="preserve">125x125x27x2.80 mm </t>
  </si>
  <si>
    <t>9.58.3</t>
  </si>
  <si>
    <t xml:space="preserve">100x125x27x2.80 mm </t>
  </si>
  <si>
    <t>9.58.4</t>
  </si>
  <si>
    <t xml:space="preserve">75 x 100 x 20 x 2.24 mm. </t>
  </si>
  <si>
    <t xml:space="preserve">75x100x20x2.24 mm </t>
  </si>
  <si>
    <t>9.59</t>
  </si>
  <si>
    <t xml:space="preserve">P/F oxidised M.S single acting spring hinges with necessary screws etc. complete :- </t>
  </si>
  <si>
    <t xml:space="preserve">Providing and fixing ISI marked oxidised M.S. single acting spring hinges with necessary screws etc. complete (Copper oxidised as per IS 1378) </t>
  </si>
  <si>
    <t>9.59.1</t>
  </si>
  <si>
    <t xml:space="preserve">150 mm. </t>
  </si>
  <si>
    <t xml:space="preserve">150 mm </t>
  </si>
  <si>
    <t>9.59.2</t>
  </si>
  <si>
    <t xml:space="preserve">125 mm. </t>
  </si>
  <si>
    <t xml:space="preserve">125 mm </t>
  </si>
  <si>
    <t>9.59.3</t>
  </si>
  <si>
    <t xml:space="preserve">100 mm. </t>
  </si>
  <si>
    <t xml:space="preserve">100 mm </t>
  </si>
  <si>
    <t>9.60</t>
  </si>
  <si>
    <t xml:space="preserve">P/F oxidised M.S double acting spring hinges with necessary screws etc. complete :- </t>
  </si>
  <si>
    <t xml:space="preserve">Providing and fixing ISI marked IS : 453 oxidised M.S. double acting spring hinges with necessary screws etc. complete (Copper oxidised as per IS 1378) </t>
  </si>
  <si>
    <t>9.60.1</t>
  </si>
  <si>
    <t>9.60.2</t>
  </si>
  <si>
    <t>9.60.3</t>
  </si>
  <si>
    <t>9.61</t>
  </si>
  <si>
    <t xml:space="preserve">P/F M.S paino hinges . </t>
  </si>
  <si>
    <t xml:space="preserve">Providing M.S. Piano hinges ISI marked IS : 3818 finished with nickel chromium plating grade 1 as per IS: 1068 and fixing with necessaryscrews etc., complete. </t>
  </si>
  <si>
    <t>9.61.1</t>
  </si>
  <si>
    <t xml:space="preserve">Overall width 35 mm. </t>
  </si>
  <si>
    <t xml:space="preserve">Overall width 35 mm </t>
  </si>
  <si>
    <t>9.61.2</t>
  </si>
  <si>
    <t xml:space="preserve">Overall width 50 mm. </t>
  </si>
  <si>
    <t xml:space="preserve">Overall width 50 mm </t>
  </si>
  <si>
    <t>9.61.3</t>
  </si>
  <si>
    <t xml:space="preserve">Overall width 65 mm. </t>
  </si>
  <si>
    <t xml:space="preserve">Overall width 65 mm </t>
  </si>
  <si>
    <t>9.62</t>
  </si>
  <si>
    <t xml:space="preserve">P/F oxidised M.S sliding door bolts :- </t>
  </si>
  <si>
    <t xml:space="preserve">Providing and fixing ISI marked oxidised M.S. sliding door bolts with nuts and screws etc. complete (Copper oxidised as per IS 1378) </t>
  </si>
  <si>
    <t>9.62.1</t>
  </si>
  <si>
    <t xml:space="preserve">300 x 16 mm . </t>
  </si>
  <si>
    <t xml:space="preserve">300x16 mm </t>
  </si>
  <si>
    <t>9.62.2</t>
  </si>
  <si>
    <t xml:space="preserve">250 x 16 mm . </t>
  </si>
  <si>
    <t xml:space="preserve">250x16 mm </t>
  </si>
  <si>
    <t>9.63</t>
  </si>
  <si>
    <t xml:space="preserve">P/F oxidised M.S tower bolt :- </t>
  </si>
  <si>
    <t xml:space="preserve">Providing and fixing ISI marked oxidised M.S. tower bolt black finish, (Barrel type) with necessary screws etc. complete (Copper oxidised as per IS 1378) </t>
  </si>
  <si>
    <t>9.63.1</t>
  </si>
  <si>
    <t xml:space="preserve">250 x 10 mm . </t>
  </si>
  <si>
    <t xml:space="preserve">250x10 mm </t>
  </si>
  <si>
    <t>9.63.2</t>
  </si>
  <si>
    <t xml:space="preserve">200 x 10 mm . </t>
  </si>
  <si>
    <t xml:space="preserve">200x10 mm </t>
  </si>
  <si>
    <t>9.63.3</t>
  </si>
  <si>
    <t xml:space="preserve">150 x 10 mm . </t>
  </si>
  <si>
    <t xml:space="preserve">150x10 mm </t>
  </si>
  <si>
    <t>9.63.4</t>
  </si>
  <si>
    <t xml:space="preserve">100 x 10 mm . </t>
  </si>
  <si>
    <t xml:space="preserve">100x10 mm </t>
  </si>
  <si>
    <t>9.64</t>
  </si>
  <si>
    <t xml:space="preserve">P / F ISI marked 85x 42 mm oxidised M.S. pull bolt lock </t>
  </si>
  <si>
    <t xml:space="preserve">Providing and fixing ISI marked 85x42 mm oxidised M.S. pull bolt lock conforming to IS : 7534 with necessary screws bolts, nut and washers etc. complete (Copper oxidised as per IS 1378). </t>
  </si>
  <si>
    <t>9.65</t>
  </si>
  <si>
    <t xml:space="preserve">P/F oxidised M.S door latches conforming to IS : 5930 with screws etc. complete :- </t>
  </si>
  <si>
    <t xml:space="preserve">Providing and fixing ISI marked oxidised M.S. door latches conforming to IS:5930 with screws etc. complete (Copper oxidised as per IS 1378) </t>
  </si>
  <si>
    <t>9.65.1</t>
  </si>
  <si>
    <t xml:space="preserve">300 x 20 x 6 mm. </t>
  </si>
  <si>
    <t xml:space="preserve">300x20x6 mm </t>
  </si>
  <si>
    <t>9.65.2</t>
  </si>
  <si>
    <t xml:space="preserve">250 x 20 x 6 mm. </t>
  </si>
  <si>
    <t xml:space="preserve">250x20x6 mm </t>
  </si>
  <si>
    <t>9.66</t>
  </si>
  <si>
    <t xml:space="preserve">P/F oxidised M.S handles :- </t>
  </si>
  <si>
    <t xml:space="preserve">Providing and fixing ISI marked oxidised M.S. handles conforming to IS:4992 with necessary screws etc. complete (Copper oxidised as per IS 1378) </t>
  </si>
  <si>
    <t>9.66.1</t>
  </si>
  <si>
    <t xml:space="preserve">125 mm . </t>
  </si>
  <si>
    <t>9.66.2</t>
  </si>
  <si>
    <t xml:space="preserve">100 mm . </t>
  </si>
  <si>
    <t>9.66.3</t>
  </si>
  <si>
    <t xml:space="preserve">75 mm . </t>
  </si>
  <si>
    <t xml:space="preserve">75 mm </t>
  </si>
  <si>
    <t>9.67</t>
  </si>
  <si>
    <t xml:space="preserve">P/F oxidised M.S. hasp and staple :- </t>
  </si>
  <si>
    <t xml:space="preserve">Providing and fixing oxidised M.S. hasp and staple (safety type) conforming to IS : 363 with necessary screws etc. complete (Copper oxidised as per IS 1378) </t>
  </si>
  <si>
    <t>9.67.1</t>
  </si>
  <si>
    <t xml:space="preserve">150 mm . </t>
  </si>
  <si>
    <t>9.67.2</t>
  </si>
  <si>
    <t xml:space="preserve">115 mm . </t>
  </si>
  <si>
    <t xml:space="preserve">115 mm </t>
  </si>
  <si>
    <t>9.67.3</t>
  </si>
  <si>
    <t xml:space="preserve">90 mm. </t>
  </si>
  <si>
    <t xml:space="preserve">90 mm </t>
  </si>
  <si>
    <t>9.68</t>
  </si>
  <si>
    <t xml:space="preserve">P/F oxidised MS casement stays (straight peg type) with n/a screws etc. complete :- </t>
  </si>
  <si>
    <t xml:space="preserve">Providing and fixing oxidised M.S. casement stays (straight peg type) with necessary screws etc. complete (Copper oxidised as per IS 1378) </t>
  </si>
  <si>
    <t>9.68.1</t>
  </si>
  <si>
    <t xml:space="preserve">300 mm weighing not less than 200 gms. </t>
  </si>
  <si>
    <t xml:space="preserve">300 mm weighing not less than 330 grams </t>
  </si>
  <si>
    <t>9.68.2</t>
  </si>
  <si>
    <t xml:space="preserve">250 mm weighing not less than 150 gms. </t>
  </si>
  <si>
    <t xml:space="preserve">250 mm weighing not less than 280 grams </t>
  </si>
  <si>
    <t>9.68.3</t>
  </si>
  <si>
    <t xml:space="preserve">200 mm weighing not less than 120 gms. </t>
  </si>
  <si>
    <t xml:space="preserve">200 mm weighing not less than 240 grams </t>
  </si>
  <si>
    <t>9.69</t>
  </si>
  <si>
    <t xml:space="preserve">P/F oxidised M.S safety chain. </t>
  </si>
  <si>
    <t xml:space="preserve">Providing and fixing oxidised M.S. Safety chain with necessary fixtures for doors, (weighting not less than 450 gms) and Copper oxidised as per IS 1378 </t>
  </si>
  <si>
    <t>9.70</t>
  </si>
  <si>
    <t xml:space="preserve">P/F Stainless steel butt hinges with stainless steel screws etc. complete : </t>
  </si>
  <si>
    <t xml:space="preserve">Providing and fixing IS : 12817 marked stainless steel butt hinges with stainless steel screws etc. complete : </t>
  </si>
  <si>
    <t>9.70.1</t>
  </si>
  <si>
    <t xml:space="preserve">125 x 64 x 1.90 mm. </t>
  </si>
  <si>
    <t xml:space="preserve">125x64x1.90 mm </t>
  </si>
  <si>
    <t>9.70.2</t>
  </si>
  <si>
    <t xml:space="preserve">100X58X1.90 mm </t>
  </si>
  <si>
    <t>9.70.3</t>
  </si>
  <si>
    <t xml:space="preserve">75 x 47 x 1.80 mm. </t>
  </si>
  <si>
    <t xml:space="preserve">75x47x1.80 mm </t>
  </si>
  <si>
    <t>9.70.4</t>
  </si>
  <si>
    <t>9.71</t>
  </si>
  <si>
    <t xml:space="preserve">P/F Stainless steel butt hinges (Heavy weight) with stainless steel screws etc. complete : </t>
  </si>
  <si>
    <t xml:space="preserve">Providing and fixing IS : 12817 marked stainless steel butt hinges (heavy weight) with stainless steel screws etc. complete : </t>
  </si>
  <si>
    <t>9.71.1</t>
  </si>
  <si>
    <t xml:space="preserve">125 x 64 x 2.50 mm. </t>
  </si>
  <si>
    <t xml:space="preserve">125x64x2.50 mm </t>
  </si>
  <si>
    <t>9.71.2</t>
  </si>
  <si>
    <t xml:space="preserve">100 x 60 x 2.50 mm. </t>
  </si>
  <si>
    <t xml:space="preserve">100x60x2.50 mm </t>
  </si>
  <si>
    <t>9.71.3</t>
  </si>
  <si>
    <t xml:space="preserve">75 x 50 x 2.50 mm. </t>
  </si>
  <si>
    <t xml:space="preserve">75x50x2.50 mm </t>
  </si>
  <si>
    <t>9.72</t>
  </si>
  <si>
    <t xml:space="preserve">P/F bright finished brass butt hinges :- </t>
  </si>
  <si>
    <t xml:space="preserve">Providing and fixing bright finished brass butt hinges with necessary screws etc. complete : </t>
  </si>
  <si>
    <t>9.72.1</t>
  </si>
  <si>
    <t xml:space="preserve">125 x 85 x 5.5 mm (heavy type). </t>
  </si>
  <si>
    <t xml:space="preserve">125x85x5.5 mm (heavy type) </t>
  </si>
  <si>
    <t>9.72.2</t>
  </si>
  <si>
    <t xml:space="preserve">125 x 70 x 4 mm (ordinary type). </t>
  </si>
  <si>
    <t xml:space="preserve">125x70x4 mm (ordinary type) </t>
  </si>
  <si>
    <t>9.72.3</t>
  </si>
  <si>
    <t xml:space="preserve">100 x 85 x 5.5 mm (heavy type). </t>
  </si>
  <si>
    <t xml:space="preserve">100x85x5.5 mm (heavy type) </t>
  </si>
  <si>
    <t>9.72.4</t>
  </si>
  <si>
    <t xml:space="preserve">100 x 70 x 4 mm (ordinary type). </t>
  </si>
  <si>
    <t xml:space="preserve">100x70x4 mm (ordinary type) </t>
  </si>
  <si>
    <t>9.72.5</t>
  </si>
  <si>
    <t xml:space="preserve">75 x 65 x 4 mm (heavy type). </t>
  </si>
  <si>
    <t xml:space="preserve">75x65x4 mm (heavy type) </t>
  </si>
  <si>
    <t>9.72.6</t>
  </si>
  <si>
    <t xml:space="preserve">75 x 40 x 2.5 mm (ordinary type). </t>
  </si>
  <si>
    <t xml:space="preserve">75x40x2.5 mm (ordinary type) </t>
  </si>
  <si>
    <t>9.72.7</t>
  </si>
  <si>
    <t xml:space="preserve">50 x 40 x 2.5 mm (ordinary type). </t>
  </si>
  <si>
    <t xml:space="preserve">50x40x2.5 mm (ordinary type) </t>
  </si>
  <si>
    <t>9.73</t>
  </si>
  <si>
    <t xml:space="preserve">P/F bright finished brass parliamentary hinges :- </t>
  </si>
  <si>
    <t xml:space="preserve">Providing and fixing bright finished brass parliamentary hinges with necessary screws etc. complete : </t>
  </si>
  <si>
    <t>9.73.1</t>
  </si>
  <si>
    <t xml:space="preserve">150 x 125 x 27 x 5 mm. </t>
  </si>
  <si>
    <t xml:space="preserve">150x125x27x5 mm </t>
  </si>
  <si>
    <t>9.73.2</t>
  </si>
  <si>
    <t xml:space="preserve">125 x 125 x 27 x 5 mm. </t>
  </si>
  <si>
    <t xml:space="preserve">125x125x27x5 mm </t>
  </si>
  <si>
    <t>9.73.3</t>
  </si>
  <si>
    <t xml:space="preserve">100 x 125 x 27 x 5 mm. </t>
  </si>
  <si>
    <t xml:space="preserve">100x125x27x5 mm </t>
  </si>
  <si>
    <t>9.73.4</t>
  </si>
  <si>
    <t xml:space="preserve">75 x 100 x 20 x 3.2 mm. </t>
  </si>
  <si>
    <t xml:space="preserve">75x100x20x3.2 mm </t>
  </si>
  <si>
    <t>9.74</t>
  </si>
  <si>
    <t xml:space="preserve">P/F bright finished brass tower bolts :- </t>
  </si>
  <si>
    <t xml:space="preserve">Providing and fixing bright finished brass tower bolts (barrel type) with necessary screws etc. complete : </t>
  </si>
  <si>
    <t>9.74.1</t>
  </si>
  <si>
    <t xml:space="preserve">250 x 10 mm. </t>
  </si>
  <si>
    <t>9.74.2</t>
  </si>
  <si>
    <t xml:space="preserve">200 x 10 mm. </t>
  </si>
  <si>
    <t>9.74.3</t>
  </si>
  <si>
    <t xml:space="preserve">150 x 10 mm. </t>
  </si>
  <si>
    <t>9.74.4</t>
  </si>
  <si>
    <t xml:space="preserve">100 x 10 mm. </t>
  </si>
  <si>
    <t>9.75</t>
  </si>
  <si>
    <t xml:space="preserve">P/F bright finished brass door latch :- </t>
  </si>
  <si>
    <t xml:space="preserve">Providing and fixing bright finished brass door latch with necessary screws etc. complete : </t>
  </si>
  <si>
    <t>9.75.1</t>
  </si>
  <si>
    <t xml:space="preserve">300 x 16 x 5 mm. </t>
  </si>
  <si>
    <t xml:space="preserve">300x16x5 mm </t>
  </si>
  <si>
    <t>9.75.2</t>
  </si>
  <si>
    <t xml:space="preserve">250 x 16 x 5 mm. </t>
  </si>
  <si>
    <t xml:space="preserve">250x16x5 mm </t>
  </si>
  <si>
    <t>9.76</t>
  </si>
  <si>
    <t xml:space="preserve">P/F bright finished brass 100 mm mortice latch and lock with 6 levers and a pair of lever handles. </t>
  </si>
  <si>
    <t xml:space="preserve">Providing and fixing bright finished brass 100 mm mortice latch and lock with 6 levers and a pair of lever handles of approved quality with necessary screws etc. complete. </t>
  </si>
  <si>
    <t>9.77</t>
  </si>
  <si>
    <t xml:space="preserve">P/F bright finished brass 100 mm mortice latch with one dead bolt and a pair of lever handles. </t>
  </si>
  <si>
    <t xml:space="preserve">Providing and fixing bright finished brass 100 mm mortice latch with one dead bolt and a pair of lever handles of approved quality with necessary screws etc. complete. </t>
  </si>
  <si>
    <t>9.78</t>
  </si>
  <si>
    <t xml:space="preserve">P/F bright finished brass night latch. </t>
  </si>
  <si>
    <t xml:space="preserve">Providing and fixing bright finished brass night latch of approved quality including necessary screws etc. complete. </t>
  </si>
  <si>
    <t>9.79</t>
  </si>
  <si>
    <t xml:space="preserve">P/F special quality bright finished brass cupboard or ward robe locks with four levers :- </t>
  </si>
  <si>
    <t xml:space="preserve">Providing and fixing special quality bright finished brass cupboard or ward robe locks with four levers of approved quality including necessary screws etc. complete. </t>
  </si>
  <si>
    <t>9.79.1</t>
  </si>
  <si>
    <t xml:space="preserve">40 mm. </t>
  </si>
  <si>
    <t xml:space="preserve">40 mm </t>
  </si>
  <si>
    <t>9.79.2</t>
  </si>
  <si>
    <t xml:space="preserve">50 mm. </t>
  </si>
  <si>
    <t xml:space="preserve">50 mm </t>
  </si>
  <si>
    <t>9.79.3</t>
  </si>
  <si>
    <t xml:space="preserve">65 mm. </t>
  </si>
  <si>
    <t xml:space="preserve">65 mm </t>
  </si>
  <si>
    <t>9.79.4</t>
  </si>
  <si>
    <t xml:space="preserve">75 mm. </t>
  </si>
  <si>
    <t>9.80</t>
  </si>
  <si>
    <t xml:space="preserve">P/F 50 mm bright finished brass cup board or wardrobe knob. </t>
  </si>
  <si>
    <t xml:space="preserve">Providing and fixing 50 mm bright finished brass cup board or wardrobe knob of approved quality with necessary screws. </t>
  </si>
  <si>
    <t>9.81</t>
  </si>
  <si>
    <t xml:space="preserve">P/F bright finished brass handles :- </t>
  </si>
  <si>
    <t xml:space="preserve">Providing and fixing bright finished brass handles with screws etc. complete: </t>
  </si>
  <si>
    <t>9.81.1</t>
  </si>
  <si>
    <t>9.81.2</t>
  </si>
  <si>
    <t>9.81.3</t>
  </si>
  <si>
    <t>9.82</t>
  </si>
  <si>
    <t xml:space="preserve">P/F bright finished brass hanging type floor door stopper. </t>
  </si>
  <si>
    <t xml:space="preserve">Providing and fixing bright finished brass hanging type floor door stopper with necessary screws, etc. complete. </t>
  </si>
  <si>
    <t>9.83</t>
  </si>
  <si>
    <t xml:space="preserve">P/F IS : 3564 Aluminium die hydraulic door closer. </t>
  </si>
  <si>
    <t xml:space="preserve">Providing and fixing aluminium die cast body tubular type universal hydraulic door closer (having brand logo with ISI, IS : 3564, embossed on the body, door weight upto 35 kg and door width upto 700 mm), with necessary accessories and screws etc. complete. </t>
  </si>
  <si>
    <t>9.84</t>
  </si>
  <si>
    <t xml:space="preserve">P/F IS : 3564 Aluminium extruded hydraulic door closer double speed. </t>
  </si>
  <si>
    <t xml:space="preserve">Providing and fixing aluminium extruded section body tubular type universal hydraulic door closer (having brand logo with ISi, IS : 3564, embossed on the body, door weight upto 36 kg to 80 kg and door width from 701 mm to 1000 mm), with double speed adjustment with necessaryaccessories and screws etc. complete. </t>
  </si>
  <si>
    <t>9.85</t>
  </si>
  <si>
    <t xml:space="preserve">P/F bright finished brass casement window fastener. </t>
  </si>
  <si>
    <t xml:space="preserve">Providing and fixing bright finished brass casement window fastener with necessary screws etc. complete. </t>
  </si>
  <si>
    <t>9.86</t>
  </si>
  <si>
    <t xml:space="preserve">P/F bright finished brass casement stays :- </t>
  </si>
  <si>
    <t xml:space="preserve">Providing and fixing bright finished brass casement stays (straight peg type) with necessary screws etc. complete : </t>
  </si>
  <si>
    <t>9.86.1</t>
  </si>
  <si>
    <t xml:space="preserve">300 mm weighing not less than 330 gms. </t>
  </si>
  <si>
    <t xml:space="preserve">300 mm weighing not less than 330 gms </t>
  </si>
  <si>
    <t>9.86.2</t>
  </si>
  <si>
    <t xml:space="preserve">250 mm weighing not less than 280 gms. </t>
  </si>
  <si>
    <t xml:space="preserve">250 mm weighing not less than 280 gms </t>
  </si>
  <si>
    <t>9.86.3</t>
  </si>
  <si>
    <t xml:space="preserve">200 mm weighing not less than 240 gms. </t>
  </si>
  <si>
    <t xml:space="preserve">200 mm weighing not less than 240 gms </t>
  </si>
  <si>
    <t>9.87</t>
  </si>
  <si>
    <t xml:space="preserve">P/F bright finished brass hasp and staple :- </t>
  </si>
  <si>
    <t xml:space="preserve">Providing and fixing bright finished brass hasp and staple (safety type) with necessary screws etc. complete : </t>
  </si>
  <si>
    <t>9.87.1</t>
  </si>
  <si>
    <t>9.87.2</t>
  </si>
  <si>
    <t xml:space="preserve">115 mm. </t>
  </si>
  <si>
    <t>9.87.3</t>
  </si>
  <si>
    <t>9.88</t>
  </si>
  <si>
    <t xml:space="preserve">P/F chromium plated brass 100 mm mortice latch and lock with 6 levers and a pair of handles with n/ascrews. </t>
  </si>
  <si>
    <t xml:space="preserve">Providing and fixing chromium plated brass 100 mm mortice latch and lock with 6 levers and a pair of lever handles of approved quality with necessary screws etc. complete. </t>
  </si>
  <si>
    <t>9.89</t>
  </si>
  <si>
    <t xml:space="preserve">P/F chromium plated brass night latch. </t>
  </si>
  <si>
    <t xml:space="preserve">Providing and fixing chromium plated brass night latch of approved quality including necessary screws etc. complete. </t>
  </si>
  <si>
    <t>9.90</t>
  </si>
  <si>
    <t xml:space="preserve">P/F special quality chromium plated brass cupboard locks with six levers :- </t>
  </si>
  <si>
    <t xml:space="preserve">Providing and fixing special quality chromium plated brass cupboard locks with six levers of approved quality including necessary screws etc. complete. </t>
  </si>
  <si>
    <t>9.90.1</t>
  </si>
  <si>
    <t xml:space="preserve">Size 40 mm. </t>
  </si>
  <si>
    <t xml:space="preserve">Size 40 mm </t>
  </si>
  <si>
    <t>9.90.2</t>
  </si>
  <si>
    <t xml:space="preserve">Size 50 mm. </t>
  </si>
  <si>
    <t xml:space="preserve">Size 50 mm </t>
  </si>
  <si>
    <t>9.90.3</t>
  </si>
  <si>
    <t xml:space="preserve">Size 65 mm. </t>
  </si>
  <si>
    <t xml:space="preserve">Size 65 mm </t>
  </si>
  <si>
    <t>9.90.4</t>
  </si>
  <si>
    <t xml:space="preserve">Size 75 mm. </t>
  </si>
  <si>
    <t xml:space="preserve">Size 75 mm </t>
  </si>
  <si>
    <t>9.91</t>
  </si>
  <si>
    <t xml:space="preserve">P/F chromium plated brass 50 mm cupboard or wardrobe knobs with nuts complete :- </t>
  </si>
  <si>
    <t xml:space="preserve">Providing and fixing chromium plated brass 50 mm cupboard or wardrobe knobs with nuts complete. </t>
  </si>
  <si>
    <t>9.92</t>
  </si>
  <si>
    <t xml:space="preserve">P/F chromium plated brass handles :- </t>
  </si>
  <si>
    <t xml:space="preserve">Providing and fixing chromium plated brass handles with necessary screws etc. complete: </t>
  </si>
  <si>
    <t>9.92.1</t>
  </si>
  <si>
    <t>9.92.2</t>
  </si>
  <si>
    <t>9.92.3</t>
  </si>
  <si>
    <t>9.93</t>
  </si>
  <si>
    <t xml:space="preserve">P/F chromium plated brass casement window fastener. </t>
  </si>
  <si>
    <t xml:space="preserve">Providing and fixing chromium plated brass casement window fastener with necessary screws etc. complete. </t>
  </si>
  <si>
    <t>9.94</t>
  </si>
  <si>
    <t xml:space="preserve">P/F chromium plated brass casement stays :- </t>
  </si>
  <si>
    <t xml:space="preserve">Providing and fixing chromium plated brass casement stays (straight peg type) with necessary screws etc. complete : </t>
  </si>
  <si>
    <t>9.94.1</t>
  </si>
  <si>
    <t>9.94.2</t>
  </si>
  <si>
    <t>9.94.3</t>
  </si>
  <si>
    <t>9.95</t>
  </si>
  <si>
    <t xml:space="preserve">P/F aluminium butt hinges :- </t>
  </si>
  <si>
    <t xml:space="preserve">Providing and fixing ISI marked aluminium butt hinges anodised (anodic coating not less than grade AC 10 as per IS: 1868) transparent or dyed to required colour or shade with necessary screws etc. complete: </t>
  </si>
  <si>
    <t>9.95.1</t>
  </si>
  <si>
    <t xml:space="preserve">125 x 75 x 4 mm. </t>
  </si>
  <si>
    <t xml:space="preserve">125x75x4 mm </t>
  </si>
  <si>
    <t>9.95.2</t>
  </si>
  <si>
    <t xml:space="preserve">125 x 63 x 4 mm. </t>
  </si>
  <si>
    <t xml:space="preserve">125x63x4 mm </t>
  </si>
  <si>
    <t>9.95.3</t>
  </si>
  <si>
    <t xml:space="preserve">100 x 75 x 4 mm. </t>
  </si>
  <si>
    <t xml:space="preserve">100x75x4 mm </t>
  </si>
  <si>
    <t>9.95.4</t>
  </si>
  <si>
    <t xml:space="preserve">100 x 63 x 4 mm. </t>
  </si>
  <si>
    <t xml:space="preserve">100x63x4 mm </t>
  </si>
  <si>
    <t>9.95.5</t>
  </si>
  <si>
    <t xml:space="preserve">100 x 63 x 3.2 mm. </t>
  </si>
  <si>
    <t xml:space="preserve">100x63x3.2 mm </t>
  </si>
  <si>
    <t>9.95.6</t>
  </si>
  <si>
    <t xml:space="preserve">75 x 63 x 4 mm. </t>
  </si>
  <si>
    <t xml:space="preserve">75x63x4 mm </t>
  </si>
  <si>
    <t>9.95.7</t>
  </si>
  <si>
    <t xml:space="preserve">75 x 63 x 3.2 mm. </t>
  </si>
  <si>
    <t xml:space="preserve">75x63x3.2 mm </t>
  </si>
  <si>
    <t>9.95.8</t>
  </si>
  <si>
    <t xml:space="preserve">75 x 45 x 3.2 mm. </t>
  </si>
  <si>
    <t xml:space="preserve">75x45x3.2 mm </t>
  </si>
  <si>
    <t xml:space="preserve">Note:- Aluminium hinges shall not be used in wooden shutters , Stainless steel hinges shall be preferred </t>
  </si>
  <si>
    <t>9.96</t>
  </si>
  <si>
    <t xml:space="preserve">P/F anodised aluminium sliding door bolts : </t>
  </si>
  <si>
    <t xml:space="preserve">Providing and fixing aluminium sliding door bolts ISI marked anodised (anodic coating not less than grade AC 10 as per IS : 1868) transparent or dyed to required colour or shade with nuts and screws etc. complete : </t>
  </si>
  <si>
    <t>9.96.1</t>
  </si>
  <si>
    <t>9.96.2</t>
  </si>
  <si>
    <t>9.97</t>
  </si>
  <si>
    <t xml:space="preserve">P/F anodised aluminium tower bolts : </t>
  </si>
  <si>
    <t xml:space="preserve">Providing and fixing aluminium tower bolts ISI marked anodised (anodic coating not less than grade AC 10 as per IS : 1868 ) transparent or dyed to required colour or shade with necessary screws etc. complete : </t>
  </si>
  <si>
    <t>9.97.1</t>
  </si>
  <si>
    <t xml:space="preserve">300 x 10 mm . </t>
  </si>
  <si>
    <t xml:space="preserve">300x10 mm </t>
  </si>
  <si>
    <t>9.97.2</t>
  </si>
  <si>
    <t>9.97.3</t>
  </si>
  <si>
    <t>9.97.4</t>
  </si>
  <si>
    <t>9.97.5</t>
  </si>
  <si>
    <t>9.98</t>
  </si>
  <si>
    <t xml:space="preserve">P/F aluminium pull bolt lock . </t>
  </si>
  <si>
    <t xml:space="preserve">Providing and fixing aluminium pull bolt lock, ISI marked, anodised (anodic coating not less than grade AC 10 as per IS : 1868) transparent or dyed to required colour and shade with necessary screws bolts, nut and washers etc. complete. </t>
  </si>
  <si>
    <t>9.99</t>
  </si>
  <si>
    <t xml:space="preserve">P/F 50 cm long aluminium kicking plate 100 x 3.15 mm . </t>
  </si>
  <si>
    <t xml:space="preserve">Providing and fixing 50 cm long aluminium kicking plate of size 100x3.15 mm, anodised (anodic coating not less than grade AC 10 as per IS :1868) transparent or dyed to required colour or shade, with necessary screws etc. complete. </t>
  </si>
  <si>
    <t>9.100</t>
  </si>
  <si>
    <t xml:space="preserve">P/F anosied aluminium handles: </t>
  </si>
  <si>
    <t xml:space="preserve">Providing and fixing aluminium handles ISI marked, anodised (anodic coating not less than grade AC 10 as per IS : 1868) transparent or dyed to required colour or shade with necessary screws etc. complete : </t>
  </si>
  <si>
    <t>9.100.1</t>
  </si>
  <si>
    <t>9.100.2</t>
  </si>
  <si>
    <t>9.100.3</t>
  </si>
  <si>
    <t>9.101</t>
  </si>
  <si>
    <t xml:space="preserve">P/F aluminium hanging floor door stopper :- </t>
  </si>
  <si>
    <t xml:space="preserve">Providing and fixing aluminium hanging floor door stopper, ISI marked, anodised (anodic coating not less than grade AC 10 as per IS : 1868) transparent or dyed to required colour and shade, with necessary screws etc. complete. </t>
  </si>
  <si>
    <t>9.101.1</t>
  </si>
  <si>
    <t xml:space="preserve">Single rubber stopper . </t>
  </si>
  <si>
    <t xml:space="preserve">Single rubber stopper </t>
  </si>
  <si>
    <t>9.101.2</t>
  </si>
  <si>
    <t xml:space="preserve">Twin rubber stopper . </t>
  </si>
  <si>
    <t xml:space="preserve">Twin rubber stopper </t>
  </si>
  <si>
    <t>9.102</t>
  </si>
  <si>
    <t xml:space="preserve">P/F aluminium casement stays anodised (anodic coating not less than grade AC 10 as per IS : 1868). </t>
  </si>
  <si>
    <t xml:space="preserve">Providing and fixing aluminium casement stays, ISI marked, anodised (anodic coating not less than grade AC 10 as per IS : 1868) transparent or dyed to required colour and shade, with necessary screws etc. complete. </t>
  </si>
  <si>
    <t>9.103</t>
  </si>
  <si>
    <t xml:space="preserve">P/F bright finished brass 100mm mortice latch and lock with six levers (Best make of approved quality). </t>
  </si>
  <si>
    <t xml:space="preserve">Providing and fixing bright finished brass 100 mm mortice latch and lock, ISI marked, with six levers and a pair of anodised (anodic coating not less than grade AC 10 as per IS : 1868) aluminium lever handles of approved quality with necessary screws etc. complete. </t>
  </si>
  <si>
    <t>9.104</t>
  </si>
  <si>
    <t xml:space="preserve">P/F aluminium tee chanals (heavy duty) with rollers, stop end in pelmets as curtain rod. </t>
  </si>
  <si>
    <t xml:space="preserve">Providing and fixing aluminium tee channels (heavy duty) with rollers &amp; stop end in pelmets as curtain rod. </t>
  </si>
  <si>
    <t>9.105</t>
  </si>
  <si>
    <t xml:space="preserve">P/F partition upto ceiling height consisting of G.I. frame and required board: </t>
  </si>
  <si>
    <t xml:space="preserve">Providing and fixing partition upto ceiling height consisting of G.l. frame and required board, including providing and fixing of frame work made of special section power pressed/ roll form G.l.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M.S. fixing channel of 99 mm width (0.9 mm thick having two flanges of 9.5 mm each)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t>
  </si>
  <si>
    <t>9.105.1</t>
  </si>
  <si>
    <t xml:space="preserve">75 mm overall thickness partition with 12.5 mm thick double skin fire rated board conforming to IS: 2095: part I. </t>
  </si>
  <si>
    <t xml:space="preserve">75 mm overall thickness partition with 12.5 mm thick double skin fire rated Glass Reinforced Gypsum (GRG) plaster board conforming to IS: 2095: (part 3) (Board with BIS certification marks) </t>
  </si>
  <si>
    <t>9.105.2</t>
  </si>
  <si>
    <t xml:space="preserve">75mm overall thickness partition with 12.5 mm thick double skin tapered edged plain Gypsum board conforming to IS: 2095: part I </t>
  </si>
  <si>
    <t xml:space="preserve">75mm overall thickness partition with 12.5 mm thick double skin tapered edged plain Gypsum plaster board conforming to IS: 2095: (part 1) : 2011 (Board with BIS certification marks) </t>
  </si>
  <si>
    <t>9.105.3</t>
  </si>
  <si>
    <t xml:space="preserve">66 mm overall thickness partition with 8 mm thick double skin Calcium Sili- cate board. </t>
  </si>
  <si>
    <t xml:space="preserve">66mm overall thickness Partition with 8mm thick double skin Calcium Silicate Board made with Calcareous &amp; Siliceous materials reinforced with cellulose fiber manufactured through autoclaving process with Compressive Strength 225 kg/sq.cm, Bending Strength 100 kg./ sq.cm </t>
  </si>
  <si>
    <t>9.105.4</t>
  </si>
  <si>
    <t xml:space="preserve">66 mm overall thickness partition using 8 mm thick double skin cement board as per IS:14862 with suita- ble fibre cement screws. </t>
  </si>
  <si>
    <t xml:space="preserve">66mm overall thickness partition using 8mm thick, double skin multipurpose cement board, Type-B, Category-Ill as per IS : 14862:2000 reinforced with cellulose fibre manufactured through autoclaving process (High pressure steam cured) with suitable fibre cement screws </t>
  </si>
  <si>
    <t>9.105.5</t>
  </si>
  <si>
    <t xml:space="preserve">66 mm overall thickness partition using 8 mm thick double skin multipurpose cement bonded wood particle board ...... with suitable cement bonded </t>
  </si>
  <si>
    <t xml:space="preserve">66 mm overall thickness partition using 8 mm thick double skin multipurpose cement bonded wood particle board manufactured as per IS: 14276 with suitable cement bonded board screws </t>
  </si>
  <si>
    <t>9.106</t>
  </si>
  <si>
    <t xml:space="preserve">P/F PTMT handle with necessary screws complete: </t>
  </si>
  <si>
    <t xml:space="preserve">Providing and fixing PTMT handles with necessary screws etc. complete. </t>
  </si>
  <si>
    <t>9.106.1</t>
  </si>
  <si>
    <t xml:space="preserve">125 x 34 x 24 mm weighing not less than 24 grams. </t>
  </si>
  <si>
    <t xml:space="preserve">125x34x24 mm weighing not less than 23 gms </t>
  </si>
  <si>
    <t>9.106.2</t>
  </si>
  <si>
    <t xml:space="preserve">150x34x24 mm weighing not less than 26 gms </t>
  </si>
  <si>
    <t>9.107</t>
  </si>
  <si>
    <t xml:space="preserve">P/F PTMT butt hinges with necessary screws complete: </t>
  </si>
  <si>
    <t xml:space="preserve">Providing and fixing PTMT Butt hinges with necessary screws etc. complete. </t>
  </si>
  <si>
    <t>9.107.1</t>
  </si>
  <si>
    <t xml:space="preserve">75 x 60 x 10 mm fitted with 5.5 mm dia. M.S bright bar. </t>
  </si>
  <si>
    <t xml:space="preserve">75 x 60 x 10 mm fitted with 5.5 mm dia M.S. Bright Bar Rod weighing not less than 34 gms </t>
  </si>
  <si>
    <t>9.107.2</t>
  </si>
  <si>
    <t xml:space="preserve">100 x 75 x 10 mm fitted with 5.5 mm dia. M.S bright bar. </t>
  </si>
  <si>
    <t xml:space="preserve">100 x 75 x 10 mm fitted with 5.5 mm dia MS Bright Bar Rod weighing not less than 53 gms </t>
  </si>
  <si>
    <t>9.108</t>
  </si>
  <si>
    <t xml:space="preserve">P/F PTMT tower bolts one piece 12mm rod with necessary screws complete: </t>
  </si>
  <si>
    <t xml:space="preserve">Providing and fixing PTMT Tower Bolts with 12 mm one piece rod inside and necessary screws etc., complete. </t>
  </si>
  <si>
    <t>9.108.1</t>
  </si>
  <si>
    <t xml:space="preserve">152 x 42 x 18 mm weighing not less than 60 grams. </t>
  </si>
  <si>
    <t xml:space="preserve">152x42x18 mm weighing not less than 60 gms </t>
  </si>
  <si>
    <t>9.108.2</t>
  </si>
  <si>
    <t xml:space="preserve">202 x 42 x 18 mm weighing not less than 78 grams. </t>
  </si>
  <si>
    <t xml:space="preserve">202x42x18 mm weighing not less than 78 gms </t>
  </si>
  <si>
    <t>9.109</t>
  </si>
  <si>
    <t xml:space="preserve">P/F PTMT door clacher of length 72 mm and dia. of 42 mm with suitable washers weighing 33 grams. </t>
  </si>
  <si>
    <t xml:space="preserve">Providing and fixing PTMT door catcher of length 72 mm and dia. of 42 mm with suitable washers weighing not less than 33 gms </t>
  </si>
  <si>
    <t>9.110</t>
  </si>
  <si>
    <t xml:space="preserve">P/F Bamboo jaffery/ fencing consisting of superior quality 25 mm dia. half cut bamboo. </t>
  </si>
  <si>
    <t xml:space="preserve">Providing and fixing Bamboo jaffery/ fencing consisting of superior quality 25 mm dia (Average) half cut bamboo placed vertically and fixed together with three numbers horizontal running members of hollock wood in scantling of section 50X25 mm, fixed with nails and G.I wire on existing support complete as per direction of Engineer-in-charge. </t>
  </si>
  <si>
    <t>9.111</t>
  </si>
  <si>
    <t xml:space="preserve">P/F wooden moulded corner beading of triangular shape 2nd class teak wood: </t>
  </si>
  <si>
    <t xml:space="preserve">Providing and fixing wooden moulded corner beading of triangular shape to the junction of panelling etc. with iron screws, plugs and priming coat on unexposed surface etc. complete 2nd class teak wood. </t>
  </si>
  <si>
    <t>9.111.1</t>
  </si>
  <si>
    <t xml:space="preserve">50x50 mm (base and height). </t>
  </si>
  <si>
    <t xml:space="preserve">50x50mm (base and height). </t>
  </si>
  <si>
    <t>9.112</t>
  </si>
  <si>
    <t xml:space="preserve">P/F second class teak wood lipping/moulded beading or taj beading of size 18x5mm. </t>
  </si>
  <si>
    <t xml:space="preserve">Providing and fixing 2nd class teak wood lipping/ moulded beading or taj beading of size 18X5 mm fixed with wooden adhesive of approved quality and screws/ nails on the edges of the Pre-laminated particle board as per direction of Engineer-in-charge. </t>
  </si>
  <si>
    <t>9.113</t>
  </si>
  <si>
    <t xml:space="preserve">P/F bright finished 100 mm mortice lock with 6 levers without handles for aluminium door. </t>
  </si>
  <si>
    <t xml:space="preserve">Providing and fixing bright finished 100 mm mortice lock with 6 levers without pair of handles of approved quality for aluminium door, with necessary screws etc complete as per direction of Engineer-in-charge. </t>
  </si>
  <si>
    <t>9.114</t>
  </si>
  <si>
    <t xml:space="preserve">P/F magnetic catcher in cup- board/ward robe shutters: </t>
  </si>
  <si>
    <t xml:space="preserve">Providing and fixing magnetic catcher of approved quality in cupboard / ward robe shutters, including fixing with necessary screws etc. complete. </t>
  </si>
  <si>
    <t>9.114.1</t>
  </si>
  <si>
    <t xml:space="preserve">Triple strip vertical type. </t>
  </si>
  <si>
    <t xml:space="preserve">Triple strip vertical type </t>
  </si>
  <si>
    <t>9.114.2</t>
  </si>
  <si>
    <t xml:space="preserve">Doublee strip horizontal type. </t>
  </si>
  <si>
    <t xml:space="preserve">Double strip (horizontal type) </t>
  </si>
  <si>
    <t>9.115</t>
  </si>
  <si>
    <t xml:space="preserve">P/F powder coated telescopic drawer channels 300 mm long. </t>
  </si>
  <si>
    <t xml:space="preserve">Providing and fixing powder coated telescopic drawer channels 300 mm long with necessary screws etc. complete as per directions of Engineer-in-charge. </t>
  </si>
  <si>
    <t>9.116</t>
  </si>
  <si>
    <t xml:space="preserve">P/F sliding arrangement in racks/ cupboards/ cabinate shutter. </t>
  </si>
  <si>
    <t xml:space="preserve">Providing and fixing sliding arrangement in racks/ cupboards/cabinets shutter with stainless steel rollers to run inside C or E aluminium channel section (The payment of C or E channel shall be made separately) </t>
  </si>
  <si>
    <t>9.117</t>
  </si>
  <si>
    <t xml:space="preserve">P/F factory made UPVC door frame made of UPVC extruded section: </t>
  </si>
  <si>
    <t xml:space="preserve">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Engineer-in-charge </t>
  </si>
  <si>
    <t>9.117.1</t>
  </si>
  <si>
    <t xml:space="preserve">Extruded section profile size 48 x 40 mm. </t>
  </si>
  <si>
    <t xml:space="preserve">Extruded section profile size 48x40 mm </t>
  </si>
  <si>
    <t>9.117.2</t>
  </si>
  <si>
    <t xml:space="preserve">Extruded section profile size 42 x 50 mm. </t>
  </si>
  <si>
    <t xml:space="preserve">Extruded section profile size 42x50 mm </t>
  </si>
  <si>
    <t>9.118</t>
  </si>
  <si>
    <t xml:space="preserve">P/F to existing door frames: </t>
  </si>
  <si>
    <t xml:space="preserve">Providing and fixing to existing door frames. </t>
  </si>
  <si>
    <t>9.118.1</t>
  </si>
  <si>
    <t xml:space="preserve">24 mm thick factory made PVC door shutter. </t>
  </si>
  <si>
    <t xml:space="preserve">24 mm thick factory made PVC door shutters made of styles and rails of a uPVC hollow section of size 59x24 mm and wall thickness 2 mm (± 0.2 mm) with inbuilt edging on both sides. The styles and rails mitred and joint at the corners by means of M.S. galvanised/plastic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t>
  </si>
  <si>
    <t>9.118.2</t>
  </si>
  <si>
    <t xml:space="preserve">30 mm thick factory made PVC door shutter with decorative moulding edging. </t>
  </si>
  <si>
    <t xml:space="preserve">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multi-chambered single panel of size not less than 620 mm, having over all thickness of 20 mm and 1 mm (± 0.1 mm) wall thickness . The panels filled vertically and tie bar at two places by inserting horizontally 6 mm galvanised M.S. rod and fastened with nuts and washers, complete as per manufacturer’s specification and direction of Engineer-in-charge. </t>
  </si>
  <si>
    <t>9.118.3</t>
  </si>
  <si>
    <t xml:space="preserve">25 mm thick (PVC) flush door shutter made out of a one piece Multi chamber extruded PVC section of the size of 762 mm x 25 mm or less. </t>
  </si>
  <si>
    <t xml:space="preserve">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 in-charge to take up necessary hardware and fixtures. Stickers indicating the locations of hardware will be pasted at appropriate places. </t>
  </si>
  <si>
    <t>9.119</t>
  </si>
  <si>
    <t xml:space="preserve">P/F factory made PVC door frame of size 50x 47 mm with a wall thickness of 5 mm. </t>
  </si>
  <si>
    <t xml:space="preserve">Providing and fixing factory made P.V.C. door frame of size 50x47 mm with a 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Engineer-in-Charge. </t>
  </si>
  <si>
    <t>9.120</t>
  </si>
  <si>
    <t xml:space="preserve">P/F factory made panel PVC door shutter </t>
  </si>
  <si>
    <t xml:space="preserve">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30mm thickness, 70 mm width out of which 50 mm shall be flat and 20 mm shall be tapered in 45 degree angle on both side forming styles and 5 mm thick, 95 mm wide PVC sheet out of which 75 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t>
  </si>
  <si>
    <t>9.120.1</t>
  </si>
  <si>
    <t xml:space="preserve">30 mm thick factory made panel PVC door shutters (for W.C. and bathroom shutters). </t>
  </si>
  <si>
    <t xml:space="preserve">30 mm thick plain PVC door shutters. </t>
  </si>
  <si>
    <t>9.120.2</t>
  </si>
  <si>
    <t xml:space="preserve">30 mm thick factory made solid both side pre-laminated panel P.V.C. door shutter. </t>
  </si>
  <si>
    <t xml:space="preserve">30 mm thick pre laminated PVC door shutters </t>
  </si>
  <si>
    <t>9.121</t>
  </si>
  <si>
    <t xml:space="preserve">P/F of Fiber Reinforced plstic (FRP) Door frames of of size 90 mm x 45 mm. </t>
  </si>
  <si>
    <t xml:space="preserve">Providing and fixing Fiber Glass Reinforced plastic (FRP) Door Frames of cross-section 90 mm x 45 mm having single rebate of 32 mm x 15 mm to receive shutter of 30 mm thickness. The laminate shall be moulded with fire resistant grade unsaturated polyester resin and chopped mat. Door frame laminate shall be 2 mm thick and shall be filled with suitable wooden block in all the three legs. The frame shall be covered with fiber glass from all sides. M.S. stay shall be provided at the bottom to steady the frame. </t>
  </si>
  <si>
    <t>9.122</t>
  </si>
  <si>
    <t>9.122.1</t>
  </si>
  <si>
    <t xml:space="preserve">30 mm thick Glass fiber Reinforced plastic (FRP) panelled door shutter. </t>
  </si>
  <si>
    <t xml:space="preserve">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 </t>
  </si>
  <si>
    <t>9.122.2</t>
  </si>
  <si>
    <t xml:space="preserve">30 mm thick Glass fiber Reinforced plastic (FRP) flush door shutter. </t>
  </si>
  <si>
    <t xml:space="preserve">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 Polystyrene foam to be used as filler material throughout the hollow panel, casted monolithically with testing parameters of F.R.P. laminate conforming to table - 3 of IS: 14856, complete as per direction of Engineer-in-charge. </t>
  </si>
  <si>
    <t>9.123</t>
  </si>
  <si>
    <t xml:space="preserve">P/F factory made door frame (Single rebate) made of solid P.V.C. foam profile of size 60 mm width and 30 mm thick. </t>
  </si>
  <si>
    <t xml:space="preserve">Providing and fixing factory made door frame (single rebate) made out of solid foam PVC extruded profile of minimum 60mm width and minimum 30 mm thickness, having homogenous fine cellular structure and integral smooth outer skin. The frame's vertical and horizontal members to be mitered cut and joined together with PVC solvent adhesive / cement and both corners strengthened with fully threaded steel screws (of required size) fixed diagonally. The door frame is to be fixed to door jambs using 6 Nos. SS 304 grade minimum 8 mm dia CSK Phillips stainless steel self tapping screws/fasteners with PA6 grade polyamide sleeves both of required size, and gap if any between the door frame and the jamb must be filled with clear silicon, complete as per direction of the Engineer-in- Charge. </t>
  </si>
  <si>
    <t>9.123A</t>
  </si>
  <si>
    <t xml:space="preserve">Providing PVC moulding / architrave for door frame made up of extruded solid foam PVC profile having homogenous fine cellular structure with smooth outer integral skin, minimum 30 mm width and minimum 12mm thick suitable for fixing to frame. The moulding shall be snap fitted in the groove provided in the frame &amp; fixed with PVC solvent adhesive / cement and self tapping screws (of required size) complete as per direction of Engineer-in-Charge. </t>
  </si>
  <si>
    <t>9.124</t>
  </si>
  <si>
    <t xml:space="preserve">P/F 30 mm thick door shutter made solid PVC foam profile with homogeneous cellular structure. </t>
  </si>
  <si>
    <t xml:space="preserve">Providing and fixing factory made PVC Door shutter made of solid foam PVC profiles of thickness 5 mm and 15 mm at edges integrally extruded for vertical style and horizontal (top / bottom / lock) rails of minimum cross section of 70mm x 28mm, of shape and design as per manufacturer's specifications having homogenous fine cellular structure and smooth integral outer skin, inserted with G.l. 'C' section/ rectangular tube profile of minimum 0.30 mm thickness with 120 gsm coating as stiffeners as per manufacturer's specifications Mitered cut joints for styles and rails provided with telescopic polymeric L' corners are joined together using solvent adhesive and strengthened with fully threaded stainless steel screws (of required size) through reinforcement stiffener with paneling of specified solid foam PVC board / high pressure laminate of required thickness and of approved design and shade (matching the styles and rails), secured within styles and rails with specially designed solid foam PVC moulded headings of required size using PVC solvent adhesive / cement. The finished door shutter including SS hardware, 1 no. SS sliding door bolt 200 x 10mm, 1 no. SS tower bolt 200 x 10mm and 2 nos. SS handles 125 mm, shall be fixed to frame with 3 Nos. stainless steel hinges of minimum size 100x58x1.9mm and stainless steel screws of required size complete as per direction of the Engineer-in-Charge.(Cost of above hardware is inclusive in rates) </t>
  </si>
  <si>
    <t>9.124.1</t>
  </si>
  <si>
    <t xml:space="preserve">Non decorative finish. </t>
  </si>
  <si>
    <t xml:space="preserve">5 mm thick solid foam PVC panel of required size with moulded/extruded beading of appropriate design shape and size as per manufacturer's specifications (to secure the panel insert tight in place within the style and rails of the shutter)matching the color &amp;shade of shutter frame - Non decorative type. </t>
  </si>
  <si>
    <t>9.124.2</t>
  </si>
  <si>
    <t xml:space="preserve">Decorative finish (both side wood grained finish). </t>
  </si>
  <si>
    <t xml:space="preserve">5 mm thick solid foam PVC panel of required size with moulded / extruded beading of appropriate design shape and size as per manufacturer's specifications (to secure the panel insert tight in place within the style and rails of the shutter)matching the design, color &amp; shade of shutter frame. - Decorative type. </t>
  </si>
  <si>
    <t>9.124.3</t>
  </si>
  <si>
    <t xml:space="preserve">3 mm thick high pressure laminate (decorative type) with moulded /extruded beading of appropriate design shape and size as per manufacturer's specifications (to secure the panel insert tight in place within the style and rails of the shutter) matching the design, color &amp; shade of shutter frame. Non Ddcorative type </t>
  </si>
  <si>
    <t>9.126</t>
  </si>
  <si>
    <t xml:space="preserve">P/F 12 mm thick panelling or penelling and glazed in penelled/ penelled &amp; glazed shutters for doors, windows: </t>
  </si>
  <si>
    <t xml:space="preserve">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t>
  </si>
  <si>
    <t>9.126.1</t>
  </si>
  <si>
    <t xml:space="preserve">Marine plywood conforming to IS: 710 </t>
  </si>
  <si>
    <t>9.126.2</t>
  </si>
  <si>
    <t xml:space="preserve">Fire retardant plywood conforming to IS: 5509. </t>
  </si>
  <si>
    <t>9.127</t>
  </si>
  <si>
    <t xml:space="preserve">P/F decorative high pressure laminated sheet of plain/wood grain in gloss/ matt/ suede finish with high density: </t>
  </si>
  <si>
    <t xml:space="preserve">Providing &amp; Fixing decorative high pressure laminated sheet of plain / wood grain in gloss / matt / suede finish with high density protective surface layer and reverse side of adhesive bonding quality conforming to IS : 2046 Type S, including cost of adhesive of approved quality. </t>
  </si>
  <si>
    <t>9.127.1</t>
  </si>
  <si>
    <t xml:space="preserve">1.50 mm thick. </t>
  </si>
  <si>
    <t xml:space="preserve">1.5 mm thick. </t>
  </si>
  <si>
    <t>9.127.2</t>
  </si>
  <si>
    <t xml:space="preserve">1.00 mm thick. </t>
  </si>
  <si>
    <t xml:space="preserve">1.0 mm thick. </t>
  </si>
  <si>
    <t>9.128</t>
  </si>
  <si>
    <t xml:space="preserve">P/F factory made fiber glass reinfoced plastices (FRP) chajjas 4 mm thick. </t>
  </si>
  <si>
    <t xml:space="preserve">Providing and fixing factory made Fiberglass Reinforced Plastic (F.R.P.) Chhajja 4mm thick of required colour size and design made of Resin Transfer moulding (RTM)Machine technology, resulting in void free compact laminate in single piece, having smooth gradual slope curvature for easy drainage of water and duly reinforced by 2 nos vertically and 1 no horizontally mm thick MS flat with 12mm inbuilt hole for grouting on the existing wallalongwith 50mm flangesduly inserted and sealed in the wall completein one single piece casted monolithically, including all necessary fittings. The FRP chhajja should be manufactured using unsaturated polyester resin as per IS: 6746, duly reinforced with fiber glass chopped strand mash (CSM) as per IS:11551 complete with protective Gel coat U/V coating on top for complete resistance from the extreme of tempetrature, weather &amp; sunlight (only plan area of chhajjas shall be measured for making payment) </t>
  </si>
  <si>
    <t>9.129</t>
  </si>
  <si>
    <t xml:space="preserve">P/F cupboard shutter 25 mm thick, with pre-laminated flat pressed three layer particle one side decorative lamination i/c IInd Class wood lipping of 25 x 12 mm. </t>
  </si>
  <si>
    <t xml:space="preserve">Providing and fixing cup board shutters 25mm thick, with Pre-laminated flat pressed three layer particle board or graded wood particle board IS: 12823 marked exterior grade (Grade l Type ll) having one side decorative lamination and other side balancing lamination including IInd class teak wood lipping of 25mm wide x12 mm thick with necessary screws and bright finished stainless steel piano hinges complete as per direction of the Engineer-in-Charge </t>
  </si>
  <si>
    <t>9.130</t>
  </si>
  <si>
    <t xml:space="preserve">P/F cup board shutters with 25mm thick veneering particle board IS: 3097 marked exterior grade-I of approved make: </t>
  </si>
  <si>
    <t xml:space="preserve">Providing and fixing cup board shutters with 25mm thick veneered particle board IS : 3097 marked exterior grade (Grade I) of approved make including IInd class teak wood lipping of 25mm wide x 12 mm thick with necessary screws and bright finished stainless steel piano hinges complete as per direction of Engineer-in-Charge. </t>
  </si>
  <si>
    <t>9.130.1</t>
  </si>
  <si>
    <t xml:space="preserve">with decorative veneering on one side and commercial other side. </t>
  </si>
  <si>
    <t xml:space="preserve">With decorative veneering on one side and commercial veneering on other side. </t>
  </si>
  <si>
    <t>9.130.2</t>
  </si>
  <si>
    <t xml:space="preserve">With non-decorative veneering on both sides. </t>
  </si>
  <si>
    <t xml:space="preserve">With non decorative veneering on both sides. </t>
  </si>
  <si>
    <t>9.131</t>
  </si>
  <si>
    <t xml:space="preserve">P/F factory made shutters of pre-laminated particle board flat pressed three layer particle board one side decorative finish: </t>
  </si>
  <si>
    <t xml:space="preserve">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all-round the shutter, including fixing with angle cleat, grip strip, cadmium plated steel screws including fixing of aluminium hinges 100x63x4 mm etc. complete as per architectural drawing and direction of Engineer-in-Charge (Cost of 'U' beading and hinges will be paid for separately). </t>
  </si>
  <si>
    <t>9.131.1</t>
  </si>
  <si>
    <t>9.132</t>
  </si>
  <si>
    <t xml:space="preserve">P/F aluminium U beading of required size to pre-laminated / flush door shutter. </t>
  </si>
  <si>
    <t xml:space="preserve">Providing and fixing aluminum U beading of required size to Pre-laminated /flush door shutter including fixing etc. complete as per direction of Engineer-in-charge. </t>
  </si>
  <si>
    <t>9.133</t>
  </si>
  <si>
    <t xml:space="preserve">P/F in position concealed G.I section for wall panelling using board: </t>
  </si>
  <si>
    <t xml:space="preserve">Providing and fixing, in position concealed G.l. section for wall paneling using board of required thickness fixed on the 'W profile (0.55 mm thick) having a knurled web of 51.55 and two flanges of 26mm each with lips of 10.55mm placed @610mm c/c mm with thickness of 0.55 mm and web in perimeter channel having one flange of 20mm and another flange of 30mm with thickness of 0.55 mm and web of length 27 mm. Perimeter channel is fixed on the floor and the ceiling with the nylon sleeves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 </t>
  </si>
  <si>
    <t>9.133.1</t>
  </si>
  <si>
    <t xml:space="preserve">Tapered edge calcium silicate board made with calcareous and siliceous materials: </t>
  </si>
  <si>
    <t xml:space="preserve">Tapered edge calcium silicate board made with calcareous &amp; siliceous materials reinforced with cellulose fiber manufactured through autoclaving process to give stable crystalline structure with compressive strength 225 kg/sq.cm, Bending strength 100kg/sq.cm. </t>
  </si>
  <si>
    <t>9.133.1.1</t>
  </si>
  <si>
    <t xml:space="preserve">10 mm thick. </t>
  </si>
  <si>
    <t xml:space="preserve">10mm thick. </t>
  </si>
  <si>
    <t>9.133.2</t>
  </si>
  <si>
    <t xml:space="preserve">Non asbestos multipurpose cement board reinfoced with cellulose fiber: </t>
  </si>
  <si>
    <t xml:space="preserve">Multipurpose cement board reinforced with suitable fibre cement screw </t>
  </si>
  <si>
    <t>9.133.2.1</t>
  </si>
  <si>
    <t xml:space="preserve">8 mm thick. </t>
  </si>
  <si>
    <t xml:space="preserve">8 mm thick cement fibre board, Type- B, Category- III as per IS 14862:2000 </t>
  </si>
  <si>
    <t>9.133.2.2</t>
  </si>
  <si>
    <t xml:space="preserve">8 mm thick cement bonded wood particles. </t>
  </si>
  <si>
    <t xml:space="preserve">8 mm thick cement bonded wood particle board as per IS:14276. </t>
  </si>
  <si>
    <t>9.133.3</t>
  </si>
  <si>
    <t xml:space="preserve">Gypsum board conforming to IS: 2095 Part - I . </t>
  </si>
  <si>
    <t xml:space="preserve">Plain Gypsum plaster board conforming to IS: 2095( Part - I) : 2011 (Board with BIS certification marks) </t>
  </si>
  <si>
    <t>9.133.3.1</t>
  </si>
  <si>
    <t xml:space="preserve">12.5 mm thick. </t>
  </si>
  <si>
    <t>9.134</t>
  </si>
  <si>
    <t xml:space="preserve">P/F wire gauge shutters using stainless steel grade 304 wire gauge with wire of dia 0.5 mm and average width of aperture 1.4 mm for doors, windows </t>
  </si>
  <si>
    <t xml:space="preserve">Providing and fixing wire gauge shutters using stainless steel grade 304 wire gauge with wire of dia 0.5 mm and average width of aperture 1.4 mm in both directions for doors, windows and clerestory windows with necessary screws: </t>
  </si>
  <si>
    <t>9.134.1</t>
  </si>
  <si>
    <t>9.134.1.1.1</t>
  </si>
  <si>
    <t xml:space="preserve">Second class teakwood - with MS butt hinges </t>
  </si>
  <si>
    <t>9.134.1.1.2</t>
  </si>
  <si>
    <t xml:space="preserve">Kiln seasoned hollock wood - with MS butt hinges </t>
  </si>
  <si>
    <t xml:space="preserve">with ISI marked M.S. pressed butt hinges bright finished of required size-Kiln seasoned and chemically treated hollock wood. </t>
  </si>
  <si>
    <t>9.134.1.1.3</t>
  </si>
  <si>
    <t xml:space="preserve">Kiln seasoned sheesham wood - with MS butt hinges </t>
  </si>
  <si>
    <t>9.134.1.2.1</t>
  </si>
  <si>
    <t xml:space="preserve">Second class teakwood - with SS butt hinges </t>
  </si>
  <si>
    <t xml:space="preserve">With ISI marked stainless steel butt hinges of required size. - Second class teak wood. </t>
  </si>
  <si>
    <t>9.134.1.2.2</t>
  </si>
  <si>
    <t xml:space="preserve">Kiln seasoned hollock wood - with SS butt hinges </t>
  </si>
  <si>
    <t xml:space="preserve">With ISI marked stainless steel butt hinges of required size. - Kiln seasoned and chemically treated hollock wood. </t>
  </si>
  <si>
    <t>9.134.1.2.3</t>
  </si>
  <si>
    <t xml:space="preserve">Kiln seasoned sheesham wood - with SS butt hinges </t>
  </si>
  <si>
    <t xml:space="preserve">With ISI marked stainless steel butt hinges of required size. - Kiln seasoned selected class of sheesham wood. </t>
  </si>
  <si>
    <t>9.134.2</t>
  </si>
  <si>
    <t>9.134.2.1.1</t>
  </si>
  <si>
    <t xml:space="preserve">Second class teakwood - with bright finished MS butt hinges </t>
  </si>
  <si>
    <t>9.134.2.1.2</t>
  </si>
  <si>
    <t xml:space="preserve">Kiln seasoned hollock wood - with bright finished MS butt hinges </t>
  </si>
  <si>
    <t xml:space="preserve">with ISI marked M.S. pressed butt hinges bright finished of required size. - Kiln seasoned and chemically treated hollock wood. </t>
  </si>
  <si>
    <t>9.134.2.1.3</t>
  </si>
  <si>
    <t xml:space="preserve">Kiln seasoned sheesham wood - with bright finished MS butt hinges </t>
  </si>
  <si>
    <t xml:space="preserve">with ISI marked M.S. pressed butt hinges bright finished of required size. - Kiln seasoned selected class of sheesham wood. </t>
  </si>
  <si>
    <t>9.134.2.2.1</t>
  </si>
  <si>
    <t xml:space="preserve">With ISI marked stainless steel butt hinges of required size. - Second class teak wood </t>
  </si>
  <si>
    <t>9.134.2.2.2</t>
  </si>
  <si>
    <t>9.134.2.2.3</t>
  </si>
  <si>
    <t>9.135</t>
  </si>
  <si>
    <t xml:space="preserve">P/F fly proof stainless steel grade 304 wire gauge, to windows using wire gauge with average width of aperture 1.4mm </t>
  </si>
  <si>
    <t xml:space="preserve">Providing and fixing fly proof stainless steel grade 304 wire gauge, to windows and clerestory windows using wire gauge with average width of aperture 1.4mm in both directions with wire of dia. 0.50 mm all complete. </t>
  </si>
  <si>
    <t>9.135.1</t>
  </si>
  <si>
    <t xml:space="preserve">With 2nd class teak wood beading 62X19 mm. </t>
  </si>
  <si>
    <t>9.135.2</t>
  </si>
  <si>
    <t>9.136</t>
  </si>
  <si>
    <t xml:space="preserve">P/F fire resistant door frame of section 143 x 57 mm duly filled with vermuculite based concrete mix, suitable for mounting 60 minutes fire rated door shutters. </t>
  </si>
  <si>
    <t xml:space="preserve">Providing and fixing fire resistant door frame of section 143 x 57 mm having built in rebate made out of 16 SWG G.I. sheet (zinc coating not less than 120gm/sqm) duly filled with vermiculite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Engineer-in-charge(Dash fastener to be paid for separately). </t>
  </si>
  <si>
    <t>9.137</t>
  </si>
  <si>
    <t xml:space="preserve">P/F 50 mm thick glazed fire resistant door shutters of 60 minutes fire rating </t>
  </si>
  <si>
    <t xml:space="preserve">Providing and fixing 50 mm thick glazed fire resistant door shutters of 60 minutes fire rating conforming to IS:3614 (Part-II) tested and certified as per laboratory approved by Engineer-in-charge with suitable mounting on doorframe, consisting of vertical styles, lock rail, top rail 100mm wide, bottom rail 200mm wide, made out of 16 SWG G.I. sheet (zinc coating not less than 120 gm/sqm) duly filled FR insulation material and fixing with necessary stainless steel ball bearing hinges of approved make, including applying a coat of approved fire resistant primer etc. all complete as per direction of Engineer-in- charge (pannelling to be paid for separately). </t>
  </si>
  <si>
    <t>9.138</t>
  </si>
  <si>
    <t xml:space="preserve">P/F glazing in fire resistant door shutters, fixed panels, ventilators and partitions etc., with G.I. beading </t>
  </si>
  <si>
    <t xml:space="preserve">Providing and fixing glazing in fire resistant door shutters, fixed panels &amp; partitions etc., with G.I. beading made out 1.6 mm thick G.I. sheet (zinc coating not less than 120 gm/sqm) of size 20 x 33 mm screwed with M4 x 38 mm SS screws at distance of 75 mm from the edges and 150 mm c/c, including applying a coat of approved fire resistant primer/ powder coating of not less than 30 micron on G.I. beading &amp; special ceramic tape of 5 x 20 mm size etc. complete in all respect as per NBC 2016, IS 16231 (Part 3) :2016 and as per direction of Engineer-in-charge with glass of required thickness having 60 minutes of fire resistance both integrity &amp; radiation control (EW60) and minimum 20 min of insulation (EI20). The manufacturer has to give test report / certification of fire glass and the glass should have the stamp showing the value of E, EW &amp; EI. The glass shall be tested in approved NABL accredited lab or any other accreditation body which operates in accordance with ISO/ IEC 17011 and accredits labs as per ISO/ IEC 17025 for testing and calibration scopes shall be eligible. The maximum glazing size shall not be more than 1100 x 2200 mm (w x h) or 2.42 sqm. </t>
  </si>
  <si>
    <t>9.139</t>
  </si>
  <si>
    <t xml:space="preserve">P/F fixing panic bar / latch (Double point) fitted with a single body.. </t>
  </si>
  <si>
    <t xml:space="preserve">Providing and fixing panic bar / latch (Double point) fitted with a single body, Trim Latch &amp; Lock on back side of the Panic Latch of reputed brand and manufacture to be approved by the Engineer- in- charge, all complete. </t>
  </si>
  <si>
    <t>9.140</t>
  </si>
  <si>
    <t xml:space="preserve">P/F plain lining including a coat of approved primer on one face and fixed on wooden /steel frame work </t>
  </si>
  <si>
    <t xml:space="preserve">Providing and fixing plain lining with necessary screws/nuts &amp; bolts/nails including a coat of approved primer on one face and fixed on wooden /steel frame work, complete as per direction of Engineer-in-charge. (Frame work shall be paid for separately) </t>
  </si>
  <si>
    <t>9.140.1</t>
  </si>
  <si>
    <t xml:space="preserve">12mm thick commercial ply conforming to IS : 1328 BWR type. </t>
  </si>
  <si>
    <t>9.141</t>
  </si>
  <si>
    <t xml:space="preserve">P&amp;F PVC Door Frame of size 50x47mm with a wall thickness of 5 mm </t>
  </si>
  <si>
    <t xml:space="preserve">Providing and fixing PVC Door Frame of size 50x47mm with a wall thickness of 5 mm (± 0.2 mm) made out of single piece extruded PVC profile, with mitred cut joints and joint with 2nos of PVC bracket of size 190 mm x 100 mm long arms of cross section size 35 x 15mm &amp; self driven self taping screws, the vertical door profiles to be reinforced with 40x20mm M.S. rectangular tube of 0.8 mm , including providing EPDM rubber gasket weather seal throughout the frame, including jointing 5mm PVC frame strip with PVC solvent cement on the back of the profile. The door frame to be fixed to the wall using 8x100mm long anchor fasteners complete, all as per manufacturer's specification and direction of Engineer -in- charge. </t>
  </si>
  <si>
    <t>9.142</t>
  </si>
  <si>
    <t xml:space="preserve">35 mm thick factory made Solid panel PVC Door shutter made out of single piece extruded solid PVC profiles, 5 mm </t>
  </si>
  <si>
    <t xml:space="preserve">35 mm thick factory made Solid panel PVC Door shutter made out of single piece extruded solid PVC profiles, 5 mm (± 0.2mm) thick, having styles &amp; rails (except lock rail) of size 95 mm 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5mm thick solid PVC lock rail of size 115mm X 35mm out of which 75mm to be flat and 20mm to be tapered at both ends having 15mm solid core in middle of rail section integrally extruded, fixing the styles and rails with the help of solvent and self driven self tapping screws of 125mm X 11mm including providing 5mm single piece solid PVC extruded sheet inserted in the door as panel, all complete as per manufacturer's specification and direction of Engineer-in-Charge. </t>
  </si>
  <si>
    <t>9.142.1</t>
  </si>
  <si>
    <t xml:space="preserve">Non decorative finish (matt finish). </t>
  </si>
  <si>
    <t>9.142.2</t>
  </si>
  <si>
    <t xml:space="preserve">Decorative finish (wood grained finish). </t>
  </si>
  <si>
    <t>9.143</t>
  </si>
  <si>
    <t xml:space="preserve">P &amp; Fixing factory made uPVC door frame made of uPVC extruded sections , of size 65 mm x 55 mm with wall thickness 2.0 mm </t>
  </si>
  <si>
    <t xml:space="preserve">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 </t>
  </si>
  <si>
    <t>9.144</t>
  </si>
  <si>
    <t xml:space="preserve">P &amp; F 37 mm thick factory made PVC door shutter, styles and rails made of PVC hollow section of size 100mm x 37mm with wall thickness 2mm </t>
  </si>
  <si>
    <t xml:space="preserve">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 </t>
  </si>
  <si>
    <t>9.145</t>
  </si>
  <si>
    <t xml:space="preserve">P &amp; F, factory made, PVC door frame made of PVC extruded sections of size 75mm x 53 mm, having wall thickness 2.0mm </t>
  </si>
  <si>
    <t xml:space="preserve">Providing and Fixing factory made PVC door frame made of PVC extruded sections of size 75 mm x 53 mm, having wall thickness 2.0 mm (± 0.2 mm). Both vertical 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 charge. </t>
  </si>
  <si>
    <t>9.146</t>
  </si>
  <si>
    <t xml:space="preserve">P/F 37 mm thick factory made PVC Door shutter having overall dimension 115mm x 37mm with wall thickness 2 mm </t>
  </si>
  <si>
    <t xml:space="preserve">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t>
  </si>
  <si>
    <t>9.147A</t>
  </si>
  <si>
    <t xml:space="preserve">Providing and fixing factory made uPVC glazed/wire mesh windows/doors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After fixing frame the gap between frame and adjacent finished wall shall be filled with weather proof silicon sealant over backer rod pf approved size and quality, all complete as per per approved drawing conforming to CPWD specification &amp; direction of Engineer-in-Charge. 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IS:16231 shall be paid separately. Note:- Structural design proof checked from a Government Engineering Institute, to be provided by the manufacturer for: (i) Sites with basic wind speed &gt; 45 m/sec as per IS 875 - Part 3 (ii) Sites with structure height more than 20m for all wind speeds. </t>
  </si>
  <si>
    <t xml:space="preserve">Providing and fixing factory made uPVC glazed/wire mesh windows/doors comprising of lead free uPVC multi-chambered frame, sash and mullion/coupler (where ever required) extruded profiles having minimum wall thickness of 1.70 mm for Series R1 and R2 profiles and 2.10 mm for Series R3 and R4 profiles conforming to EN: 12608 in any shape, colour and design duly reinforced with galvanized mild steel section made of required shape &amp; size as per CPWD Specification, uPVC extruded glazing beads, interlocks and Inline sash adaptor (where ever required) of appropriate dimension, EPDM gasket, hardware, SS 304 grade fasteners of minimum 8 mm dia with countersunk head, comprising of matching polyamide PA6 grade sleeve for fixing frame to finished wall as per IS 1367 : Part 1 to 14, plastic packers, plastic caps and necessary stainless steel screws etc. Profile of frame, sash &amp; mullion (if required) shall be mitred cut and fusion welded/mechanically jointed duly sealed at all corners, including drilling of holes for fixing hardware and drainage of water etc. </t>
  </si>
  <si>
    <t xml:space="preserve">After fixing frame the gap between frame and adjacent finished wall shall be filled with weather proof silicon sealant over backer rod pf approved size and quality, all complete as per approved drawing conforming to CPWD specification &amp; direction of Engineer-in-Charge. </t>
  </si>
  <si>
    <t xml:space="preserve">Section of steel reinforcement and cross sections of uPVC profiles to be as per design approved by Engineer-in-Charge. Wire mesh / Glazing of plain/ toughened/ laminated/ double glass unit with / without high performance coatings as per design requirements and conforming to IS: 3548 &amp; IS:16231 shall be paid separately. </t>
  </si>
  <si>
    <t xml:space="preserve">Note:- Structural design proof checked from a Government Engineering Institute, to be provided by the manufacturer for: </t>
  </si>
  <si>
    <t xml:space="preserve">(i) Sites with basic wind speed &gt; 45 m/sec as per IS 875 - Part 3 </t>
  </si>
  <si>
    <t xml:space="preserve">(ii) Sites with structure height more than 20m for all wind speeds. </t>
  </si>
  <si>
    <t>9.147.A1</t>
  </si>
  <si>
    <t xml:space="preserve">Two track two panels sliding window with Aluminium channel for roller track, wool pile, nylon rollers with SS 304 body. </t>
  </si>
  <si>
    <t>9.147.A1.1</t>
  </si>
  <si>
    <t xml:space="preserve">Using R2 series with frame (40mm &amp; above) x (40mm &amp; above) &amp; sash (25mm &amp; above) x (50mm &amp; above) with zinc alloy (zamak) powder coated touch locks with hook (Height upto 1.2 meter) </t>
  </si>
  <si>
    <t>9.147.A1.2</t>
  </si>
  <si>
    <t xml:space="preserve">Using R3 series with frame (55mm &amp; above) x (40mm &amp; above) &amp; sash (30mm &amp; above) x (55mm &amp; above) with zinc alloy (zamak) powder coated handle on every panel along with multi-point locking system (Height upto 1.8m) </t>
  </si>
  <si>
    <t>9.147.A1.3</t>
  </si>
  <si>
    <t xml:space="preserve">Using R4 series with frame (64mm &amp; above) x (45mm &amp; above) &amp; sash (44mm &amp; above) x (55mm &amp; above) with zinc alloy (zamak) powder coated handle on every panel along with multi-point locking system (Height above 1.8m). </t>
  </si>
  <si>
    <t>9.147.A2</t>
  </si>
  <si>
    <t xml:space="preserve">Two track four panels sliding windows with Aluminium channel for roller track, wool pile, zinc alloy (zamak) powder coated handle on three panels along with multi-point locking system, nylon rollers with SS 304 body. </t>
  </si>
  <si>
    <t>9.147.A2.1</t>
  </si>
  <si>
    <t xml:space="preserve">Using R3 series with frame (55mm &amp; above) x (40mm &amp; above) &amp; sash (30mm &amp; above) x (55mm &amp; above) (Height upto 1.8m). </t>
  </si>
  <si>
    <t>9.147.A2.2</t>
  </si>
  <si>
    <t xml:space="preserve">Using R4 series with frame (64mm &amp; above) x (45mm &amp; above) &amp; sash (44mm &amp; above) x (55mm &amp; above) (Height above 1.8m). </t>
  </si>
  <si>
    <t>9.147.A3</t>
  </si>
  <si>
    <t xml:space="preserve">Two and half track three panels sliding window with two glazed &amp; one wire mesh panels with Aluminium channel for roller track, wool pile, nylon rollers with SS 304 body. </t>
  </si>
  <si>
    <t>9.147.A3.1</t>
  </si>
  <si>
    <t xml:space="preserve">Using R2 series with frame (65mm &amp; above) x (40mm &amp; above) &amp; glazed sash (25mm &amp; above) x (50mm &amp; above) &amp; fly screen sash (18mm &amp; above) x (40mm &amp; above) with zinc alloy (zamak) powder coated touch locks with hook (Height upto 1.2 meter) </t>
  </si>
  <si>
    <t>9.147.A3.2</t>
  </si>
  <si>
    <t xml:space="preserve">Using R3 series with frame (85mm &amp; above) x (40mm &amp; above) &amp; glazed sash (30mm &amp; above) x (55mm &amp; above) &amp; fly screen sash (20mm &amp; above) x (50mm &amp; above) with zinc alloy (zamak) powder coated handle on every glazed panel along with multi-point locking system. (Height upto 1.8 meter). </t>
  </si>
  <si>
    <t>9.147.A4</t>
  </si>
  <si>
    <t xml:space="preserve">Three track three panels sliding window with two glazed &amp; one wire mesh panels with Aluminium channel for roller track, wool pile, nylon rollers with SS 304 body. </t>
  </si>
  <si>
    <t>9.147.A4.1</t>
  </si>
  <si>
    <t xml:space="preserve">Using R2 series with frame (70mm &amp; above) x (40mm &amp; above) &amp; both glazed and fly screen sash (25mm &amp; above) x (50mm &amp; above) with zinc alloy (zamak) powder coated touch locks with hook. (Height upto 1.2 meter). </t>
  </si>
  <si>
    <t>9.147.A4.2</t>
  </si>
  <si>
    <t xml:space="preserve">Using R3 series with frame (98mm &amp; above) x (40mm &amp; above) &amp; both glazed and fly screen sash (30mm &amp; above) x (55mm &amp; above) with zinc alloy (zamak) powder coated handle on every glazed panel along with multi-point locking system, (Height upto 1.8m). </t>
  </si>
  <si>
    <t>9.147.A4.3</t>
  </si>
  <si>
    <t xml:space="preserve">Using R4 series with frame (115mm &amp; above) x (45mm &amp; above) &amp; both glazed and fly screen sash (44mm &amp; above) x (55mm &amp; above) with zinc alloy (zamak) powder coated handle on every glazed panel along with multi-point locking system. (Height above 1.8m) </t>
  </si>
  <si>
    <t>9.147.A5</t>
  </si>
  <si>
    <t xml:space="preserve">Three track three panels sliding window with Aluminium channel for roller track, wool pile, nylon rollers with SS 304 body. </t>
  </si>
  <si>
    <t>9.147.A5.1</t>
  </si>
  <si>
    <t xml:space="preserve">Using R2 series with frame (70mm &amp; above) x (40mm &amp; above) &amp; sash (25mm &amp; above) x (50mm &amp; above) with zinc alloy (zamak) powder coated touch locks with hook. (Height upto 1.2 meter). </t>
  </si>
  <si>
    <t>9.147.A5.2</t>
  </si>
  <si>
    <t xml:space="preserve">Using R3 series with frame (98mm &amp; above) x (40mm &amp; above) &amp; sash (30mm &amp; above) x (55mm &amp; above) with zinc alloy (zamak) powder coated handle on two end panels along with multi-point locking system (Height upto 1.8 meter). </t>
  </si>
  <si>
    <t>9.147.A5.3</t>
  </si>
  <si>
    <t xml:space="preserve">Using R4 series with frame (115mm &amp; above) x (45mm &amp; above) &amp; sash (44mm &amp; above) x (55mm &amp; above) with zinc alloy (zamak) powder coated handle on two end panels along with multi-point locking system. (Height above 1.8 meter). </t>
  </si>
  <si>
    <t>9.147.B1</t>
  </si>
  <si>
    <t xml:space="preserve">Two track two panels sliding door with Aluminium channel for roller track, wool pile, zinc alloy (zamak) powder coated handle on every panel along with multi-point locking system, adjustable nylon rollers with SS 304 body. </t>
  </si>
  <si>
    <t>9.147.B1.1</t>
  </si>
  <si>
    <t xml:space="preserve">Using R3 series with frame (55mm &amp; above) x (40mm &amp; above) &amp; sash (30mm &amp; above) x (74mm &amp; above). (Height upto 2.5 meter). </t>
  </si>
  <si>
    <t>9.147.B1.2</t>
  </si>
  <si>
    <t xml:space="preserve">Using R4 series with frame (64mm &amp; above) x (45mm &amp; above) &amp; sash (44mm &amp; above) x (85mm &amp; above). (Height above 2,5 meter). </t>
  </si>
  <si>
    <t xml:space="preserve">Using R4 series with frame (64mm &amp; above) x (45mm &amp; above) &amp; sash (44mm &amp; above) x (85mm &amp; above). (Height above 2.5 meter). </t>
  </si>
  <si>
    <t>9.147.B2</t>
  </si>
  <si>
    <t xml:space="preserve">Two track four panels sliding door with Aluminium channel for roller track, wool pile, zinc alloy (zamak) powder coated handle on three panels along with multi-point locking system, adjustable nylon rollers with SS 304 body. </t>
  </si>
  <si>
    <t>9.147.B2.1</t>
  </si>
  <si>
    <t xml:space="preserve">Using R3 series with frame (55mm &amp; above) x (40mm &amp; above) &amp; sash (30mm &amp; above) x (74mm &amp; above). (Height upto 2 5 meter). </t>
  </si>
  <si>
    <t>9.147.B2.2</t>
  </si>
  <si>
    <t>9.147.B3</t>
  </si>
  <si>
    <t xml:space="preserve">Three track three panels sliding door with two glazed &amp; one wire mesh panels with Aluminium channel for roller track, wool pile, zinc alloy (zamak) powder coated handle on two panels along with multi-point locking system, adjustable nylon rollers with SS 304 body. </t>
  </si>
  <si>
    <t>9.147.B3.1</t>
  </si>
  <si>
    <t xml:space="preserve">Using R3 series with frame (98mm &amp; above) x (40mm &amp; above) &amp; both glazed and fly screen sash (30mm &amp; above) x (74mm &amp; above). (Height upto 2.5 meter). </t>
  </si>
  <si>
    <t>9.147.B3.2</t>
  </si>
  <si>
    <t xml:space="preserve">Using R4 series with frame (115mm &amp; above) x (45mm &amp; above) &amp; both glazed and fly screen sash (44mm &amp; above) x (85mm &amp; above). (Height above 2.5 meter). </t>
  </si>
  <si>
    <t>9.147.B4</t>
  </si>
  <si>
    <t xml:space="preserve">Three track three panels sliding door with Aluminium channel for roller track, wool pile, zinc alloy (zamak) powder coated handle on two panels along with multi-point locking system, adjustable nylon rollers with SS 304 body. </t>
  </si>
  <si>
    <t>9.147.B4.1</t>
  </si>
  <si>
    <t xml:space="preserve">Using R3 series with frame (98mm &amp; above) x (40mm &amp; above) &amp; sash (30mm &amp; above) x (74mm &amp; above). (Height upto 2.5 meter). </t>
  </si>
  <si>
    <t>9.147.B4.2</t>
  </si>
  <si>
    <t xml:space="preserve">Using R4 series with frame (115mm &amp; above) x (45mm &amp; above) &amp; sash (44mm &amp; above) x (85mm &amp; above). (Height above 2.5 meter). </t>
  </si>
  <si>
    <t>9.147.C1</t>
  </si>
  <si>
    <t xml:space="preserve">Fixed window / ventilator without mullion / transom </t>
  </si>
  <si>
    <t>9.147.C1.1</t>
  </si>
  <si>
    <t xml:space="preserve">Using R1 series with frame (33mm &amp; above ) x (35mm &amp; above). (Height upto 0.90 meter) </t>
  </si>
  <si>
    <t>9.147.C1.2</t>
  </si>
  <si>
    <t xml:space="preserve">Using R2 series with frame (39mm &amp; above ) x (39mm &amp; above). (Height upto 1.2 meter) </t>
  </si>
  <si>
    <t>9.147.C1.3</t>
  </si>
  <si>
    <t xml:space="preserve">Using R3 series with frame (55mm &amp; above (45mm &amp; above). (Height upto 2.5 meter) </t>
  </si>
  <si>
    <t xml:space="preserve">Using R3 series with frame (55mm &amp; above) x (45mm &amp; above). (Height upto 2.5 meter) </t>
  </si>
  <si>
    <t>9.147.C1.4</t>
  </si>
  <si>
    <t xml:space="preserve">Using R4 series with frame (64mm &amp; above ) x (50mm &amp; above). (Height above 2.5 meter) </t>
  </si>
  <si>
    <t>9.147.C2</t>
  </si>
  <si>
    <t xml:space="preserve">Fixed window / ventilator with mullion / transom. </t>
  </si>
  <si>
    <t>9.147.C2.1</t>
  </si>
  <si>
    <t xml:space="preserve">Using R1 series with frame (33mm &amp; above ) x (35mm &amp; above) &amp; mullion (33mm &amp; above) x (50mm &amp; above). (Height upto 0.90 meter) </t>
  </si>
  <si>
    <t>9.147.C2.2</t>
  </si>
  <si>
    <t xml:space="preserve">Using R2 series with frame (39mm &amp; above ) x (39mm &amp; above) &amp; mullion (39mm &amp; above) x (60mm &amp; above). (Height upto 1.2 meter) </t>
  </si>
  <si>
    <t>9.147.C2.3</t>
  </si>
  <si>
    <t xml:space="preserve">Using R3 series with frame (55mm &amp; above ) x (45mm &amp; above) &amp; mullion (55mm &amp; above) x (65mm &amp; above). (Height upto 2.5 meter) </t>
  </si>
  <si>
    <t>9.147.C2.4</t>
  </si>
  <si>
    <t xml:space="preserve">Using R4 series with frame (64mm &amp; above ) x (50mm &amp; above) &amp; mullion (64mm &amp; above) x (70mm &amp; above). (Height above 2.5 meter) </t>
  </si>
  <si>
    <t>9.147.D1</t>
  </si>
  <si>
    <t xml:space="preserve">Ventilator Casement window single panel with or without fixed panel with S S. 304 friction hinges as per size and weight of sash, single point locking zinc alloy (zamak) powder coated handles. </t>
  </si>
  <si>
    <t>9.147.D1.1</t>
  </si>
  <si>
    <t xml:space="preserve">Using R1 series with frame (33mm &amp; above ) x (35mm &amp; above) &amp; sash /mullion (33mm &amp; above) x (50 mm &amp; above). (Height upto 0.90 meter). </t>
  </si>
  <si>
    <t>9.147.D1.2</t>
  </si>
  <si>
    <t xml:space="preserve">Using R2 series with frame (39mm &amp; above ) x (39mm &amp; above) &amp; sash /mullion (39mm &amp; above) x (60mm &amp; above). (Height upto 1.2 meter) </t>
  </si>
  <si>
    <t>9.147.D1.3</t>
  </si>
  <si>
    <t xml:space="preserve">Using R3 series with frame (55mm &amp; above ) x (45mm &amp; above) &amp; sash /mullion (55mm &amp; above) x (65mm &amp; above). (Height above 1.2 meter) </t>
  </si>
  <si>
    <t>9.147.E1</t>
  </si>
  <si>
    <t xml:space="preserve">Casement window single panel with S.S. 304 friction hinges as per size and weight of sash, multi-point locking system, zinc alloy (zamak) powder coated handles. </t>
  </si>
  <si>
    <t>9.147.E1.1</t>
  </si>
  <si>
    <t xml:space="preserve">Using R2 series with frame (39mm &amp; above) x (39mm &amp; above) &amp; sash (39mm &amp; above) x (60mm &amp; above). (Height upto 1.2 meter) </t>
  </si>
  <si>
    <t>9.147.E1.2</t>
  </si>
  <si>
    <t xml:space="preserve">Using R3 series with frame (55mm &amp; above ) x (45mm &amp; above) &amp; sash (55mm &amp; above) x (65mm &amp; above). (Height upto 1.8 meter) </t>
  </si>
  <si>
    <t>9.147.E1.3</t>
  </si>
  <si>
    <t xml:space="preserve">Using R4 series with frame (64mm &amp; above ) x (50mm &amp; above) &amp; sash (64mm &amp; above) x (70mm &amp; above). (Height above 1.8 meter) </t>
  </si>
  <si>
    <t>9.147.E2</t>
  </si>
  <si>
    <t xml:space="preserve">Casement window double panels with fixed mullion with S.S. 304 friction hinges as per size and weight of sash, multi-point locking system, zinc alloy (zamak) powder coated handles. </t>
  </si>
  <si>
    <t>9.147.E2.1</t>
  </si>
  <si>
    <t xml:space="preserve">Using R2 series with frame (39mm &amp; above ) x (39mm &amp; above) &amp; sash (39mm &amp; above) x (60mm &amp; above) &amp; mullion (39mm &amp; above) x (60mm &amp; above). (Height upto 1.2 meter). </t>
  </si>
  <si>
    <t>9.147.E2.2</t>
  </si>
  <si>
    <t xml:space="preserve">Using R3 series with frame (55mm &amp; above ) x (45mm &amp; above) &amp; sash (55mm &amp; above) x (65mm &amp; above) &amp; mullion (55mm &amp; above) x (65mm &amp; above). (Height upto 1.8 meter). </t>
  </si>
  <si>
    <t>9.147.E2.3</t>
  </si>
  <si>
    <t xml:space="preserve">Using R4 series with frame (64mm &amp; above ) x (50mm &amp; above) &amp; sash (64mm &amp; above) x (70mm &amp; above) &amp; mullion (64mm &amp; above) x (70mm &amp; above). (Height above 1.8 meter). </t>
  </si>
  <si>
    <t>9.147.E3</t>
  </si>
  <si>
    <t xml:space="preserve">Casement window double panels with French (False) Mullion with S.S 304 friction hinges as per size and weight of sash, multi-point locking system, zinc alloy (zamak) powder coated handles. </t>
  </si>
  <si>
    <t xml:space="preserve">Casement window double panels with French (False) Mullion with S.S. 304 friction hinges as per size and weight of sash, multi-point locking system, zinc alloy (zamak) powder coated handles. </t>
  </si>
  <si>
    <t>9.147.E3.1</t>
  </si>
  <si>
    <t xml:space="preserve">Using R2 series with frame (39mm &amp; above ) x (39mm &amp; above) &amp; sash (39mm &amp; above) x (60mm &amp; above) &amp; French (False) mullion (39mm &amp; above) x (60mm &amp; above). (Height upto 1.2 meter) </t>
  </si>
  <si>
    <t>9.147.E3.2</t>
  </si>
  <si>
    <t xml:space="preserve">Using R3 series with frame (55mm &amp; above ) x (45mm &amp; above) &amp; sash (55mm &amp; above) x (65mm &amp; above) &amp; French (False) mullion (55mm &amp; above) x (60mm &amp; above), (Height upto 1.8 meter). </t>
  </si>
  <si>
    <t>9.147.E3.3</t>
  </si>
  <si>
    <t xml:space="preserve">Using R4 series with frame (64mm &amp; above ) x (50mm &amp; above) &amp; sash (64mm &amp; above) x (70mm &amp; above) &amp; French (False) mullion (64mm &amp; above) x (60mm &amp; above). (Height above 1.8 meter) </t>
  </si>
  <si>
    <t>9.147.E4</t>
  </si>
  <si>
    <t xml:space="preserve">Casement cum fixed panel window having one single casement panel &amp; one fixed panel with S.S 304 friction hinges as per size and weight of sash, multi point locking system, zinc alloy (zamak) powder coated handles. </t>
  </si>
  <si>
    <t xml:space="preserve">Casement cum fixed panel window having one single casement panel &amp; one fixed panel with S.S. 304 friction hinges as per size and weight of sash, multi point locking system, zinc alloy (zamak) powder coated handles. </t>
  </si>
  <si>
    <t>9.147.E4.1</t>
  </si>
  <si>
    <t xml:space="preserve">Using R2 series with frame (39mm &amp; above ) x (39mm &amp; above) &amp; sash (39mm &amp; above) x (60mm &amp; above) &amp; mullion (39mm &amp; above) x (60mm &amp; above). (Height upto 1.2 meter; each openable shutter upto 0 8m width) </t>
  </si>
  <si>
    <t xml:space="preserve">Using R2 series with frame (39mm &amp; above ) x (39mm &amp; above) &amp; sash (39mm &amp; above) x (60mm &amp; above) &amp; mullion (39mm &amp; above) x (60mm &amp; above). (Height upto 1.2 meter; each openable shutter upto 0.8m width) </t>
  </si>
  <si>
    <t>9.147.E4.2</t>
  </si>
  <si>
    <t xml:space="preserve">Using R3 series with frame (55mm &amp; above ) x (45mm &amp; above) &amp; sash (55mm &amp; above) x (65mm &amp; above) &amp; mullion (55mm &amp; above) x (65mm &amp; above). (Height upto 1.8 meter, each openable shutter upto 0.8m width) </t>
  </si>
  <si>
    <t xml:space="preserve">Using R3 series with frame (55mm &amp; above ) x (45mm &amp; above) &amp; sash (55mm &amp; above) x (65mm &amp; above) &amp; mullion (55mm &amp; above) x (65mm &amp; above). (Height upto 1.8 meter; each openable shutter upto 0.8m width) </t>
  </si>
  <si>
    <t>9.147.E4.3</t>
  </si>
  <si>
    <t xml:space="preserve">Using R4 series with frame (64mm &amp; above ) x (50mm &amp; above) &amp; sash (64mm &amp; above) x (70mm &amp; above) &amp; mullion (64mm &amp; above) x (70mm &amp; above). (Height above 1.8 meter; each openable shutter upto 0.8m width) </t>
  </si>
  <si>
    <t>9.147.E5</t>
  </si>
  <si>
    <t xml:space="preserve">Casement cum fixed panel window having single casement panel at both ends &amp; middle fixed panel with S.S 304 friction hinges as per size and weight of sash, multi-point locking system, zinc alloy (zamak) powder coated handles. </t>
  </si>
  <si>
    <t>9.147.E5.1</t>
  </si>
  <si>
    <t xml:space="preserve">Using R2 series with frame (39mm &amp; above) x (39mm &amp; above) &amp; sash (39mm &amp; above) x (60mm &amp; above) &amp; mullion (39mm &amp; above) x (60mm &amp; above). (Height upto 1.2 meter; each openable shutter upto 0.8m width) </t>
  </si>
  <si>
    <t>9.147.E5.2</t>
  </si>
  <si>
    <t xml:space="preserve">Using R3 series with frame (55mm &amp; above) x (45mm &amp; above) &amp; sash (55mm &amp; above) x (65mm &amp; above) &amp; mullion (55mm &amp; above) x (65mm &amp; above). (Height upto 1.8 meter; each openable shutter upto 0.8m width) </t>
  </si>
  <si>
    <t>9.147.E5.3</t>
  </si>
  <si>
    <t>9.147.E6</t>
  </si>
  <si>
    <t xml:space="preserve">Casement Window with Double Rebate Frame with one Side Hung Glazed Panel and one Side Hung wire mesh Panel with S.S. 304 friction hinges as per size and weight of sash, multi-point locking system, zinc alloy (zamak) powder coated handles on both glazed and fly screen panel </t>
  </si>
  <si>
    <t>9.147.E6.1</t>
  </si>
  <si>
    <t xml:space="preserve">Using R3 series with frame (110mm &amp; above ) x (45mm &amp; above) &amp; glazed sash (55mm &amp; above) x (65mm &amp; above) &amp; fly screen sash (30mm &amp; above) x (55mm &amp; above) &amp; metal grill (if required to be paid separately). (Height upto 1.8 meter) </t>
  </si>
  <si>
    <t>9.147.E7</t>
  </si>
  <si>
    <t xml:space="preserve">Casement Window with Double Rebate Frame with two Side Hung Glazed Panel and two Side Hung wire mesh Panel and Fixed Mullion with S.S. 304 friction hinges as per size and weight of sash, multi-point locking system, zinc alloy (zamak) powder coated handles on both glazed and fly screen panel. </t>
  </si>
  <si>
    <t>9.147.E7.1</t>
  </si>
  <si>
    <t xml:space="preserve">Using R3 series with frame (110mm &amp; above ) x (45mm &amp; above) &amp; glazed sash (55mm &amp; above) x (65mm &amp; above) &amp; f!y screen sash (30mm &amp; above) x (55mm &amp; above) &amp; mullion (55mm &amp; above) x (65mm &amp; above) &amp; metal grill (if required to be paid separately). (Height upto 1.8 meter) </t>
  </si>
  <si>
    <t xml:space="preserve">Using R3 series with frame (110mm &amp; above ) x (45mm &amp; above) &amp; glazed sash (55mm &amp; above) x (65mm &amp; above) &amp; fly screen sash (30mm &amp; above) x (55mm &amp; above) &amp; mullion (55mm &amp; above) x (65mm &amp; above) &amp; metal grill (if required to be paid separately). (Height upto 1.8 meter) </t>
  </si>
  <si>
    <t>9.147.E8</t>
  </si>
  <si>
    <t xml:space="preserve">Casement Window with Double Rebate Frame with two Side Hung Glazed Panel on outside and two Side Hung wire mesh Panel on inside and French (False) Mullion with S.S. 304 friction hinges as per size and weight of sash, multi-point locking system, zinc alloy (zamak) powder coated handles with shoot bolt on both glazed and fly screen panel. </t>
  </si>
  <si>
    <t>9.147.E8.1</t>
  </si>
  <si>
    <t xml:space="preserve">Using R3 series with frame (110mm &amp; above ) x (45mm &amp; above) &amp; glazed sash (55mm &amp; above) x (65mm &amp; above) &amp; fly screen sash (30mm &amp; above) x (55mm &amp; above) &amp; French (False) mullion (55mm &amp; above) x (60mm &amp; above) &amp; metal grill (if required to be paid separately). (Height upto 1.8 meter) </t>
  </si>
  <si>
    <t>9.147.F1</t>
  </si>
  <si>
    <t xml:space="preserve">Casement door single panel with zinc alloy (zamak) 3D hinges, multi-point locking system with cylinder, zinc alloy (zamak) powder coated handles on both sides. </t>
  </si>
  <si>
    <t>9.147.F1.1</t>
  </si>
  <si>
    <t xml:space="preserve">Using R3 series with frame (55 mm &amp; above) x (50mm &amp; above) &amp; sash (55 mm &amp; above) x (85mm &amp; above) (Height upto 2.5 meter). </t>
  </si>
  <si>
    <t>9.147.F1.2</t>
  </si>
  <si>
    <t xml:space="preserve">Using R4 series with frame (64 mm &amp; above) x (55mm &amp; above) &amp; sash (64 mm &amp; above) x (100mm &amp; above). (Height above 2.5 meter). </t>
  </si>
  <si>
    <t>9.147.F2</t>
  </si>
  <si>
    <t xml:space="preserve">Casement door double panel with French (False) Mullion with zinc alloy (zamak) 3D hinges, multi-point locking system with cylinder, zinc alloy (zamak) powder coated handles on both sides. </t>
  </si>
  <si>
    <t>9.147.F2.1</t>
  </si>
  <si>
    <t xml:space="preserve">Using R3 series with frame (55 mm &amp; above) x (50mm &amp; above) &amp; sash (55 mm &amp; above) x (85mm &amp; above) &amp; French (False) mullion (55 mm &amp; above) x (60mm &amp; above). (Height upto 2.5 meter). </t>
  </si>
  <si>
    <t>9.147.F2.2</t>
  </si>
  <si>
    <t xml:space="preserve">Using R4 series with frame (64 mm &amp; above) x (55mm &amp; above) &amp; sash (64 mm &amp; above) x (100mm &amp; above) &amp; French (False) mullion (64 mm &amp; above) x (60mm &amp; above). (Height above 2.5 meter). </t>
  </si>
  <si>
    <t>9.147.F3</t>
  </si>
  <si>
    <t xml:space="preserve">Casement Door with Double Rebate Frame with one Side Hung Glazed Panel and one Side Hung wire mesh Panel with zinc alloy (zamak) 3D hinges, multi- point locking system with cylinder, zinc alloy (zamak) powder coated handles on both sides of glazed panel and zinc alloy (Zamak) powder coated handle along with multi-point locking system on one side of fly screen panel. </t>
  </si>
  <si>
    <t>9.147.F3.1</t>
  </si>
  <si>
    <t xml:space="preserve">Using R3 series with frame (110mm &amp; above) x (45mm &amp; above) &amp; glazed sash (55mm &amp; above) x (85mm &amp; above) &amp; fly screen sash (55mm &amp; above) x (65mm &amp; above). (Height upto 2.5 meter). </t>
  </si>
  <si>
    <t>9.148</t>
  </si>
  <si>
    <t xml:space="preserve">P/F SS (SS-304 grade) friction hinges to the side/ top hung uPVC windows </t>
  </si>
  <si>
    <t xml:space="preserve">Providing and fixing stainless steel (SS-304 grade) friction hinges to the side/top hung uPVC windows, of approved quality, with necessary stainless steel screws etc. as per direction of Engineer-in-charge. </t>
  </si>
  <si>
    <t>9.148.1</t>
  </si>
  <si>
    <t xml:space="preserve">200 x 19 x 1.9 mm </t>
  </si>
  <si>
    <t>9.148.2</t>
  </si>
  <si>
    <t xml:space="preserve">250 x 19 x 1.9 mm </t>
  </si>
  <si>
    <t>9.148.3</t>
  </si>
  <si>
    <t xml:space="preserve">300 x 19 x 1.9 mm </t>
  </si>
  <si>
    <t>9.148.4</t>
  </si>
  <si>
    <t xml:space="preserve">350 x 19 x 1.9 mm </t>
  </si>
  <si>
    <t>9.148.5</t>
  </si>
  <si>
    <t xml:space="preserve">400 x 19 x 1.9 mm </t>
  </si>
  <si>
    <t>9.149</t>
  </si>
  <si>
    <t xml:space="preserve">P/F casement handle made of zinc alloyed (white powder coated) for uPVC casement window. </t>
  </si>
  <si>
    <t xml:space="preserve">Providing and fixing casement handle made of zinc alloyed (white powder coated) for uPVC casement window with necessary screws etc. complete. </t>
  </si>
  <si>
    <t>9.150</t>
  </si>
  <si>
    <t xml:space="preserve">P/F zinc alloyed (white powder coated) touch lock for uPVC sliding window. </t>
  </si>
  <si>
    <t xml:space="preserve">Providing and fixing zinc alloyed (white powder coated) touch lock for uPVC sliding window with necessary screws etc. complete. </t>
  </si>
  <si>
    <t>9.151</t>
  </si>
  <si>
    <t xml:space="preserve">P/F steel roller for uPVC sliding window with necessary screws etc. complete. </t>
  </si>
  <si>
    <t xml:space="preserve">Providing and fixing steel roller for uPVC sliding window with necessary screws etc. complete. </t>
  </si>
  <si>
    <t>9.152</t>
  </si>
  <si>
    <t xml:space="preserve">Providing and fixing steel roller for uPVC sliding door with necessary screws etc. complete. </t>
  </si>
  <si>
    <t>9.153</t>
  </si>
  <si>
    <t xml:space="preserve">P/F steel (white power coated) crescent lock for uPVC sliding window/ door. </t>
  </si>
  <si>
    <t xml:space="preserve">Providing and fixing steel (white power coated) crescent lock for uPVC sliding window/ door with necessary screws etc. complete. </t>
  </si>
  <si>
    <t>9.154</t>
  </si>
  <si>
    <t xml:space="preserve">Providing and fixing frame work for partitions/ wall lining etc. </t>
  </si>
  <si>
    <t xml:space="preserve">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 </t>
  </si>
  <si>
    <t>9.155</t>
  </si>
  <si>
    <t xml:space="preserve">P/F panelling / glazing in panelled / glazed shutters for doors, windows : Pre-laminated with decorative lamination on both side exterior Grade MDF Board 12 mm thick. </t>
  </si>
  <si>
    <t xml:space="preserve">Providing and fixing panelling or panelling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 </t>
  </si>
  <si>
    <t>9.156</t>
  </si>
  <si>
    <t xml:space="preserve">P/F Pre -laminated MDF exterior grade (Grade-I) IS:14587:1998 - </t>
  </si>
  <si>
    <t xml:space="preserve">Providing and fixing Pre -laminated medium density fibre board exterior grade (Grade-I) IS:14587:1998 marked, to frame, backing or studding with screws etc. complete ( Frames, backing or studding to be paid separately). </t>
  </si>
  <si>
    <t>9.156.1</t>
  </si>
  <si>
    <t xml:space="preserve">Pre-laminated with decorative lamination on both side exterior Grade - I MDF Board 12 mm thick confirming to IS:14587 </t>
  </si>
  <si>
    <t>9.156.2</t>
  </si>
  <si>
    <t xml:space="preserve">Pre-laminated with decorative lamination on both side exterior Grade - I MDF Board 18 mm thick confirming to IS:14588 </t>
  </si>
  <si>
    <t xml:space="preserve">Pre-laminated with decorative lamination on both side exterior Grade - I MDF Board 18 mm thick confirming to IS:14587 </t>
  </si>
  <si>
    <t>9.157</t>
  </si>
  <si>
    <t xml:space="preserve">P/F Pre-laminated MDF one side decorative lamination in shelves - edges to be sealed with PVC edge bending tape 2.00 mm thick. </t>
  </si>
  <si>
    <t xml:space="preserve">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 </t>
  </si>
  <si>
    <t>9.157.1</t>
  </si>
  <si>
    <t xml:space="preserve">Pre-laminated with decorative lamination one side - I MDF Board 18 mm thick. </t>
  </si>
  <si>
    <t xml:space="preserve">Pre-laminated with decorative lamination one side and other side balancing lamination exterior Grade - I MDF Board 18 mm thick confirming to IS:14587 </t>
  </si>
  <si>
    <t>9.157.2</t>
  </si>
  <si>
    <t xml:space="preserve">Pre-laminated with decorative lamination one side MDF Board 25 mm thick. </t>
  </si>
  <si>
    <t xml:space="preserve">Pre-laminated with decorative lamination one side and other side balancing lamination exterior Grade - I MDF Board 25 mm thick confirming to IS:14587 </t>
  </si>
  <si>
    <t>9.158</t>
  </si>
  <si>
    <t xml:space="preserve">P/F in wall lining MDF Pre-laminated one side decorative lamination- </t>
  </si>
  <si>
    <t xml:space="preserve">Providing and fixing in wall lining medium density fibre board IS: 14587:1998 marked, Pre-laminated one side decorative lamination and other side balancing lamination, with necessary fixing arrangement and screws etc. complete. </t>
  </si>
  <si>
    <t>9.158.1</t>
  </si>
  <si>
    <t xml:space="preserve">12 mm thick. </t>
  </si>
  <si>
    <t>9.158.2</t>
  </si>
  <si>
    <t xml:space="preserve">18 mm thick. </t>
  </si>
  <si>
    <t>9.158.3</t>
  </si>
  <si>
    <t>9.159</t>
  </si>
  <si>
    <t xml:space="preserve">P/F 25mm thick pre-laminated MDF one side decorative for cupboard shutters edges to be sealed with PVC edge bending tape 2.00. </t>
  </si>
  <si>
    <t xml:space="preserve">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 </t>
  </si>
  <si>
    <t>9.160</t>
  </si>
  <si>
    <t xml:space="preserve">P/F skirting with Pre-laminated MDF exterior grade one side decorativeand edges to be sealed with PVC edge bending tape 2.00mm thick. </t>
  </si>
  <si>
    <t xml:space="preserve">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t>
  </si>
  <si>
    <t>9.160.1</t>
  </si>
  <si>
    <t>9.160.2</t>
  </si>
  <si>
    <t>9.161</t>
  </si>
  <si>
    <t xml:space="preserve">Providing and fixing fire resistant door frame of section 50 x 60 mm on horizontal side &amp; 35 x 60 mm </t>
  </si>
  <si>
    <t xml:space="preserve">Providing and fixing fire resistant door frame of section 50 x 60 mm on horizontal side &amp; 35 x 60 mm on vertical sides having built in rebate made out of 1.6 mm thick GI sheet (Zinc coating not less than 120 gm/sqm) suitable for mounting 120 minutes Fire Rated Glazed Door Shutters. The frame shall be filled with mineral wood Insulation having density minimum 96Kg/sqm. The frame will have a provision of G.I. anchor fastners 14 nos (5 each on vertical style &amp; 4 on horizontal style of size M10 x 80) suitable for fixing in the opening along with factory made template for SS ball bearing hinges of size 100x89x3 mm for fixing of fire rated glazed shutter. The fram shall be finished with an approved fire resistant primer or powder coating of not less than 30 micron in desired shade as per the directions of Engineer -in- Charge. (Cost of SS ball bearing hinges is excluded). </t>
  </si>
  <si>
    <t>9.162</t>
  </si>
  <si>
    <t xml:space="preserve">P/F 60 mm thick glazed fire resistant door shutters of 120 min Fire Rating confirming to IS:3614 (Part II) </t>
  </si>
  <si>
    <t xml:space="preserve">Providing and fixing 60 mm thick glazed fire resistant door shutters of 120 min Fire rating confirming to IS:3614 (Part II) or EN1634-1:1999, tested and certified as per laboratory approved by Engineer-in-charge, with suitable mounting on door frame, consisting of vertical styles, top rail &amp; side rail 60 mm x 60 mm wide and bottom rail of 110 mm x 60 mm made out of 1.6mm thick G.I. sheet (zinc coating not less than 120gm/sqm) duly filled mineral wool insulation having density min 96 kg/ cum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t>
  </si>
  <si>
    <t>9.163</t>
  </si>
  <si>
    <t xml:space="preserve">Providing and fixing non load bearing fixed frame for fire resistant glazed Partition for 120 minutes Fire Rating </t>
  </si>
  <si>
    <t xml:space="preserve">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 96kg/ cum and finished with a approved fire resistant primer or powder coating of not less than 30 micron in desired shade as per NBC 2016, IS 16231 (Part 3):2016 and directions of Engineer - in- charge. </t>
  </si>
  <si>
    <t xml:space="preserve">One running Metre                         </t>
  </si>
  <si>
    <t>9.165</t>
  </si>
  <si>
    <t xml:space="preserve">P/F bright /matt finished Stainless Steel handles </t>
  </si>
  <si>
    <t xml:space="preserve">Providing and fixing bright /matt finished Stainless Steel handles of approved quality &amp; make with necessary screws etc all complete. </t>
  </si>
  <si>
    <t>9.165.1</t>
  </si>
  <si>
    <t xml:space="preserve">125mm </t>
  </si>
  <si>
    <t>9.165.2</t>
  </si>
  <si>
    <t xml:space="preserve">100mm </t>
  </si>
  <si>
    <t>9.165.3</t>
  </si>
  <si>
    <t xml:space="preserve">75mm </t>
  </si>
  <si>
    <t>9.166</t>
  </si>
  <si>
    <t xml:space="preserve">Providing and fixing 18 mm thick both side Pre-laminated cement bonded wood particle board as per IS : 15786:2008 of approved brand and shade with suitable full threaded steel screws etc. in partitions, boxes, shelves, racks and cupboard, kitchen cabinet under kitchen counter etc. all complete as per direction of Engineer-in-charge (Note: Fittings to be paid separately). </t>
  </si>
  <si>
    <t>9.166.1</t>
  </si>
  <si>
    <t>9.167</t>
  </si>
  <si>
    <t xml:space="preserve">Providing and fixing 6 mm thick both sides Pre-laminated cement bonded wood particle board as per IS : 15786:2008 of approved brand and shade with suitable full threaded steel screws etc. on the backing of racks, drawer, cupboard, kitchen cabinet under kitchen counter etc. all complete as per direction of Engineer-in-charge. </t>
  </si>
  <si>
    <t>9.168</t>
  </si>
  <si>
    <t xml:space="preserve">Providing and fixing cuboard shutter with 19 mm thick one side decorative and other side balancing lamination factory pressed BWP grade marine ply as per IS 710 of approved brand including 2 mm thick PVC edege banding tape with hot glue by edege bending machine etc. with auto closing spring loaded hinges (hydraulic type) etc. complete as per direction of Engineer-in-charge. (Payment of providing and fixing auto closing hinges shall be paid separately) </t>
  </si>
  <si>
    <t>9.169</t>
  </si>
  <si>
    <t xml:space="preserve">Providing and fixing 19 mm thick both side balancing lamination factory pressed BWP grade marine ply as per IS 710 of approved brand boxes, shelves, racks, almirah, cupboard and drawer etc. including necessary nails, screws etc. complete as per direction of Engineer-in-charge. </t>
  </si>
  <si>
    <t>9.170</t>
  </si>
  <si>
    <t xml:space="preserve">Providing and fixing stainless steel fancy handle of approved make fixed with SS screws etc. complete as per direction of Engineer-in-charge. </t>
  </si>
  <si>
    <t>9.170.1</t>
  </si>
  <si>
    <t xml:space="preserve">200 mm </t>
  </si>
  <si>
    <t>9.171</t>
  </si>
  <si>
    <t xml:space="preserve">Providing and fixing stainless steel soft closing spring hinges at 0 degree hinges (hydrarlic type) of approved make/brand to cupboard shutters with full threaded steel screws including making necessary recess in board and finished etc. complete as per direction of Engineer-in-charge. </t>
  </si>
  <si>
    <t>9.172</t>
  </si>
  <si>
    <t xml:space="preserve">Providing and fixing stainless steel soft closing heavy type telescopic drawer channels of approved make 500 mm long with screws etc. complete as per directions of Engineer- in-charge. </t>
  </si>
  <si>
    <t xml:space="preserve">One Set                                   </t>
  </si>
  <si>
    <t>9.173</t>
  </si>
  <si>
    <t xml:space="preserve">Providing and fixing ready made 304 grade stainless steel Modular kitchen basket and accessories such as right angle basket (Plain Cup &amp; Saucer, plant, Partition, Bottle rack, Thali, Cutlery) kitchen utensil basket, Dinner set basket, kitchen grain basket, Multipurpose basket as per site requirement including finishing (wherever required) and fittings. The same shall be fixed with necessary stainless steel nuts &amp; bolst, Stainless Steel screws &amp; telescopic channel etc. as per direction of Engineer-in-charge. (For payment purpose only weight of Stainless steel basket shall be considered excluding weight of all fixing accessories such as nuts, bolts, fasteners telescopic basket channels etc. Payment of providing and fixing telescopic channel shall be paid separately) </t>
  </si>
  <si>
    <t>9.174</t>
  </si>
  <si>
    <t xml:space="preserve">Providing and fixing 2 mm thick 16 to 19 mm wide PVC edge binding tape of approved quality for cuboard/wardrobe shutters including necessary synthetic resin hot pressed to edges on binding machine etc. complete as per direction of Engineer-in-charge. </t>
  </si>
  <si>
    <t xml:space="preserve">Total of the Sub-Head - Wood  And P.v.c. Work :  </t>
  </si>
  <si>
    <t xml:space="preserve">        Sub-Head : Steel Work</t>
  </si>
  <si>
    <t>10.1</t>
  </si>
  <si>
    <t xml:space="preserve">Structural work in single section fixing with or wihtout connecting plate </t>
  </si>
  <si>
    <t xml:space="preserve">Structural steel work in single section, fixed with or without connecting plate,including cutting, hoisting, fixing in position and applying a priming coat of approved steel primer all complete </t>
  </si>
  <si>
    <t>10.2</t>
  </si>
  <si>
    <t xml:space="preserve">Structural work riveted, bolted or welded in builtup section, trusses, framed work </t>
  </si>
  <si>
    <t xml:space="preserve">Structural steel work riveted, bolted or welded in built up sections, trusses and framed work, including cutting, hoisting, fixing in position and applying a priming coat of approved steel primer all complete. </t>
  </si>
  <si>
    <t>10.3</t>
  </si>
  <si>
    <t xml:space="preserve">P/F in position collapsible steel shutters with channels 20 x 10 x 2 mm </t>
  </si>
  <si>
    <t xml:space="preserve">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 </t>
  </si>
  <si>
    <t>10.4</t>
  </si>
  <si>
    <t xml:space="preserve">P/F 1mm thick MS sheet sliding shutters with frame &amp; diagonal braces of 40x40x6mm angle iron </t>
  </si>
  <si>
    <t xml:space="preserve">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 </t>
  </si>
  <si>
    <t>10.5</t>
  </si>
  <si>
    <t xml:space="preserve">P/F 1mm MS sheet door with frame 40x40x6mm angle iron </t>
  </si>
  <si>
    <t xml:space="preserve">Providing and fixing 1mm thick M.S. sheet door with frame of 40x40x6 mm angle iron and 3 mm M.S. gusset plates at the junctions and corners, all necessary fittings complete, including applying a priming coat of approved steel primer. </t>
  </si>
  <si>
    <t>10.5.1</t>
  </si>
  <si>
    <t xml:space="preserve">Using MS angles 40x40x6mm for diagonal braces </t>
  </si>
  <si>
    <t xml:space="preserve">Using M.S. angels 40x40x6 mm for diagonal braces </t>
  </si>
  <si>
    <t>10.5.2</t>
  </si>
  <si>
    <t xml:space="preserve">using flats diagonal braces and central cross piece </t>
  </si>
  <si>
    <t xml:space="preserve">Using flats 30x6mm for diagonal braces and central cross piece </t>
  </si>
  <si>
    <t>10.6</t>
  </si>
  <si>
    <t xml:space="preserve">P/F Rolling shutters of approved make </t>
  </si>
  <si>
    <t xml:space="preserve">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t>
  </si>
  <si>
    <t>10.6.1</t>
  </si>
  <si>
    <t xml:space="preserve">80x1.25mm thick laths, 1.25mm thick top cover </t>
  </si>
  <si>
    <t xml:space="preserve">80x1.25 mm M.S. laths with 1.25 mm thick top cover. </t>
  </si>
  <si>
    <t>10.6.2</t>
  </si>
  <si>
    <t xml:space="preserve">80x1.2mm thick lath, 1.2mm thick top cover </t>
  </si>
  <si>
    <t xml:space="preserve">80x1.20 mm M.S. laths with 1.20 mm thick top cover. </t>
  </si>
  <si>
    <t>10.6.3</t>
  </si>
  <si>
    <t xml:space="preserve">80x0.9mm thick laths, 0.9mm thick top cover </t>
  </si>
  <si>
    <t xml:space="preserve">80x0.90 mm M.S. laths with 0.90 mm thick top cover. </t>
  </si>
  <si>
    <t>10.7</t>
  </si>
  <si>
    <t xml:space="preserve">P/F ball bearing for rolling shutters </t>
  </si>
  <si>
    <t xml:space="preserve">Providing and fixing ball bearing for rolling shutters. </t>
  </si>
  <si>
    <t>10.8</t>
  </si>
  <si>
    <t xml:space="preserve">Extra for machenical device chain for rolling shutters </t>
  </si>
  <si>
    <t xml:space="preserve">Extra for providing mechanical device chain and crank operation for operating rolling shutters. </t>
  </si>
  <si>
    <t>10.8.1</t>
  </si>
  <si>
    <t xml:space="preserve">10 to 16.80 Sqm </t>
  </si>
  <si>
    <t xml:space="preserve">Exceeding 10.00 sqm and upto 16.80 sqm in the area. </t>
  </si>
  <si>
    <t>10.8.2</t>
  </si>
  <si>
    <t xml:space="preserve">Exceeding 16.80 Sqm </t>
  </si>
  <si>
    <t xml:space="preserve">Exceeding 16.80 sqm in area. </t>
  </si>
  <si>
    <t>10.9</t>
  </si>
  <si>
    <t xml:space="preserve">Extra for providing grilled rolling shutters </t>
  </si>
  <si>
    <t xml:space="preserve">Extra for providing grilled rolling shutters manufactured out of 8 mm dia M.S. bar instead of laths as per design approved by Engineer-in- charge, (area of grill to be measured). </t>
  </si>
  <si>
    <t>10.10</t>
  </si>
  <si>
    <t xml:space="preserve">Fixing standard steel glazed doors, windows and ventilators </t>
  </si>
  <si>
    <t xml:space="preserve">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t>
  </si>
  <si>
    <t>10.10.1</t>
  </si>
  <si>
    <t xml:space="preserve">Fixing with 15x3 mm lugs 10 cm long embedded in cement concrete block 15x10x10 cm of C.C. 1:3:6 (1 Cement : 3 coarse sand : 6 graded stone aggregate 20 mm nominal size). </t>
  </si>
  <si>
    <t>10.10.2</t>
  </si>
  <si>
    <t xml:space="preserve">Fixing with carbon steel galvanised dash fastener of required dia and size (to be paid for separately). </t>
  </si>
  <si>
    <t>10.11</t>
  </si>
  <si>
    <t xml:space="preserve">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pnmrng coat of approved steel primer, but excluding the cost of other fittings, glass panes complete all as per approved design, (sectional weight of only steel members shall be measured for payment). </t>
  </si>
  <si>
    <t xml:space="preserve">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priming coat of approved steel primer, but excluding the cost of other fittings, glass panes complete all as per approved design, (sectional weight of only steel members shall be measured for payment). </t>
  </si>
  <si>
    <t>10.11.1</t>
  </si>
  <si>
    <t xml:space="preserve">Fixing with 15x3 mm lugs 10 cm long embedded in cement concrete block 15x10x10 cm of C.C. 1:3:6 </t>
  </si>
  <si>
    <t xml:space="preserve">Fixing with 15x3 mm lugs 10 cm long embedded in cement concrete block 15x10x10 cm of C.C. 1:3:6 (1 Cement : 3 coarse sand : 6 graded stone aggregate 20 mm nominal size) </t>
  </si>
  <si>
    <t>10.11.2</t>
  </si>
  <si>
    <t xml:space="preserve">Fixing with carbon steel galvanised dash fastener of required dia and size (to be paid for separately) </t>
  </si>
  <si>
    <t>10.12</t>
  </si>
  <si>
    <t xml:space="preserve">Extra P/F steel beading in steel windows </t>
  </si>
  <si>
    <t xml:space="preserve">Extra for providing and fixing steel beading of size 10 x 10 x 1.6 mm (box type), approved shape and section with screws instead of glazing clips and metal sash putty, in steel doors, windows, ventilators and composite units. </t>
  </si>
  <si>
    <t>10.13</t>
  </si>
  <si>
    <t xml:space="preserve">P/F T-iron frames for doors, windows and ventilators </t>
  </si>
  <si>
    <t xml:space="preserve">Providing and fixing T-iron frames for doors, windows and ventilators of mild steel Tee-sections, joints mitred and welded, including fixing of necessary butt hinges and screws and applying a priming coat of approved steel primer. </t>
  </si>
  <si>
    <t>10.13.1</t>
  </si>
  <si>
    <t xml:space="preserve">Fixing with 15x3 mm lugs 10 cm. long embedded in CC block </t>
  </si>
  <si>
    <t>10.13.2</t>
  </si>
  <si>
    <t xml:space="preserve">Fixing with carbon steel galvanised dash fastener. </t>
  </si>
  <si>
    <t>10.14</t>
  </si>
  <si>
    <t xml:space="preserve">P/F pressed steel door frames of 1.25mm thick MS sheet </t>
  </si>
  <si>
    <t xml:space="preserve">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t>
  </si>
  <si>
    <t>10.14.1</t>
  </si>
  <si>
    <t xml:space="preserve">Profile `B' </t>
  </si>
  <si>
    <t xml:space="preserve">Profile B </t>
  </si>
  <si>
    <t>10.14.1.1</t>
  </si>
  <si>
    <t xml:space="preserve">Fixing with adjustable lugs with split end tail to each jamb. </t>
  </si>
  <si>
    <t>10.14.1.2</t>
  </si>
  <si>
    <t>10.14.2</t>
  </si>
  <si>
    <t xml:space="preserve">Profile `C' </t>
  </si>
  <si>
    <t xml:space="preserve">Profile C </t>
  </si>
  <si>
    <t>10.14.2.1</t>
  </si>
  <si>
    <t>10.14.2.2</t>
  </si>
  <si>
    <t xml:space="preserve">Fixing with carbon steel galvanised dash fastener </t>
  </si>
  <si>
    <t>10.14.3</t>
  </si>
  <si>
    <t xml:space="preserve">Profile `E' </t>
  </si>
  <si>
    <t xml:space="preserve">Profile E </t>
  </si>
  <si>
    <t>10.14.3.1</t>
  </si>
  <si>
    <t>10.14.3.2</t>
  </si>
  <si>
    <t>10.15</t>
  </si>
  <si>
    <t xml:space="preserve">P/F MS tubular frames for doors, windows etc with L-type section made 1.60mm MS sheet </t>
  </si>
  <si>
    <t xml:space="preserve">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t>
  </si>
  <si>
    <t>10.15.1</t>
  </si>
  <si>
    <t xml:space="preserve">Fixing with 15x3 mm lugs 10 cm. long embedded in CC block . </t>
  </si>
  <si>
    <t xml:space="preserve">Fixing with 15x3 mm lugs 10 cm. long embedded in cement concrete block 15x10x10 cm of C.C. 1:3:6 (1 Cement : 3 coarse sand : 6 graded stone aggregate 20 mm nominal size). </t>
  </si>
  <si>
    <t>10.15.2</t>
  </si>
  <si>
    <t>10.16</t>
  </si>
  <si>
    <t xml:space="preserve">Steel work in built up section in tubular trusses : </t>
  </si>
  <si>
    <t xml:space="preserve">Steel work in built up tubular (round, square or rectangular hollow tubes etc.) trusses etc., including cutting, hoisting, fixing in position and applying a priming coat of approved steel primer, including welding and bolted with special shaped washers etc. complete. </t>
  </si>
  <si>
    <t>10.16.1</t>
  </si>
  <si>
    <t xml:space="preserve">hot finished welded type tubes . </t>
  </si>
  <si>
    <t xml:space="preserve">Hot finished welded type tubes. </t>
  </si>
  <si>
    <t>10.16.2</t>
  </si>
  <si>
    <t xml:space="preserve">Hot finished seamless type tubes. </t>
  </si>
  <si>
    <t>10.16.3</t>
  </si>
  <si>
    <t xml:space="preserve">Electric resistance or induc- tion butt welded tubes. </t>
  </si>
  <si>
    <t xml:space="preserve">Electric resistance or induction butt welded tubes. </t>
  </si>
  <si>
    <t>10.17</t>
  </si>
  <si>
    <t xml:space="preserve">P/F MS fan clamp type I/II of 16mm dia MS bar </t>
  </si>
  <si>
    <t xml:space="preserve">Providing and fixing M.S. fan clamp type I or II of 16 mm dia M.S. bar, bent to shape with hooked ends in R.C.C. slabs or beams during laying, including painting the exposed portion of loop, all as per standard design complete. </t>
  </si>
  <si>
    <t>10.18</t>
  </si>
  <si>
    <t xml:space="preserve">P/F circular/Hexagonal CI/ MS sheet box for ceiling fan clamp &amp; top lids, clamps 12mm dia MS bar </t>
  </si>
  <si>
    <t xml:space="preserve">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 </t>
  </si>
  <si>
    <t>10.19</t>
  </si>
  <si>
    <t xml:space="preserve">P/F MS round down bolts with nuts </t>
  </si>
  <si>
    <t xml:space="preserve">Providing and fixing mild steel round holding down bolts with nuts and washer plates complete. </t>
  </si>
  <si>
    <t>10.20</t>
  </si>
  <si>
    <t xml:space="preserve">P/F bolts i/c nuts, washers complete </t>
  </si>
  <si>
    <t xml:space="preserve">Providing and fixing bolts including nuts and washers complete. </t>
  </si>
  <si>
    <t>10.21</t>
  </si>
  <si>
    <t xml:space="preserve">P/F MS rivets of sizes in position </t>
  </si>
  <si>
    <t xml:space="preserve">Providing and fixing M.S. rivets of sizes in position. </t>
  </si>
  <si>
    <t>10.22</t>
  </si>
  <si>
    <t xml:space="preserve">Welding by gas or electric plant i/c transportation of plant </t>
  </si>
  <si>
    <t xml:space="preserve">Welding by gas or electric plant including transportation of plant at site etc. complete. </t>
  </si>
  <si>
    <t xml:space="preserve">cm   </t>
  </si>
  <si>
    <t xml:space="preserve">One Centimetre                            </t>
  </si>
  <si>
    <t>10.25</t>
  </si>
  <si>
    <t xml:space="preserve">Steel work welded in built up sections etc as required </t>
  </si>
  <si>
    <t xml:space="preserve">Steel work welded in built up sections/ framed work, including cutting, hoisting, fixing in position and applying a priming coat of approved steel primer using structural steel etc. as required. </t>
  </si>
  <si>
    <t>10.25.1</t>
  </si>
  <si>
    <t xml:space="preserve">in stringers, treads etc of staircase </t>
  </si>
  <si>
    <t xml:space="preserve">In stringers, treads, landings etc. of stair cases, including use of chequered plate wherever required, all complete. </t>
  </si>
  <si>
    <t>10.25.2</t>
  </si>
  <si>
    <t xml:space="preserve">in grating frames, guard bar, railing, gates </t>
  </si>
  <si>
    <t xml:space="preserve">In gratings, frames, guard bar, ladder, railings, brackets, gates and similar works. </t>
  </si>
  <si>
    <t>10.26</t>
  </si>
  <si>
    <t xml:space="preserve">P/F hand rail by welding to steel ladder railing </t>
  </si>
  <si>
    <t xml:space="preserve">Providing and fixing hand rail of approved size by welding etc. to steel ladder railing, balcony railing, staircase railing and similar works, including applying priming coat of approved steel primer. </t>
  </si>
  <si>
    <t>10.26.1</t>
  </si>
  <si>
    <t xml:space="preserve">MS tube </t>
  </si>
  <si>
    <t xml:space="preserve">M.S. tube. </t>
  </si>
  <si>
    <t>10.26.2</t>
  </si>
  <si>
    <t xml:space="preserve">ERW tubes </t>
  </si>
  <si>
    <t xml:space="preserve">E.R.W. tubes. </t>
  </si>
  <si>
    <t>10.26.3</t>
  </si>
  <si>
    <t xml:space="preserve">GI pipes </t>
  </si>
  <si>
    <t xml:space="preserve">G.I. pipes </t>
  </si>
  <si>
    <t>10.27</t>
  </si>
  <si>
    <t xml:space="preserve">Providng and welding steel wire weld mesh .... </t>
  </si>
  <si>
    <t xml:space="preserve">Providing and fixing carbon steel galvanised ( minimum coating 5 micron) dash fastener of 10 mm dia double threaded 6.8 grade (yield strength 480 N/mm2), counter sunk head, comprising of 10 mm dia polyamide PA 6 grade sleeve, including drilling of hole in frame , concrete/ masonry, etc. as per direction of Engineer-in-charge. </t>
  </si>
  <si>
    <t>10.27.1</t>
  </si>
  <si>
    <t xml:space="preserve">10 x60 mm </t>
  </si>
  <si>
    <t xml:space="preserve">10 x 60 mm </t>
  </si>
  <si>
    <t>10.27.2</t>
  </si>
  <si>
    <t xml:space="preserve">10 x80 mm </t>
  </si>
  <si>
    <t xml:space="preserve">10 x 80 mm </t>
  </si>
  <si>
    <t>10.27.3</t>
  </si>
  <si>
    <t xml:space="preserve">10 x120 mm </t>
  </si>
  <si>
    <t xml:space="preserve">10 x 120 mm </t>
  </si>
  <si>
    <t>10.27.4</t>
  </si>
  <si>
    <t xml:space="preserve">10 x140 mm </t>
  </si>
  <si>
    <t xml:space="preserve">10 x 140 mm </t>
  </si>
  <si>
    <t>10.27.5</t>
  </si>
  <si>
    <t xml:space="preserve">10 x160 mm </t>
  </si>
  <si>
    <t xml:space="preserve">10 x 160 mm </t>
  </si>
  <si>
    <t>10.28</t>
  </si>
  <si>
    <t xml:space="preserve">P/F SS (Grade 304) railing </t>
  </si>
  <si>
    <t xml:space="preserve">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t>
  </si>
  <si>
    <t>10.29</t>
  </si>
  <si>
    <t xml:space="preserve">P/F fly proof wire gauze to windows, clerestory windows &amp; doors with M.S. Flat 15x3mm </t>
  </si>
  <si>
    <t xml:space="preserve">Providing &amp; fixing fly proof wire gauze to windows, clerestory windows &amp; doors with M.S. Flat 15 x 3 mm and nuts &amp; bolts complete. </t>
  </si>
  <si>
    <t>10.29.1</t>
  </si>
  <si>
    <t xml:space="preserve">Galvanised M.S. Wire gauze with 0.63mm dia wire and 1.4 mm aperture on both sides. </t>
  </si>
  <si>
    <t>10.29.2</t>
  </si>
  <si>
    <t xml:space="preserve">Stainless steel (grade 304) wire gauze of 0.5 mm dia wire and 1.4 mm aperture on both sides. </t>
  </si>
  <si>
    <t>10.30</t>
  </si>
  <si>
    <t xml:space="preserve">P/F panes with putty and glazing clips in steel doors, windows, clerestory windows </t>
  </si>
  <si>
    <t xml:space="preserve">Providing &amp; fixing glass panes with putty and glazing clips in steel doors, windows, clerestory windows all complete with : </t>
  </si>
  <si>
    <t>10.30.1</t>
  </si>
  <si>
    <t xml:space="preserve">4.0 mm thick glass panes. </t>
  </si>
  <si>
    <t>10.30.2</t>
  </si>
  <si>
    <t xml:space="preserve">5.5 mm thick glass panes. </t>
  </si>
  <si>
    <t>10.31</t>
  </si>
  <si>
    <t xml:space="preserve">P/F angle iron frames for doors, windows and ventilators of mild steel Angle sections of size 35x35x5 mm welded by angle iron 35x35x5 mm or 35x 5 mm flat pieces to the existing T-iron frame </t>
  </si>
  <si>
    <t xml:space="preserve">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 </t>
  </si>
  <si>
    <t xml:space="preserve">Total of the Sub-Head - Steel Work :  </t>
  </si>
  <si>
    <t xml:space="preserve">        Sub-Head : Flooring</t>
  </si>
  <si>
    <t>11.1</t>
  </si>
  <si>
    <t xml:space="preserve">Brick on edge flooring on a bed of 12 mm CM </t>
  </si>
  <si>
    <t xml:space="preserve">Brick on edge flooring with bricks of class designation 7.5 on a bed of 12 mm cement mortar, including filling the joints with same mortar, with common burnt clay non modular bricks: </t>
  </si>
  <si>
    <t>11.1.1</t>
  </si>
  <si>
    <t xml:space="preserve">1:4 (1 cement : 4 coarse sand) </t>
  </si>
  <si>
    <t>11.1.2</t>
  </si>
  <si>
    <t xml:space="preserve">1:6 (1cement : 6 coarse sand) </t>
  </si>
  <si>
    <t>11.2</t>
  </si>
  <si>
    <t xml:space="preserve">Dry brick on edge floor with bricks of class 75 filling joints with local fine sand </t>
  </si>
  <si>
    <t xml:space="preserve">Dry brick on edge flooring in required pattern with bricks of class designation 7.5 on a bed of 12 mm mud mortar, including filling joints with sand, with common burnt clay non modular bricks. </t>
  </si>
  <si>
    <t>11.3</t>
  </si>
  <si>
    <t xml:space="preserve">CC flooring 1:2:4 and finished neat including cement slurry </t>
  </si>
  <si>
    <t xml:space="preserve">Cement concrete flooring 1:2:4 (1 cement : 2 coarse sand : 4 graded stone aggregate) finished with a floating coat of neat cement, including cement slurry, but excluding the cost of nosing of steps etc. complete. </t>
  </si>
  <si>
    <t>11.3.1</t>
  </si>
  <si>
    <t xml:space="preserve">40mm thick 20mm stone agg </t>
  </si>
  <si>
    <t xml:space="preserve">40 mm thick with 20 mm nominal size stone aggregate </t>
  </si>
  <si>
    <t>11.4</t>
  </si>
  <si>
    <t xml:space="preserve">52mm thick CC fooring with hardener topping under layer 40mm CC 1:2:4 top layer 12mm thick concrete hardner </t>
  </si>
  <si>
    <t xml:space="preserve">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 </t>
  </si>
  <si>
    <t>11.5</t>
  </si>
  <si>
    <t xml:space="preserve">62mm thick CC with concrete hardener topping under layer 50mm thick CC 1:2:4 and top layer 12 mm thick cement hardener of mix 1:2 </t>
  </si>
  <si>
    <t xml:space="preserve">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 </t>
  </si>
  <si>
    <t>11.6</t>
  </si>
  <si>
    <t xml:space="preserve">Cement plaster skirting in CM 1:3 and finished neat </t>
  </si>
  <si>
    <t xml:space="preserve">Cement plaster skirting up to 30 cm height, with cement mortar 1:3 (1 cement : 3 coarse sand), finished with a floating coat of neat cement. </t>
  </si>
  <si>
    <t>11.6.1</t>
  </si>
  <si>
    <t>11.7</t>
  </si>
  <si>
    <t xml:space="preserve">CC pavement 1:2:4 including finishing complete </t>
  </si>
  <si>
    <t xml:space="preserve">Cement concrete pavement with 1:2:4 (1 cement : 2 coarse sand : 4 graded stone aggregate 20 mm nominal size), including finishing complete. </t>
  </si>
  <si>
    <t>11.8</t>
  </si>
  <si>
    <t xml:space="preserve">Extra for making chequers on cement concrete floors etc </t>
  </si>
  <si>
    <t xml:space="preserve">Extra for making chequers of approved pattern on cement concrete floors, steps, landing, pavements etc. </t>
  </si>
  <si>
    <t>11.9</t>
  </si>
  <si>
    <t xml:space="preserve">40mm thick marble chips flooring rubbed and polished to granolithic finish, under layer 34mm thick CC 1:2:4 and top layer 6mm thick with marble chips </t>
  </si>
  <si>
    <t xml:space="preserve">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t>
  </si>
  <si>
    <t>11.9.1</t>
  </si>
  <si>
    <t xml:space="preserve">Dark shade pigment with ordinary cement </t>
  </si>
  <si>
    <t xml:space="preserve">Dark shade pigment with ordinary cement. </t>
  </si>
  <si>
    <t>11.9.2</t>
  </si>
  <si>
    <t xml:space="preserve">Light shade pigment with white cement </t>
  </si>
  <si>
    <t xml:space="preserve">Light shade pigment with white cement. </t>
  </si>
  <si>
    <t>11.9.3</t>
  </si>
  <si>
    <t xml:space="preserve">Medium shade pigment with 50 % white cement and 50 % ordinary cement </t>
  </si>
  <si>
    <t xml:space="preserve">Medium shade pigment with 50% white cement and 50% ordinary cement. </t>
  </si>
  <si>
    <t>11.9.4</t>
  </si>
  <si>
    <t xml:space="preserve">White cement without any pigment </t>
  </si>
  <si>
    <t xml:space="preserve">White cement without any pigment. </t>
  </si>
  <si>
    <t>11.9.5</t>
  </si>
  <si>
    <t xml:space="preserve">Light shade pigment with ordinary cement </t>
  </si>
  <si>
    <t xml:space="preserve">Light shade pigment with ordinary cement. </t>
  </si>
  <si>
    <t>11.9.6</t>
  </si>
  <si>
    <t xml:space="preserve">Ordinary cement without any pigment </t>
  </si>
  <si>
    <t xml:space="preserve">Ordinary cement without any pigment. </t>
  </si>
  <si>
    <t>11.10</t>
  </si>
  <si>
    <t xml:space="preserve">40mm thick marble chips flooring, rubbed and polished to granolithic finish, under layer 3 mm thick CC 1:2:4 and top layer 9mm thick with marble chips </t>
  </si>
  <si>
    <t xml:space="preserve">40 mm thick marble chips flooring, rubbed and polished to granolithic finish, under layer 31 mm thick cement concrete 1:2:4 (1 cement : 2coarse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t>
  </si>
  <si>
    <t>11.10.1</t>
  </si>
  <si>
    <t xml:space="preserve">Dark shade pigment with Ordinary cement. </t>
  </si>
  <si>
    <t>11.10.2</t>
  </si>
  <si>
    <t>11.10.3</t>
  </si>
  <si>
    <t xml:space="preserve">Medium shade pigment with 50 % white cement and 50 % ordinary cement. </t>
  </si>
  <si>
    <t>11.10.4</t>
  </si>
  <si>
    <t>11.10.5</t>
  </si>
  <si>
    <t>11.10.6</t>
  </si>
  <si>
    <t>11.11</t>
  </si>
  <si>
    <t xml:space="preserve">40mm marble chips flooring under layer 28mm CC 1:2:4 top layer 12mm with chips laid in cement marble powder 3:1 </t>
  </si>
  <si>
    <t xml:space="preserve">40 mm thick marble chips flooring, rubbed and polished to granolithic finish, under layer 28 mm thick cement concrete 1:2:4 (1 cement : 2coarse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t>
  </si>
  <si>
    <t>11.11.1</t>
  </si>
  <si>
    <t xml:space="preserve">Dark shade with ordinary cement . </t>
  </si>
  <si>
    <t>11.11.2</t>
  </si>
  <si>
    <t xml:space="preserve">Light shade with white cement </t>
  </si>
  <si>
    <t>11.11.3</t>
  </si>
  <si>
    <t xml:space="preserve">Medium shade (Appox) 50 % White 50 % ordinary cement . </t>
  </si>
  <si>
    <t>11.11.4</t>
  </si>
  <si>
    <t xml:space="preserve">White cement without any pigment . </t>
  </si>
  <si>
    <t>11.11.5</t>
  </si>
  <si>
    <t xml:space="preserve">Light shade pigment with Ordinary cement . </t>
  </si>
  <si>
    <t>11.11.6</t>
  </si>
  <si>
    <t>11.12</t>
  </si>
  <si>
    <t xml:space="preserve">Marble chips skirting up to 30 cm height, top layer 6mm chips laid in cement marble powder 3:1 </t>
  </si>
  <si>
    <t xml:space="preserve">Marble chips skirting up to 30 cm height, rubbed and polished to granolithic finish, top layer 6 mm thick with white, black, chocolate, grey, yellow or green marble chips of sizes from smallest to 4 mm nominal size, laid in cement marble powder mix 3:1 (3 cement : 1marble powder) by weight in proportion of 4:7 (4 cement marble powder mix : 7 marble chips) by volume : </t>
  </si>
  <si>
    <t>11.12.1</t>
  </si>
  <si>
    <t xml:space="preserve">18mm with under layer 12mm in cement plaster 1:3 coarse sand </t>
  </si>
  <si>
    <t xml:space="preserve">18 mm thick with under layer 12 mm thick in cement plaster 1:3 (1 cement : 3 coarse sand) : </t>
  </si>
  <si>
    <t>11.12.1.1</t>
  </si>
  <si>
    <t xml:space="preserve">Dark shade with ordinary cement </t>
  </si>
  <si>
    <t>11.12.1.2</t>
  </si>
  <si>
    <t xml:space="preserve">Light shade with white cement . </t>
  </si>
  <si>
    <t>11.12.1.3</t>
  </si>
  <si>
    <t xml:space="preserve">Medium shades 50 % white 50 % ordinary cement . </t>
  </si>
  <si>
    <t>11.12.1.4</t>
  </si>
  <si>
    <t>11.12.1.5</t>
  </si>
  <si>
    <t xml:space="preserve">Light shade pigment with Orinary cement . </t>
  </si>
  <si>
    <t>11.12.1.6</t>
  </si>
  <si>
    <t xml:space="preserve">ordinary cement without any pigment . </t>
  </si>
  <si>
    <t>11.13</t>
  </si>
  <si>
    <t xml:space="preserve">P/F glass strips </t>
  </si>
  <si>
    <t xml:space="preserve">Providing and fixing glass strips in joints of terrazzo/ cement concrete floors. </t>
  </si>
  <si>
    <t>11.13.1</t>
  </si>
  <si>
    <t xml:space="preserve">40mm wide 4mm thick </t>
  </si>
  <si>
    <t xml:space="preserve">40 mm wide and 4 mm thick. </t>
  </si>
  <si>
    <t>11.14</t>
  </si>
  <si>
    <t xml:space="preserve">Extra laying terrazo flooring on staircase treads </t>
  </si>
  <si>
    <t xml:space="preserve">Extra for laying terrazzo flooring on staircase treads not exceeding 30 cm in width including cost of forming, nosing etc. </t>
  </si>
  <si>
    <t>11.15</t>
  </si>
  <si>
    <t xml:space="preserve">Crazy marble stone flooring i/c filling the gaps with light shade pigment withwhite cement marble powder mixture, and under layer 25 mm thick CC 1 : 2 : 4 :- </t>
  </si>
  <si>
    <t xml:space="preserve">Crazy marble stone flooring, including filling the gaps with light shade pigment with white cement marble powder mixture (3 parts of white cement : 1 part of marble powder) by weight in proportion of 4:7 (4cement marble powder mix : 7 white, black or white and black marble chips of sizes from 1 mm to 4 mm nominal size by volume), with under layer 25 mm thick cement concrete 1:2:4 (1 cement : 2 coarse sand :4 graded stone aggregate 12.5 mm nominal size), including rubbing, polishing and cement slurry etc. complete : </t>
  </si>
  <si>
    <t>11.15.1</t>
  </si>
  <si>
    <t xml:space="preserve">18mm thick crazy marble stone white, black or as specified. </t>
  </si>
  <si>
    <t xml:space="preserve">18 mm thick crazy marble stone white, black or as specified. </t>
  </si>
  <si>
    <t>11.16</t>
  </si>
  <si>
    <t xml:space="preserve">Precast terrazo tiles 22mm in floors on 20mm thick cement mortar 1:4 </t>
  </si>
  <si>
    <t xml:space="preserve">Precast terrazzo tiles 22 mm thick with graded marble chips of size upto12 mm, laid in floors, and landings, jointed with neat cement slurry mixed with pigment to match the shade of the tiles, including rubbing and polishing complete, on 20 mm thick bed of cement mortar 1:4 (1cement:4 coarse sand) : </t>
  </si>
  <si>
    <t>11.16.1</t>
  </si>
  <si>
    <t xml:space="preserve">Light shades using white cement . </t>
  </si>
  <si>
    <t xml:space="preserve">Light shade pigment using white cement. </t>
  </si>
  <si>
    <t>11.16.2</t>
  </si>
  <si>
    <t xml:space="preserve">Medium shade using 50 % white and 50 % ordinary cement . </t>
  </si>
  <si>
    <t xml:space="preserve">Medium shade pigment using 50%white cement and 50% ordinary cement. </t>
  </si>
  <si>
    <t>11.16.3</t>
  </si>
  <si>
    <t xml:space="preserve">Dark shade using ordinary cement . </t>
  </si>
  <si>
    <t xml:space="preserve">Dark shade pigment using ordinary cement. </t>
  </si>
  <si>
    <t>11.16.4</t>
  </si>
  <si>
    <t>11.17</t>
  </si>
  <si>
    <t xml:space="preserve">Extra if terrazo tiles are laid in treads </t>
  </si>
  <si>
    <t xml:space="preserve">Extra if terrazzo tiles are laid in treads of steps not exceeding 30 cm in width. </t>
  </si>
  <si>
    <t>11.18</t>
  </si>
  <si>
    <t xml:space="preserve">Precast terrazo tiles 22mm in skirting, riser on 12mm cement plaster 1:3 </t>
  </si>
  <si>
    <t xml:space="preserve">Precast terrazzo tiles 22 mm thick with graded marble chips of sizes upto 12 mm, in skirting and risers of steps not exceeding 30 cm in height, on 12 mm thick cement plaster 1:3 (1 cement : 3 coarse sand),jointed with neat cement slurry mixed with pigment to match the shade of the tiles, including rubbing and polishing complete with tiles of : </t>
  </si>
  <si>
    <t>11.18.1</t>
  </si>
  <si>
    <t xml:space="preserve">Light shade using white cement. </t>
  </si>
  <si>
    <t>11.18.2</t>
  </si>
  <si>
    <t xml:space="preserve">Medium shade using 50 % White and 50 % ordinary cement. </t>
  </si>
  <si>
    <t xml:space="preserve">Medium shade pigment using 50% white cement and 50% ordinary cement. </t>
  </si>
  <si>
    <t>11.18.3</t>
  </si>
  <si>
    <t>11.18.4</t>
  </si>
  <si>
    <t xml:space="preserve">ordinary cement without any pigment. </t>
  </si>
  <si>
    <t>11.19</t>
  </si>
  <si>
    <t xml:space="preserve">Chquered precast terrazo tiles 22mm thick in floors on 20mm thick CM 1:4 </t>
  </si>
  <si>
    <t xml:space="preserve">Chequered terrazzo tiles 22 mm thick with graded marble chips of size up to 6 mm in floors, jointed with neat cement slurry mixed with pigment to match the shade of the tiles, including rubbing and polishing complete, on 20 mm thick bed of cement mortar 1:4 (1 cement :4 coarse sand) : </t>
  </si>
  <si>
    <t>11.19.1</t>
  </si>
  <si>
    <t xml:space="preserve">Light shade using white cement . </t>
  </si>
  <si>
    <t>11.19.2</t>
  </si>
  <si>
    <t xml:space="preserve">Medium shade using 50% white and 50 % ordinary cement . </t>
  </si>
  <si>
    <t xml:space="preserve">Medium shade pigment using 50% white cement, 50% ordinary cement. </t>
  </si>
  <si>
    <t>11.19.3</t>
  </si>
  <si>
    <t>11.19.4</t>
  </si>
  <si>
    <t xml:space="preserve">Ordinary cement without shade </t>
  </si>
  <si>
    <t>11.20</t>
  </si>
  <si>
    <t xml:space="preserve">Chequerred precast CC tiles 22mm thick in footpath and courtyard on 20mm thick bed of CM 1:4 </t>
  </si>
  <si>
    <t xml:space="preserve">Chequerred precast cement concrete tiles 22 mm thick in footpath &amp;courtyard, jointed with neat cement slurry mixed with pigment to match the shade of tiles, including rubbing and cleaning etc. complete, on 20mm thick bed of cement mortar 1:4 (1 cement: 4 coarse sand). </t>
  </si>
  <si>
    <t>11.20.1</t>
  </si>
  <si>
    <t>11.20.2</t>
  </si>
  <si>
    <t xml:space="preserve">Medium shade using 50 % white cement 50 % grey cement. </t>
  </si>
  <si>
    <t xml:space="preserve">Medium shade pigment using 50% white cement 50% Grey cement. </t>
  </si>
  <si>
    <t>11.20.3</t>
  </si>
  <si>
    <t xml:space="preserve">Dark shade using ordinary cement. </t>
  </si>
  <si>
    <t>11.20.4</t>
  </si>
  <si>
    <t>11.21</t>
  </si>
  <si>
    <t xml:space="preserve">P/L 10mm thick acid or alkali resistant tiles </t>
  </si>
  <si>
    <t xml:space="preserve">Providing and fixing 10 mm thick acid and/or alkali resistant tiles of approved make and colour using acid and/or alkali resisting mortar bedding, and joints filled with acid and/or alkali resisting cement as perish : 4457, complete as per the direction of Engineer-in- Charge. </t>
  </si>
  <si>
    <t>11.21.1</t>
  </si>
  <si>
    <t xml:space="preserve">in flooring bed of 10mm thick CM 1:4 </t>
  </si>
  <si>
    <t xml:space="preserve">In flooring on a bed of 10 mm thick mortar 1:4 (1 acid proof cement : 4 coarse sand). </t>
  </si>
  <si>
    <t>11.21.1.1</t>
  </si>
  <si>
    <t xml:space="preserve">Acid and alkali resistant tiles </t>
  </si>
  <si>
    <t xml:space="preserve">Acid and alkali resistant tile. </t>
  </si>
  <si>
    <t>11.21.2</t>
  </si>
  <si>
    <t xml:space="preserve">in dado/skirting 12mm thick CM 1:4 </t>
  </si>
  <si>
    <t xml:space="preserve">In dado/skirting on 12 mm thick mortar 1:4 (1 acid proof cement : 4 coarse sand). </t>
  </si>
  <si>
    <t>11.21.2.1</t>
  </si>
  <si>
    <t>11.22</t>
  </si>
  <si>
    <t xml:space="preserve">Tile work in skirting risers and dado over 12mm thick cement mortar 1:3 jointed cement slurry </t>
  </si>
  <si>
    <t xml:space="preserve">Tile work in skirting, risers of steps and dado up to 2 m height over 12 mm thick bed of cement mortar 1:3 (1 cement :3 coarse sand) and jointed with grey cement slurry @ 3.3 kg/sqm including pointing in white cement mixed with pigment of matching shade complete. </t>
  </si>
  <si>
    <t>11.22.1</t>
  </si>
  <si>
    <t xml:space="preserve">Marble tiles (polished) Rajnagar : </t>
  </si>
  <si>
    <t xml:space="preserve">Marble tiles (polished) Raj Nagar. </t>
  </si>
  <si>
    <t>11.22.1.1</t>
  </si>
  <si>
    <t>11.23</t>
  </si>
  <si>
    <t xml:space="preserve">Marble stone flooring with 18mm thick marble stone over 20mm thick base of CM 1:4 </t>
  </si>
  <si>
    <t xml:space="preserve">Marble stone flooring with 18mm thick marble stone as per sample of marble shall be approved by Engineer-in-charge over 20 mm (average) thick base of cement mortar 1:4 (1 cement : 4 coarse sand) laid and jointed with grey cement slurry including rubbing and polishing complete with : </t>
  </si>
  <si>
    <t>11.23.1</t>
  </si>
  <si>
    <t xml:space="preserve">Makrana White Second quality. </t>
  </si>
  <si>
    <t xml:space="preserve">Makrana white second quality. </t>
  </si>
  <si>
    <t>11.23.2</t>
  </si>
  <si>
    <t xml:space="preserve">Raj Nagar Plain. </t>
  </si>
  <si>
    <t xml:space="preserve">Raj Nagar plain. </t>
  </si>
  <si>
    <t>11.23.3</t>
  </si>
  <si>
    <t xml:space="preserve">Agaria white. </t>
  </si>
  <si>
    <t xml:space="preserve">Agaria White </t>
  </si>
  <si>
    <t>11.23.4</t>
  </si>
  <si>
    <t xml:space="preserve">Black Zebra. </t>
  </si>
  <si>
    <t>11.23.5</t>
  </si>
  <si>
    <t xml:space="preserve">Udaipur green marble. </t>
  </si>
  <si>
    <t xml:space="preserve">Udaipur green marble </t>
  </si>
  <si>
    <t>11.23.6</t>
  </si>
  <si>
    <t xml:space="preserve">Pink Plain Marble. </t>
  </si>
  <si>
    <t xml:space="preserve">Pink plain marble. </t>
  </si>
  <si>
    <t>11.24</t>
  </si>
  <si>
    <t xml:space="preserve">Extra for pre finished nosing to treads of steps of marble stone. </t>
  </si>
  <si>
    <t>11.25</t>
  </si>
  <si>
    <t xml:space="preserve">Extra for marble stone floor in treads of steps and risers using single length upto 2 m. </t>
  </si>
  <si>
    <t xml:space="preserve">Extra for marble stone flooring in treads of steps and risers using single length up to 2.00 metre . </t>
  </si>
  <si>
    <t>11.26</t>
  </si>
  <si>
    <t xml:space="preserve">Kota stone slab flooring over 20mm base on CM 1:4 </t>
  </si>
  <si>
    <t xml:space="preserve">Kota stone slab flooring over 20 mm (average) thick base laid over and jointed with grey cement slurry mixed with pigment to match the shade of the slab including rubbing and polishing complete with base of cement mortar 1 : 4 (1 cement : 4 coarse sand) : </t>
  </si>
  <si>
    <t>11.26.1</t>
  </si>
  <si>
    <t>11.27</t>
  </si>
  <si>
    <t xml:space="preserve">Kotah stone slab 25mm thick in risers steps skirting in CM 1 : 3 </t>
  </si>
  <si>
    <t xml:space="preserve">Kota stone slabs 20 mm thick in risers of steps, skirting, dado and pillars laid on 12 mm (average) thick cement mortar 1:3 (1 cement 3 coarse sand) and jointed with grey cement slurry mixed with pigment to match the shade of the slabs, including rubbing and polishing complete. </t>
  </si>
  <si>
    <t>11.28</t>
  </si>
  <si>
    <t xml:space="preserve">40mm thick fine dressed stone flooring over 20mm thick base with CM 1:5 </t>
  </si>
  <si>
    <t xml:space="preserve">40 mm thick fine dressed stone flooring over 20 mm (average) thick base of cement mortar 1:5 ( 1cement : 5 coarse sand) with joints finished flush. </t>
  </si>
  <si>
    <t>11.28.1</t>
  </si>
  <si>
    <t>11.28.2</t>
  </si>
  <si>
    <t>11.29</t>
  </si>
  <si>
    <t xml:space="preserve">40mm thick fine dressed stone flooring over 20mm thick base of cement mortar 1:5 i/c pointing with CM 1:2 </t>
  </si>
  <si>
    <t xml:space="preserve">40 mm thick fine dressed stone flooring over 20 mm (average)thick base of cement mortar 1:5 (1 cement : 5 coarse sand) including pointing with cement mortar 1:2 (1 cement : 2 stone dust) with an admixture of pigment to match the shade of stone. </t>
  </si>
  <si>
    <t>11.29.1</t>
  </si>
  <si>
    <t>11.29.2</t>
  </si>
  <si>
    <t>11.30</t>
  </si>
  <si>
    <t xml:space="preserve">40mm thick fine dressed and rubbed stone flooring over 20 mm thick base of CM 1:5 with joints 3mm thick, side buttered with CM 1:2 </t>
  </si>
  <si>
    <t xml:space="preserve">40 mm thick rubbed stone flooring over 20 mm (average) thick base of cement mortar 1:5 (1 cement :5 coarse sand) with joints 3mm thick, side buttered with cement mortar 1:2 (1 cement : 2 stone dust) admixed with pigment to match the shade of stone and pointing with same mortar </t>
  </si>
  <si>
    <t>11.30.1</t>
  </si>
  <si>
    <t>11.30.2</t>
  </si>
  <si>
    <t>11.31</t>
  </si>
  <si>
    <t xml:space="preserve">Extra for pre finished nosing in treads of steps of kota stone/ sand stone slab. </t>
  </si>
  <si>
    <t xml:space="preserve">Extra for pre finished nosing in treads of steps of Kota stone/ sand stone slab. </t>
  </si>
  <si>
    <t>11.32</t>
  </si>
  <si>
    <t xml:space="preserve">Extra for kota/sand stone flooring in treads of steps using single length upto 1.05m </t>
  </si>
  <si>
    <t xml:space="preserve">Extra for Kota stone/ sand stone in treads of steps and risers using single length above normal size up to 2.00 metre . </t>
  </si>
  <si>
    <t>11.33</t>
  </si>
  <si>
    <t xml:space="preserve">25mm wooden planking, tongued and grooved in flooring </t>
  </si>
  <si>
    <t xml:space="preserve">25mm wooden planking, tongued and grooved in flooring including fixing with iron screws complete with : </t>
  </si>
  <si>
    <t>11.33.1</t>
  </si>
  <si>
    <t>11.33.2</t>
  </si>
  <si>
    <t xml:space="preserve">Second class deodar wood. </t>
  </si>
  <si>
    <t xml:space="preserve">Second class deodar wood </t>
  </si>
  <si>
    <t>11.34</t>
  </si>
  <si>
    <t xml:space="preserve">38mm thick wood block flooring of Ist teakwood over 25 mm th CC 1:2:4 </t>
  </si>
  <si>
    <t xml:space="preserve">38mm thick wood block flooring of first class teak wood laid over 25mm thick leveling layer of cement concrete 1:2:4 (1 cement : 2 coarse sand: 4 graded stone aggregate 10mm nominal size) to be paid separately coated with a thin layer of hot bitumen penetration 80/25 (blown type)@ 2.45 kg per sqm. including fixing blocks in position after dipping in hot bitumen (blown type) up to half depth, planed, levelled smooth and finished complete. </t>
  </si>
  <si>
    <t>11.35</t>
  </si>
  <si>
    <t xml:space="preserve">P/F MS angle 50x50x5 as nosing in steps of s/c </t>
  </si>
  <si>
    <t xml:space="preserve">Providing and fixing M.S. angle 50x50x5 mm to act as nosing with lugs of M.S. flat 10x5 mm 10cm long forked at end 60cm apart (minimum three lugs to be provided) including necessary welding and applying a priming coat of approved primer on exposed surface etc. complete. </t>
  </si>
  <si>
    <t>11.37</t>
  </si>
  <si>
    <t xml:space="preserve">P/L ceramic glazed floor tiles 300x300mm of Ist quality white, Ivory, Grey, Fume Red brown laid on 20 mm thick CM 1:4 </t>
  </si>
  <si>
    <t xml:space="preserve">Providing and laying Ceramic glazed floor tiles of size 300x300 mm(thickness to be specified by the manufacturer) of 1st quality conforming to IS : 15622 of approved make in colours such as White, Ivory, Grey, Fume Red Brown, laid on 20 mm thick cement mortar 1:4 (1 Cement :4 Coarse sand), jointing with grey cement slurry @ 3.3kg/sqm including pointing the joints with white cement and matching pigment etc.,., complete. </t>
  </si>
  <si>
    <t>11.37A</t>
  </si>
  <si>
    <t xml:space="preserve">P/F ceramic glazed floor tiles in all colours, shades except burgundy, bottle green, black in skirting, risers of steps and dados over 12 mm thick bed of cement Mortar 1:3 </t>
  </si>
  <si>
    <t xml:space="preserve">Providing and fixing 1st quality ceramic glazed floor tiles conforming to IS : 15622 (thickness to be specified by the manufacturer ) of approved make in all colours, shades except burgundy, bottle green, black of any size as approved by Engineer-in-Charge in skirting, risers of steps and dados over 12 mm thick bed of cement Mortar 1:3 (1cement: 3 coarse sand) and jointing with grey cement slurry @ 3.3kgper sqm including pointing the joints with white cement mixed with pigment of matching shade complete. </t>
  </si>
  <si>
    <t>11.38</t>
  </si>
  <si>
    <t xml:space="preserve">P/L ceramic glazed floor tiles 300x300mm of Ist quality in all colours, except white, Ivory, Grey, Fume Red brown laid on 20 mm thick CM 1:4 </t>
  </si>
  <si>
    <t xml:space="preserve">Providing and laying Ceramic glazed floor tiles of size 300x300 mm(thickness to be specified by the manufacturer), of 1st quality conforming to IS : 15622, of approved make, in all colours, shades, except White, Ivory, Grey, Fume Red Brown, laid on 20 mm thick bed of cement mortar1:4 (1 Cement : 4 Coarse sand), jointing with grey cement slurry @3.3kg/sqm including pointing the joints with white cement and matching pigments etc., complete. </t>
  </si>
  <si>
    <t>11.39</t>
  </si>
  <si>
    <t xml:space="preserve">P/L rectified glazed ceramic floor tiles 300x300mm of Ist quality in colours, white, Ivory, Grey, Fume Red brown laid on 20mm thick bed of CM 1:4 </t>
  </si>
  <si>
    <t xml:space="preserve">Providing and laying rectified Glazed Ceramic floor tiles of size 300x300mm or more (thickness to be specified by the manufacturer), of 1stquality conforming to IS : 15622, of approved make, in colours White, Ivory, Grey, Fume Red Brown, laid on 20 mm thick cement mortar 1:4(1 Cement: 4 Coarse sand), jointing with grey cement slurry @ 3.3kg/sqm including grouting the joints with white cement and matching pigments etc., complete. </t>
  </si>
  <si>
    <t>11.40</t>
  </si>
  <si>
    <t xml:space="preserve">P/L rectified glazed ceramic floor tiles 300x300mm of Ist quality in colours, shades except white, Ivory, Grey, Fume Red brown laid on 20mm thick bed of CM 1:4 </t>
  </si>
  <si>
    <t xml:space="preserve">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3.3kg/sqm including pointing the joints with white cement and matching pigments etc., complete. </t>
  </si>
  <si>
    <t>11.41</t>
  </si>
  <si>
    <t xml:space="preserve">P/L polished vitrified floor tiles in all colours and shades on 20mm CM 1:4 </t>
  </si>
  <si>
    <t xml:space="preserve">Providing and laying vitrified floor tiles in different sizes (thickness to be specified by the manufacturer) with water absorption less than 0.08%and conforming to IS : 15622 , of approved make, in all colours and shades, laid on 20mm thick cement mortar 1:4 (1 cement : 4 coarse sand) jointing with grey cement slurry @ 3.3kg/sqm including grouting the joints with white cement and matching pigments etc., complete. </t>
  </si>
  <si>
    <t>11.41.1</t>
  </si>
  <si>
    <t xml:space="preserve">50 x 50 Cm. </t>
  </si>
  <si>
    <t xml:space="preserve">Size of Tile 500x500 mm </t>
  </si>
  <si>
    <t>11.41.2</t>
  </si>
  <si>
    <t xml:space="preserve">60 x 60 Cm. </t>
  </si>
  <si>
    <t xml:space="preserve">Size of Tile 600x600 mm </t>
  </si>
  <si>
    <t>11.41.3</t>
  </si>
  <si>
    <t xml:space="preserve">80 x 80 Cm. </t>
  </si>
  <si>
    <t xml:space="preserve">Size of Tile 800x800 mm </t>
  </si>
  <si>
    <t>11.41.4</t>
  </si>
  <si>
    <t xml:space="preserve">100 x 100 Cm </t>
  </si>
  <si>
    <t xml:space="preserve">Size of Tile 1000x1000 mm </t>
  </si>
  <si>
    <t>11.41A</t>
  </si>
  <si>
    <t xml:space="preserve">P &amp; L Vitrified tiles in floor in all colours and shade, laid on 20 mm thick cement mortar 1:4 </t>
  </si>
  <si>
    <t xml:space="preserve">Providing and laying Vitrified tiles in floor in different sizes (thickness to be specified by the manufacturer) with water absorption less than 0.08% and conforming to IS:15622, of approved brand &amp; manufacturer, in all colours and shade, laid on 20 mm thick cement mortar 1:4 (1 cement: 4 coarse sand) jointing with grey cement slurry @3.3 kg/sqm including grouting the joints with white cement and matching pigments etc. The tiles must be cut with the zero chipping diamond cutter only . Laying of tiles will be done with the notch trowel, plier, wedge, clips of required thickness, leveling system and rubber mallet for placing the tiles gently and easily. </t>
  </si>
  <si>
    <t>11.41A.1</t>
  </si>
  <si>
    <t xml:space="preserve">Double charge vitrified tile polished finish of size </t>
  </si>
  <si>
    <t>11.41A.1.1</t>
  </si>
  <si>
    <t xml:space="preserve">Size of Tile 600 x 600 mm </t>
  </si>
  <si>
    <t>11.41A.1.2</t>
  </si>
  <si>
    <t xml:space="preserve">Size of Tile 800 x 800 mm </t>
  </si>
  <si>
    <t>11.41A.1.3</t>
  </si>
  <si>
    <t xml:space="preserve">Size of Tile 600 x 1200 mm </t>
  </si>
  <si>
    <t>11.41A.1.4</t>
  </si>
  <si>
    <t xml:space="preserve">Size of Tile 800 x 1200 mm </t>
  </si>
  <si>
    <t>11.41A.1.5</t>
  </si>
  <si>
    <t xml:space="preserve">Size of Tile 1000 x 1000 mm </t>
  </si>
  <si>
    <t>11.41A.2</t>
  </si>
  <si>
    <t xml:space="preserve">Glazed vitrified floor tiles polished finish of size </t>
  </si>
  <si>
    <t>11.41A.2.1</t>
  </si>
  <si>
    <t>11.41A.2.2</t>
  </si>
  <si>
    <t>11.41A.2.3</t>
  </si>
  <si>
    <t>11.41A.2.4</t>
  </si>
  <si>
    <t>11.41A.2.5</t>
  </si>
  <si>
    <t xml:space="preserve">Size of Tile 1200 x 1200 mm </t>
  </si>
  <si>
    <t>11.41A.3</t>
  </si>
  <si>
    <t xml:space="preserve">Glazed Vitrified tiles Matt/Antiskid finish of size </t>
  </si>
  <si>
    <t>11.41A.3.1</t>
  </si>
  <si>
    <t>11.41A.3.2</t>
  </si>
  <si>
    <t>11.41A.3.3</t>
  </si>
  <si>
    <t>11.41A.3.4</t>
  </si>
  <si>
    <t>11.41A.3.5</t>
  </si>
  <si>
    <t>11.42</t>
  </si>
  <si>
    <t xml:space="preserve">Deduct for not using 20mm thick cment mortar 1:4(1cement : 4 coarse sand )bedding in laying of floor tiles. </t>
  </si>
  <si>
    <t xml:space="preserve">Deduct for not using 20 mm thick cement mortar 1:4 (1 cement : 4coarse sand) bedding in laying of floor tiles and jointing with grey cement slurry @ 3.3kg/sqm </t>
  </si>
  <si>
    <t>11.43</t>
  </si>
  <si>
    <t xml:space="preserve">Fixing glazed / ceramic/ Vitrified floor tiles with cement based high polymer modified quick-set tile adhesive </t>
  </si>
  <si>
    <t xml:space="preserve">Fixing glazed/ Ceramic/ Vitrified floor tiles with cement based high polymer modified quick-set tile adhesive (Water based) conforming to IS: 15477, in average 3mm thickness. </t>
  </si>
  <si>
    <t>11.44</t>
  </si>
  <si>
    <t xml:space="preserve">Crazy Ceramic tile flooring with under 12 mm th. CM 1:4 </t>
  </si>
  <si>
    <t xml:space="preserve">Crazy ceramic tile flooring, with under layer 12 mm thick cement mortar 1:4 (1 cement: 4 coarse sand), with joints not exceeding 5 mm, including filling the gaps with ordinary cement mixture &amp; mixing with synthetic polyester fibre, triangular in shape having specific gravity of1.34 to 1.40, cross section size ranging from 10 to 40 micron &amp; length upto 6 mm , mixing fibre @ 125 grams per 50 kg of cement in cement mortar, including providing and mixing water proofing material in mortar@ 1 kg per 50 kg of cement , all complete as per direction of Engineer-in-charge. </t>
  </si>
  <si>
    <t>11.45</t>
  </si>
  <si>
    <t xml:space="preserve">P/L 500x500x40 mm th. Turf paver on 15 mm th. Sub grade </t>
  </si>
  <si>
    <t xml:space="preserve">Providing and laying 500x500x40mm thick Turf paver (Turf pave XD) on 150mm thick sub grade of compacted bed of 20mm thick nominal size stone aggregate and base course and filling with 150mm thick jamuna sand including spreading, well ramming, consolidating and finishing smooth etc. all complete as per direction of Engineer-in-charge. </t>
  </si>
  <si>
    <t>11.46</t>
  </si>
  <si>
    <t xml:space="preserve">P/L Vitrified tiles in all colours &amp; Shade in skirting, riser of steps over 12 mm th. CM 1:3 </t>
  </si>
  <si>
    <t xml:space="preserve">Providing and laying Vitrified tiles in different sizes (thickness to be specified by manufacturer) with water absorption less than 0.08 % and conforming to I.S. 15622, of approved make in all colours &amp; shade in skirting, riser of steps, over 12 mm thick bed of cement mortar 1:3 (1cement: 3 coarse sand), jointing with grey cement slurry @ 3.3kg/sqm including grouting the joint with white cement &amp; matching pigments etc. complete. </t>
  </si>
  <si>
    <t>11.46.1</t>
  </si>
  <si>
    <t>11.46.2</t>
  </si>
  <si>
    <t>11.46.3</t>
  </si>
  <si>
    <t>11.46.4</t>
  </si>
  <si>
    <t>11.46A</t>
  </si>
  <si>
    <t xml:space="preserve">P/F glazed screen printed border tile 75mm wide in dado, over 12mm thick bed of cement mortar1:3 </t>
  </si>
  <si>
    <t xml:space="preserve">Providing and fixing glazed screen printed border tile 75mm wide having thickness 5mm, of approved quality &amp; make, in all shades, design and prints, in dado, over 12mm thick bed of cement mortar1:3 (1 Cement : 3 Coarse sand) and jointing with grey cement slurry @ 3.3 kg/sqm including pointing with white cement mixed with pigment of matching shade, all complete as approved by Engineer - in - Charge. </t>
  </si>
  <si>
    <t>11.47</t>
  </si>
  <si>
    <t xml:space="preserve">P/L Vitrified tiles in all colours &amp; Shade in skirting, riser of steps laid with high polymer quick set tile adhesive </t>
  </si>
  <si>
    <t xml:space="preserve">Providing and laying Vitrified tiles in different sizes (thickness to be specified by the manufacturer), with water absorption less than 0.08%and conforming to IS: 15622, of approved brand &amp; manufacturer in all colours and shade in skirting, riser of steps, laid with cement based high polymer modified quick set tile adhesive (water based) conforming to IS: 15477, in average 6 mm thickness, including grouting of joints(Payment for grouting of joints to be made separately). </t>
  </si>
  <si>
    <t>11.47.1</t>
  </si>
  <si>
    <t>11.47.2</t>
  </si>
  <si>
    <t>11.47.3</t>
  </si>
  <si>
    <t>11.47.4</t>
  </si>
  <si>
    <t>11.48</t>
  </si>
  <si>
    <t xml:space="preserve">Grouting the joints of flooring tiles using epoxy grout mix </t>
  </si>
  <si>
    <t xml:space="preserve">Grouting the joints of flooring tiles having joints of 3 mm width, using epoxy grout mix of 0.70 kg of organic coated filler of desired shade(0.10 kg of hardener and 0.20 kg of resin per kg), including filling/grouting and finishing complete as per direction of Engineer-in-charge. </t>
  </si>
  <si>
    <t>11.48.1</t>
  </si>
  <si>
    <t>11.48.2</t>
  </si>
  <si>
    <t>11.48.3</t>
  </si>
  <si>
    <t>11.48.4</t>
  </si>
  <si>
    <t>11.49</t>
  </si>
  <si>
    <t xml:space="preserve">P/L Vitrified tiles in floor in all colours and shade, laid with polymer modified quick set tile adhesive </t>
  </si>
  <si>
    <t xml:space="preserve">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t>
  </si>
  <si>
    <t>11.49.1</t>
  </si>
  <si>
    <t>11.49.2</t>
  </si>
  <si>
    <t>11.49.3</t>
  </si>
  <si>
    <t>11.49.4</t>
  </si>
  <si>
    <t>11.49A</t>
  </si>
  <si>
    <t xml:space="preserve">Providing and laying full body vitrified tile in floor of minimum thickness 15 mm with water absorption less than 0.06% and conforming to IS: 15622, of approved make, brand and manufacturer, laid on 20 mm thick base cement mortar 1:4 (1 cement: 4 coarse sand) jointing with grey cement slurry @3.30 kg / sqm including grouting the joints with white cement and matching pigments etc. The slab must be cut with the zero chipping diamond cutter only. Laying of slab will be done with the help of notch trowel, wedge, clips of required thickness, vacuum cups for lifting, leveling system and rubber mallet for placing the slab gently and easily. </t>
  </si>
  <si>
    <t xml:space="preserve">Size of tile 800x2400mm of all colours and shades </t>
  </si>
  <si>
    <t>11.50</t>
  </si>
  <si>
    <t xml:space="preserve">P/L vitrified tiles flooring in skirting/steps of risers in CM 1:3 </t>
  </si>
  <si>
    <t xml:space="preserve">Deduct for not grouting the joints with white cement and matching pigment in the items of fixing of vitrified tiles </t>
  </si>
  <si>
    <t>11.51</t>
  </si>
  <si>
    <t xml:space="preserve">P/L Italian Marble Stone flooring with 18 mm thick stone slab laid over 20 mm CM 1:4 - 18 mm thick Itealian Marble Stone Slab, Perlato, Rosso Verona </t>
  </si>
  <si>
    <t xml:space="preserve">Providing and laying machine cut, mirror polished, Italian Marble stone flooring laid in required pattern in linear portion of the building all complete as per architectural drawings, with 18 mm thick stone slab laid over 20mm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t>
  </si>
  <si>
    <t>11.51.1</t>
  </si>
  <si>
    <t xml:space="preserve">18 mm thick Italian Marble stone slab, Perlato, Rosso verona, Fire Red or Dark Emperadore etc </t>
  </si>
  <si>
    <t>11.52</t>
  </si>
  <si>
    <t xml:space="preserve">P/L machine cut, mirror polished Marble stone flooring - 18 mm over 20 mm base of CM 1:4 - </t>
  </si>
  <si>
    <t xml:space="preserve">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t>
  </si>
  <si>
    <t>11.52.1</t>
  </si>
  <si>
    <t xml:space="preserve">18 mm thick Italian Marble stone slab, Perlato, Rosso verona, Fire Red or Dark Emperadore etc. </t>
  </si>
  <si>
    <t>11.53</t>
  </si>
  <si>
    <t xml:space="preserve">P/F Glass mossaic tiles to wall surface of size 20mmx20mmx4mm in all colours </t>
  </si>
  <si>
    <t xml:space="preserve">Providing and fixing Glass mossaic tiles on finished plain wall surface of size 20 mm x 20 mm x 4 mm in all colour, design , fixing in customized design as per direction of Engineer in charge. The glass mosaic tiles shall be fixed on the wall surface with the help of approved adhesive applied at the rate of 2.5 kg per sqm and grouting of the same. The rate is inclusive of all operations, material and required pattern approved by Engineer-in-charge. </t>
  </si>
  <si>
    <t>11.54</t>
  </si>
  <si>
    <t xml:space="preserve">P/F removable raised/false access flooring - </t>
  </si>
  <si>
    <t xml:space="preserve">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t>
  </si>
  <si>
    <t xml:space="preserve">(a)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t>
  </si>
  <si>
    <t xml:space="preserve">(b)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t>
  </si>
  <si>
    <t xml:space="preserve">(c)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
  </si>
  <si>
    <t xml:space="preserve">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 for superior adhesion and Surface flatness within 0.75mm.The panel is to withstand a Concentrated Load of 363 kgs applied on area 25mm x 25mm without collapse in the centre of the panel which is placed on four steel blocks. The panel will withstand and Uniformly Distributed Load (UDL) minimum 1250 kg/sqm and an impact load of 50kg all complete as per the approved manufacturers specification and as per the direction of Engineer-in-charge. All specification must be printed on the side of the panel to ensure the quality of the product. </t>
  </si>
  <si>
    <t>11.54.1</t>
  </si>
  <si>
    <t xml:space="preserve">300 mm Finished Floor Height (FFH) </t>
  </si>
  <si>
    <t>11.54.2</t>
  </si>
  <si>
    <t xml:space="preserve">450 mm Finished Floor Height (FFH). </t>
  </si>
  <si>
    <t>11.55</t>
  </si>
  <si>
    <t xml:space="preserve">P &amp; L flamed finised granite stone flooring ..............18mm yhick </t>
  </si>
  <si>
    <t xml:space="preserve">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t>
  </si>
  <si>
    <t>11.55.1</t>
  </si>
  <si>
    <t xml:space="preserve">Flamed finish granite stone slab Jet Black, Cherry Red, Elite Brown, Cat Eye or equivalent. </t>
  </si>
  <si>
    <t>11.56</t>
  </si>
  <si>
    <t xml:space="preserve">P &amp; L polished granite stone flooring ....18 mm thick </t>
  </si>
  <si>
    <t xml:space="preserve">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t>
  </si>
  <si>
    <t>11.56.1</t>
  </si>
  <si>
    <t xml:space="preserve">Polished Granite stone slab jet Black, Cherry Red, Elite Brown, Cat Eye or equivalent </t>
  </si>
  <si>
    <t>11.56.2</t>
  </si>
  <si>
    <t xml:space="preserve">Polished Granite stone slab of all colour and texture except Black, Cherry/Ruby Red </t>
  </si>
  <si>
    <t xml:space="preserve">Total of the Sub-Head - Flooring :  </t>
  </si>
  <si>
    <t xml:space="preserve">        Sub-Head : Roofing</t>
  </si>
  <si>
    <t>12.1</t>
  </si>
  <si>
    <t xml:space="preserve">Providing corrugated GS sheet Roofing fixed with GI J or L hooks, bolts and nuts 8mm dia </t>
  </si>
  <si>
    <t xml:space="preserve">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t>
  </si>
  <si>
    <t>12.1.1</t>
  </si>
  <si>
    <t xml:space="preserve">1.00 mm thick with zinc coating not less than 275 gm/m* </t>
  </si>
  <si>
    <t>12.1.2</t>
  </si>
  <si>
    <t xml:space="preserve">0.80 mm thick. </t>
  </si>
  <si>
    <t xml:space="preserve">0.80 mm thick with zinc coating not less than 275 gm/m* </t>
  </si>
  <si>
    <t>12.1.3</t>
  </si>
  <si>
    <t xml:space="preserve">0.63 mm thick. </t>
  </si>
  <si>
    <t xml:space="preserve">0.63 mm thick with zinc coating not less than 275 gm/ m* </t>
  </si>
  <si>
    <t>12.2</t>
  </si>
  <si>
    <t xml:space="preserve">Extra for straight cutting in CGS sheet roofing exceeding 40 Sqm for chimney, sky light etc </t>
  </si>
  <si>
    <t xml:space="preserve">Extra for straight cutting in C.G.S. sheet roofing for making opening of area exceeding 40 sq. decimeter for chimney stacks, sky light etc.: </t>
  </si>
  <si>
    <t>12.2.1</t>
  </si>
  <si>
    <t xml:space="preserve">1.00 mm thick </t>
  </si>
  <si>
    <t>12.2.2</t>
  </si>
  <si>
    <t xml:space="preserve">0.80 mm thick </t>
  </si>
  <si>
    <t>12.2.3</t>
  </si>
  <si>
    <t xml:space="preserve">0.63 mm thick </t>
  </si>
  <si>
    <t>12.3</t>
  </si>
  <si>
    <t xml:space="preserve">Extra for circular cutting in CGS sheet roofing exceeding 40 Sqm </t>
  </si>
  <si>
    <t xml:space="preserve">Extra for circular cutting in C.G.S. sheet roofing for making opening of area exceeding 40 sq. decimeter: </t>
  </si>
  <si>
    <t>12.3.1</t>
  </si>
  <si>
    <t>12.3.2</t>
  </si>
  <si>
    <t>12.3.3</t>
  </si>
  <si>
    <t>12.4</t>
  </si>
  <si>
    <t xml:space="preserve">Providing ridges or hips of plain GS sheet fixed with GI J or L hooks </t>
  </si>
  <si>
    <t xml:space="preserve">Providing ridges or hips of width 60 cm overall width plain G.S. sheet fixed with polymer coated J or L hooks, bolts and nuts 8 mm dia G.I. limpet and bitumen washers complete. </t>
  </si>
  <si>
    <t>12.4.1</t>
  </si>
  <si>
    <t>12.4.2</t>
  </si>
  <si>
    <t xml:space="preserve">0.63 mm thick . </t>
  </si>
  <si>
    <t xml:space="preserve">0.63 mm thick with zinc coating not less than 275 gm/m* </t>
  </si>
  <si>
    <t>12.5</t>
  </si>
  <si>
    <t xml:space="preserve">Providing valleys of 90cm wide overall in plain GS sheet </t>
  </si>
  <si>
    <t xml:space="preserve">Providing valleys of 90 cm wide overall in plain G.S. sheet fixed with polymer coated J or L hooks, bolts and nuts 8 mm dia G.I. limpet and bitumen washers complete : </t>
  </si>
  <si>
    <t>12.5.1</t>
  </si>
  <si>
    <t xml:space="preserve">1.60 mm thick </t>
  </si>
  <si>
    <t xml:space="preserve">1.60 mm thick with zinc coating not less than 350 gm/m* </t>
  </si>
  <si>
    <t>12.6</t>
  </si>
  <si>
    <t xml:space="preserve">Providing flashing of 40cm over all width in plain, GS sheet </t>
  </si>
  <si>
    <t xml:space="preserve">Providing and fixing of 40 cm overall width plain G.S. sheet fixed with polymer coated J or L hooks, bolts and nuts, G.I. limpet and bitumen washer complete, bent to shape and fixed in wall with cement mortar 1:3 (1 cement : 3 coarse sand). </t>
  </si>
  <si>
    <t>12.6.1</t>
  </si>
  <si>
    <t>12.7</t>
  </si>
  <si>
    <t xml:space="preserve">P/F 15cm wide 45cm over all semi-circular plain GS sheet gutter </t>
  </si>
  <si>
    <t xml:space="preserve">Providing and fixing 15 cm wide, 45 cm overall semi-circular plain G.S. sheet gutter with iron brackets 40x3 mm size, bolts, nuts and washers etc., including making necessary connections with rain water pipes complete. </t>
  </si>
  <si>
    <t>12.7.1</t>
  </si>
  <si>
    <t xml:space="preserve">0.80 mm thick . </t>
  </si>
  <si>
    <t>12.7.2</t>
  </si>
  <si>
    <t>12.8</t>
  </si>
  <si>
    <t xml:space="preserve">Providing Non-asbestos high impact Polypropylne RC 6mm thick corrugated sheet </t>
  </si>
  <si>
    <t xml:space="preserve">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 </t>
  </si>
  <si>
    <t>12.9</t>
  </si>
  <si>
    <t xml:space="preserve">Extra for straight cutting in non-asbestos high impact polypropylene RC corrugated, semi- corrugated 6mm thick sheet for chimney, skylight etc </t>
  </si>
  <si>
    <t xml:space="preserve">Extra for straight cutting in reinforced by organic fibres and/or inorganic synthetic fibres cement corrugated, semi corrugated 6 mm thick sheet roofing for making openings of area exceeding 40 square decimeter forchimney stacks, skylights etc. </t>
  </si>
  <si>
    <t>12.10</t>
  </si>
  <si>
    <t xml:space="preserve">Extra for circular cutting in non-asbestos high impact polyropylene RC corrugated /semi-corrugated 6mm thick sheet </t>
  </si>
  <si>
    <t xml:space="preserve">Extra for circular cutting in reinforced by organic fibres and/or inorganic synthetic fibres cement corrugated/ semi corrugated 6 mm thick sheet roofing for making openings of area exceeding 40 square decimeter. </t>
  </si>
  <si>
    <t>12.11</t>
  </si>
  <si>
    <t xml:space="preserve">Extra for P/F wind ties 40x6 mm flat </t>
  </si>
  <si>
    <t xml:space="preserve">Extra for providing and fixing wind ties of 40x 6 mm flat iron section. </t>
  </si>
  <si>
    <t>12.12</t>
  </si>
  <si>
    <t xml:space="preserve">P/F ridges and hips in non-asbestos fiber cement high impact polypropylene reinforced roofing accessories </t>
  </si>
  <si>
    <t xml:space="preserve">Providing and fixing ridges and hips in fibre cement reinforced by organic fibres and/or inorganic synthetic fibres roofing with suitable fixing accessories or self drilling fastener and EPDM washer etc. complete. </t>
  </si>
  <si>
    <t>12.12.1</t>
  </si>
  <si>
    <t xml:space="preserve">Corrugated serrated adjustable ridges </t>
  </si>
  <si>
    <t>12.12.2</t>
  </si>
  <si>
    <t xml:space="preserve">Plain wing adjustable ridges </t>
  </si>
  <si>
    <t>12.12.3</t>
  </si>
  <si>
    <t xml:space="preserve">Closed fitting adjustable ridges </t>
  </si>
  <si>
    <t xml:space="preserve">Close fitting adjustable ridges </t>
  </si>
  <si>
    <t>12.12.4</t>
  </si>
  <si>
    <t xml:space="preserve">Unserrated adjustable hips </t>
  </si>
  <si>
    <t>12.13</t>
  </si>
  <si>
    <t xml:space="preserve">P/F non-asbestos fiber cement high impact poly-propylene reinforced roofing accessories </t>
  </si>
  <si>
    <t xml:space="preserve">Providing and fixing fibre cement reinforced by organic fibres and/or inorganic synthetic fibres roofing accessories in all colours with polymer coated J or L hooks, bolts and nuts and or G.I. seam bolts and nuts, G.I.plain and bitumen washers or with self drilling fastener and EPDM washer etc. complete: </t>
  </si>
  <si>
    <t>12.13.1</t>
  </si>
  <si>
    <t xml:space="preserve">Corrugated Apron pieces. </t>
  </si>
  <si>
    <t xml:space="preserve">Corrugated apron pieces </t>
  </si>
  <si>
    <t>12.13.2</t>
  </si>
  <si>
    <t xml:space="preserve">Eave's filler pieces. </t>
  </si>
  <si>
    <t xml:space="preserve">Eave's filler pieces </t>
  </si>
  <si>
    <t>12.13.3</t>
  </si>
  <si>
    <t xml:space="preserve">North light curves. </t>
  </si>
  <si>
    <t xml:space="preserve">North light curves </t>
  </si>
  <si>
    <t>12.13.4</t>
  </si>
  <si>
    <t xml:space="preserve">Ventilator curves. </t>
  </si>
  <si>
    <t xml:space="preserve">Ventilator curves </t>
  </si>
  <si>
    <t>12.13.5</t>
  </si>
  <si>
    <t xml:space="preserve">Barge boards. </t>
  </si>
  <si>
    <t xml:space="preserve">Barge boards </t>
  </si>
  <si>
    <t>12.13.6</t>
  </si>
  <si>
    <t xml:space="preserve">Ridge finials. </t>
  </si>
  <si>
    <t xml:space="preserve">Ridge finials </t>
  </si>
  <si>
    <t>pairs</t>
  </si>
  <si>
    <t xml:space="preserve">Each Pair                                 </t>
  </si>
  <si>
    <t>12.13.7</t>
  </si>
  <si>
    <t xml:space="preserve">Special North light curves. </t>
  </si>
  <si>
    <t xml:space="preserve">Special north light curves </t>
  </si>
  <si>
    <t>12.13.8</t>
  </si>
  <si>
    <t xml:space="preserve">S type louvers. </t>
  </si>
  <si>
    <t xml:space="preserve">S type louvers </t>
  </si>
  <si>
    <t>12.14</t>
  </si>
  <si>
    <t xml:space="preserve">Providing flat iron brackets 50x3mm size for fixing non- asbestos cement/ GS sheets gutters with purlins </t>
  </si>
  <si>
    <t xml:space="preserve">Providing flat iron brackets 50x3 mm size with necessary bolts, nuts and washers etc. for fixing G.S. sheets gutters with purlins. </t>
  </si>
  <si>
    <t>12.15</t>
  </si>
  <si>
    <t xml:space="preserve">Painting top of roofs with bitumen </t>
  </si>
  <si>
    <t xml:space="preserve">Painting top of roofs with bitumen of approved quality @ 17kg per 10 sqm impregnated with a coat of coarse sand at 60 cudm per 10 sqm, including cleaning the slab surface with brushes and finally with a piece of cloth lightly soaked in kerosene oil complete : </t>
  </si>
  <si>
    <t>12.15.1</t>
  </si>
  <si>
    <t xml:space="preserve">With residual type petroleum bitumen of grade VG - 10 </t>
  </si>
  <si>
    <t xml:space="preserve">With residual type petroleum bitumen of grade VG -10 </t>
  </si>
  <si>
    <t>12.16</t>
  </si>
  <si>
    <t xml:space="preserve">10cm thick mud phaska of damped brick earth on roofs laid to slope and covered with tile bricks of class 100 with CM 1:3 </t>
  </si>
  <si>
    <t xml:space="preserve">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t>
  </si>
  <si>
    <t>12.16.1</t>
  </si>
  <si>
    <t xml:space="preserve">With common burnt clay F.P.S.(non modular) brick tile of class designation 10. </t>
  </si>
  <si>
    <t xml:space="preserve">With common burnt clay F.P.S.(non modular) brick tile of class designation 10 </t>
  </si>
  <si>
    <t>12.17</t>
  </si>
  <si>
    <t xml:space="preserve">10cm thick mud phaska of damped brick earth on roofs laid to slope and covered with machine moulded tile bricks of class 125 with CM 1:3 </t>
  </si>
  <si>
    <t xml:space="preserve">10 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(1 cement : 3 fine sand) mixed with 2% of integralwater proofing compound by weight of cement and finished neat. </t>
  </si>
  <si>
    <t>12.17.1</t>
  </si>
  <si>
    <t xml:space="preserve">With machine moulded FPS brick tiles. </t>
  </si>
  <si>
    <t xml:space="preserve">With machine moulded common burnt clay F.P.S. (non modular) brick tiles of class designation 12.5, conforming to IS 2690 </t>
  </si>
  <si>
    <t>12.18</t>
  </si>
  <si>
    <t xml:space="preserve">Extra for every addi 1cm thickness of mud phaska </t>
  </si>
  <si>
    <t xml:space="preserve">Extra for every additional 1 cm thickness of mud phaska. </t>
  </si>
  <si>
    <t>12.19</t>
  </si>
  <si>
    <t xml:space="preserve">P/L brick tiles of class 100 over mumty roofs grouted with CM 1:3 12mm layer of CM 1:3 </t>
  </si>
  <si>
    <t xml:space="preserve">Providing and laying brick tiles over mumty roofs, grouted with cement mortar 1:3 (1 cement : 3 fine sand) mixed with 2% of integral water proofing compound by weight of cement, over 12 mm layer of cement mortar 1:3 (1 cement : 3 fine sand) and finished neat: </t>
  </si>
  <si>
    <t>12.19.1</t>
  </si>
  <si>
    <t xml:space="preserve">With common burnt clay F.P.S. (non modular) brick tiles of class designation 10 </t>
  </si>
  <si>
    <t>12.20</t>
  </si>
  <si>
    <t xml:space="preserve">P/L pressed clay brick tiles on roof laid over 20mm CM 1:4 </t>
  </si>
  <si>
    <t xml:space="preserve">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 </t>
  </si>
  <si>
    <t>12.21</t>
  </si>
  <si>
    <t xml:space="preserve">Providing gola 75x75mm in CC 1:2:4 </t>
  </si>
  <si>
    <t xml:space="preserve">Providing gola 75x75 mm in cement concrete 1:2:4 (1 cement : 2 coarse sand : 4 stone aggregate 10 mm and down gauge), including finishing with cement mortar 1:3 (1 cement : 3 fine sand) as per standard design : </t>
  </si>
  <si>
    <t>12.21.1</t>
  </si>
  <si>
    <t xml:space="preserve">in 75 x 75 chase </t>
  </si>
  <si>
    <t xml:space="preserve">In 75x75 mm deep chase </t>
  </si>
  <si>
    <t>12.22</t>
  </si>
  <si>
    <t xml:space="preserve">Making khurras 45x45cm with min thickness 5cm CC 1:2:4 </t>
  </si>
  <si>
    <t xml:space="preserve">Making khurras 45x45 cm with average minimum thickness of5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 </t>
  </si>
  <si>
    <t>12.23</t>
  </si>
  <si>
    <t xml:space="preserve">Providing sand stone slab for roofing and laying them in CM 1 : 4 over wooden karries or R.C.C. battens : </t>
  </si>
  <si>
    <t xml:space="preserve">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t>
  </si>
  <si>
    <t>12.23.1</t>
  </si>
  <si>
    <t xml:space="preserve">Red sand stone slab : </t>
  </si>
  <si>
    <t xml:space="preserve">Red sand stone slab </t>
  </si>
  <si>
    <t>12.23.1.1</t>
  </si>
  <si>
    <t xml:space="preserve">40 to 50 mm thick </t>
  </si>
  <si>
    <t>12.23.2</t>
  </si>
  <si>
    <t xml:space="preserve">White sand stone slab : </t>
  </si>
  <si>
    <t>12.23.2.1</t>
  </si>
  <si>
    <t>12.24</t>
  </si>
  <si>
    <t xml:space="preserve">P/F insulating board ceiling with n/a nails etc complete </t>
  </si>
  <si>
    <t xml:space="preserve">Providing and fixing insulating board ceiling of approved quality with necessary nails etc. complete (frame work to be paid separately) : </t>
  </si>
  <si>
    <t>12.24.1</t>
  </si>
  <si>
    <t xml:space="preserve">Natural colour insulating board </t>
  </si>
  <si>
    <t>12.24.1.1</t>
  </si>
  <si>
    <t>12.24.2</t>
  </si>
  <si>
    <t xml:space="preserve">White face insulating board </t>
  </si>
  <si>
    <t>12.24.2.1</t>
  </si>
  <si>
    <t>12.24.3</t>
  </si>
  <si>
    <t xml:space="preserve">Flame retardent face insulating board </t>
  </si>
  <si>
    <t xml:space="preserve">Flame retardant face insulating board </t>
  </si>
  <si>
    <t>12.24.3.1</t>
  </si>
  <si>
    <t>12.25</t>
  </si>
  <si>
    <t xml:space="preserve">P/F flat pressed 3 layer particle board (Grade I) in ceiling </t>
  </si>
  <si>
    <t xml:space="preserve">Providing and fixing flat pressed 3 layer medium density particle board or graded particle board (Grade I) IS: 3087 marked, in ceiling with necessary nails etc. complete (frame work to be paid separately): </t>
  </si>
  <si>
    <t>12.25.1</t>
  </si>
  <si>
    <t>12.26</t>
  </si>
  <si>
    <t xml:space="preserve">P/F plain multipurpose cement board in ceiling </t>
  </si>
  <si>
    <t xml:space="preserve">Providing and fixing plain multipurpose cement board(Hight pressure steam cured) with suitable screws for cement particle board in ceiling etc. complete (frame work to be paid seperatately). </t>
  </si>
  <si>
    <t>12.26.1</t>
  </si>
  <si>
    <t xml:space="preserve">6 mm thick cement board </t>
  </si>
  <si>
    <t xml:space="preserve">6 mm thick Cement fiber board, Type-B, Category-III as per IS: 14862 : 2000 </t>
  </si>
  <si>
    <t>12.26.2</t>
  </si>
  <si>
    <t xml:space="preserve">6 mm thick Cement bonded wood particle board as per IS:14276 </t>
  </si>
  <si>
    <t>12.27</t>
  </si>
  <si>
    <t xml:space="preserve">Extra for Circular cutting and waste in ceiling with </t>
  </si>
  <si>
    <t xml:space="preserve">Extra for Circular cutting including wastages in ceiling with: </t>
  </si>
  <si>
    <t>12.27.1</t>
  </si>
  <si>
    <t xml:space="preserve">2nd class teak wood planks 20 mm thick </t>
  </si>
  <si>
    <t>12.27.2</t>
  </si>
  <si>
    <t>12.27.2.1</t>
  </si>
  <si>
    <t>12.27.3</t>
  </si>
  <si>
    <t xml:space="preserve">White face insulating board: </t>
  </si>
  <si>
    <t>12.27.3.1</t>
  </si>
  <si>
    <t>12.27.4</t>
  </si>
  <si>
    <t xml:space="preserve">Flame retardant face insulating board: </t>
  </si>
  <si>
    <t>12.27.4.1</t>
  </si>
  <si>
    <t>12.27.5</t>
  </si>
  <si>
    <t xml:space="preserve">Standard quality hard board sheet </t>
  </si>
  <si>
    <t xml:space="preserve">Standard quality hard board sheet: </t>
  </si>
  <si>
    <t>12.27.5.1</t>
  </si>
  <si>
    <t xml:space="preserve">3 mm thick </t>
  </si>
  <si>
    <t>12.27.5.2</t>
  </si>
  <si>
    <t xml:space="preserve">4.5 mm thick </t>
  </si>
  <si>
    <t>12.28</t>
  </si>
  <si>
    <t xml:space="preserve">Extra for P/F ceiling to curved surfaces in narrow widths </t>
  </si>
  <si>
    <t xml:space="preserve">Extra for providing and fixing ceiling to curved surfaces in narrow widths </t>
  </si>
  <si>
    <t>12.31</t>
  </si>
  <si>
    <t xml:space="preserve">Providing 10 mm thick plaster of Paris (gypsum anhydrous) ceiling :- </t>
  </si>
  <si>
    <t xml:space="preserve">Providing 10 mm thick plaster of Paris (gypsum anhydrous) ceiling up to a height of 5 m above floor level, over first class kail wood strips 25x6 mm with 10 mm gap in between and reinforced with rabbit wire mesh fixed to wooden frame (frame work to be paid separately): </t>
  </si>
  <si>
    <t>12.31.1</t>
  </si>
  <si>
    <t xml:space="preserve">Flat surfaces. </t>
  </si>
  <si>
    <t xml:space="preserve">Flat surfaces </t>
  </si>
  <si>
    <t>12.31.2</t>
  </si>
  <si>
    <t xml:space="preserve">Curved surfaces. </t>
  </si>
  <si>
    <t xml:space="preserve">Curved surfaces </t>
  </si>
  <si>
    <t>12.32</t>
  </si>
  <si>
    <t xml:space="preserve">Extra for any sunk or raised mouldings in the plaster of Paris (Gypsum anhydrous) ceiling. </t>
  </si>
  <si>
    <t xml:space="preserve">Extra for sunk or raised mouldings in the plaster of Paris (Gypsum anhydrous) ceiling. </t>
  </si>
  <si>
    <t>12.33</t>
  </si>
  <si>
    <t xml:space="preserve">Extra for providing plaster of Paris (Gypsum anhydrous) ceil- ing above 5 m height from floor level </t>
  </si>
  <si>
    <t xml:space="preserve">Extra for providing plaster of Paris (Gypsum anhydrous) ceiling above 5 metres height from floor level. </t>
  </si>
  <si>
    <t xml:space="preserve">sqm per metre height                      </t>
  </si>
  <si>
    <t>12.34</t>
  </si>
  <si>
    <t xml:space="preserve">P/F thermal insulation ceiling with resin bonded fiber glass wool density 24 Kg/m3, 50 mm thick </t>
  </si>
  <si>
    <t xml:space="preserve">Providing fixing thermal insulation of ceiling (under deck insulation) with Resin Bonded Fibre glass wool conforming to IS : 8183, density 24kg / m3, 50 mm thick, wrapped in 200 G Virgin Polythene bags, fixed to ceiling with metallic cleats (50x50x3 mm) @ 60 cm and wire mesh of 12.5 mm x 24 gauge wire mesh, for top most ceiling of building. </t>
  </si>
  <si>
    <t>12.35</t>
  </si>
  <si>
    <t xml:space="preserve">P/F thermal insulation with resin bonded fiber glass wool Density 16Kg/m3 50mm thick </t>
  </si>
  <si>
    <t xml:space="preserve">Providing and fixing thermal insulation with Resin Bonded Fibre glass wool conforming to IS: 8183. Density 16 kg/m°, 50 mm thick, wrapped in 200G Virgin Polythene bags placed over existing false ceiling and held in position by criss-crossing GI wire. </t>
  </si>
  <si>
    <t>12.36</t>
  </si>
  <si>
    <t xml:space="preserve">Thermal Insulation of roofing with Expanded polystyrene fixed with suitable adhesive: </t>
  </si>
  <si>
    <t xml:space="preserve">Thermal Insulation of roofing with Expanded polystyrene fixed with suitable adhesive to the false ceiling as per the directions of the Engineer- in-charge: </t>
  </si>
  <si>
    <t>12.36.1</t>
  </si>
  <si>
    <t xml:space="preserve">With Type N-Normal 50 mm thick. </t>
  </si>
  <si>
    <t xml:space="preserve">With Type N - Normal 50 mm thick </t>
  </si>
  <si>
    <t>12.36.2</t>
  </si>
  <si>
    <t xml:space="preserve">With type SE- self Extinguishing type 50 mm thick. </t>
  </si>
  <si>
    <t xml:space="preserve">With Type SE - Self Extinguishing type 50 mm thick </t>
  </si>
  <si>
    <t>12.37</t>
  </si>
  <si>
    <t xml:space="preserve">P/F 100mm dia rain water spout </t>
  </si>
  <si>
    <t xml:space="preserve">Providing and fixing 100 mm diameter and 60 cm long rain water spout in cement mortar 1:4 (1 cement : 4 fine sand). </t>
  </si>
  <si>
    <t>12.37.1</t>
  </si>
  <si>
    <t xml:space="preserve">SW spout </t>
  </si>
  <si>
    <t xml:space="preserve">Stone ware spout </t>
  </si>
  <si>
    <t xml:space="preserve">One Each                                  </t>
  </si>
  <si>
    <t>12.38</t>
  </si>
  <si>
    <t xml:space="preserve">P/F M.S. holder bat clamps to C.I. or S.C.I. rain water pipes </t>
  </si>
  <si>
    <t xml:space="preserve">Providing and fixing M.S. holder bat clamps of approved design to C.I. or S.C.I. rain water pipes embedded in and including cement concrete blocks 10x10x10 cm of 1:2:4 mix (1 cement : 2 coarse sand : 4 gradedstone aggregate 20 mm nominal size) and cost of cutting holes and making good the walls etc. : </t>
  </si>
  <si>
    <t>12.38.1</t>
  </si>
  <si>
    <t xml:space="preserve">For 100 mm diametre pipe . </t>
  </si>
  <si>
    <t xml:space="preserve">100 mm diameter </t>
  </si>
  <si>
    <t>12.38.2</t>
  </si>
  <si>
    <t xml:space="preserve">For 150 mm dia. pipes. </t>
  </si>
  <si>
    <t xml:space="preserve">150 mm diameter </t>
  </si>
  <si>
    <t>12.39</t>
  </si>
  <si>
    <t xml:space="preserve">Providing lead caulked joints to SCI RWP and fittings: </t>
  </si>
  <si>
    <t xml:space="preserve">Providing lead caulked joints to sand cast iron rain water pipes and fittings: </t>
  </si>
  <si>
    <t>12.39.1</t>
  </si>
  <si>
    <t xml:space="preserve">100 mm dia. pipe. </t>
  </si>
  <si>
    <t xml:space="preserve">100 mm dia. Pipe </t>
  </si>
  <si>
    <t>12.39.2</t>
  </si>
  <si>
    <t xml:space="preserve">150 dia. pipe. </t>
  </si>
  <si>
    <t xml:space="preserve">150 mm dia. Pipe </t>
  </si>
  <si>
    <t>12.40</t>
  </si>
  <si>
    <t xml:space="preserve">P/F/E SCI accessories for RWP </t>
  </si>
  <si>
    <t xml:space="preserve">Providing, fixing and embedding sand cast iron accessories for rain water pipes in the masonry surrounded with 12 mm thick cement mortar of the same mix, as that of masonry (lead caulking will be paid for separately): </t>
  </si>
  <si>
    <t>12.40.1</t>
  </si>
  <si>
    <t xml:space="preserve">Sand cast iron plain shoes : </t>
  </si>
  <si>
    <t>12.40.1.1</t>
  </si>
  <si>
    <t>12.41</t>
  </si>
  <si>
    <t xml:space="preserve">P/F embedding SCI accessories for RWP in the masonry surrounded with 12 mm thick CM: </t>
  </si>
  <si>
    <t xml:space="preserve">Providing and fixing on wall face unplasticised Rigid PVC rain water pipes conforming to IS : 13592 Type A, including jointing with seal ring conforming to IS : 5382, leaving 10 mm gap for thermal expansion, (i) Single socketed pipes. </t>
  </si>
  <si>
    <t xml:space="preserve">(i)Single socketed pipes. </t>
  </si>
  <si>
    <t>12.41.1</t>
  </si>
  <si>
    <t xml:space="preserve">75 mm diametre. </t>
  </si>
  <si>
    <t xml:space="preserve">75 mm diameter </t>
  </si>
  <si>
    <t>12.41.2</t>
  </si>
  <si>
    <t xml:space="preserve">110 mm diametre. </t>
  </si>
  <si>
    <t xml:space="preserve">110 mm diameter </t>
  </si>
  <si>
    <t>12.42</t>
  </si>
  <si>
    <t xml:space="preserve">P/F on wall face unplasticised PVC moulded fittings for rain water pipes including jointing with seal ring : </t>
  </si>
  <si>
    <t xml:space="preserve">Providing and fixing on wall face unplasticised - PVC moulded fittings/accessories for unplasticised Rigid PVC rain water pipes conforming to IS 13592 Type A, including jointing with seal ring conforming to IS : 5382, leaving 10 mm gap for thermal expansion. </t>
  </si>
  <si>
    <t>12.42.1</t>
  </si>
  <si>
    <t xml:space="preserve">Coupler : </t>
  </si>
  <si>
    <t xml:space="preserve">Coupler </t>
  </si>
  <si>
    <t>12.42.1.1</t>
  </si>
  <si>
    <t>12.42.1.2</t>
  </si>
  <si>
    <t xml:space="preserve">110 mm. </t>
  </si>
  <si>
    <t xml:space="preserve">110mm </t>
  </si>
  <si>
    <t>12.42.2</t>
  </si>
  <si>
    <t xml:space="preserve">Single pushfit coupler : </t>
  </si>
  <si>
    <t xml:space="preserve">Single pushfit Coupler : </t>
  </si>
  <si>
    <t>12.42.2.1</t>
  </si>
  <si>
    <t>12.42.2.2</t>
  </si>
  <si>
    <t>12.42.3</t>
  </si>
  <si>
    <t xml:space="preserve">Single tee with door: </t>
  </si>
  <si>
    <t xml:space="preserve">Single tee with door </t>
  </si>
  <si>
    <t>12.42.3.1</t>
  </si>
  <si>
    <t xml:space="preserve">75 x 75 x 75 mm. </t>
  </si>
  <si>
    <t xml:space="preserve">75x75x75 mm </t>
  </si>
  <si>
    <t>12.42.3.2</t>
  </si>
  <si>
    <t xml:space="preserve">110 x 110 x 110 mm. </t>
  </si>
  <si>
    <t xml:space="preserve">110x110x110 mm </t>
  </si>
  <si>
    <t>12.42.4</t>
  </si>
  <si>
    <t xml:space="preserve">Single tee without door : </t>
  </si>
  <si>
    <t xml:space="preserve">Single tee without door </t>
  </si>
  <si>
    <t>12.42.4.1</t>
  </si>
  <si>
    <t>12.42.4.2</t>
  </si>
  <si>
    <t>12.42.5</t>
  </si>
  <si>
    <t xml:space="preserve">Bend 87.5 degree: </t>
  </si>
  <si>
    <t xml:space="preserve">Bend 87.5° </t>
  </si>
  <si>
    <t>12.42.5.1</t>
  </si>
  <si>
    <t xml:space="preserve">75 mm bend. </t>
  </si>
  <si>
    <t xml:space="preserve">75 mm bend </t>
  </si>
  <si>
    <t>12.42.5.2</t>
  </si>
  <si>
    <t xml:space="preserve">110 mm bend. </t>
  </si>
  <si>
    <t xml:space="preserve">110 mm bend </t>
  </si>
  <si>
    <t>12.42.6</t>
  </si>
  <si>
    <t xml:space="preserve">Shoe plain : </t>
  </si>
  <si>
    <t xml:space="preserve">Shoe (Plain) </t>
  </si>
  <si>
    <t>12.42.6.1</t>
  </si>
  <si>
    <t xml:space="preserve">75 mm Shoe </t>
  </si>
  <si>
    <t>12.42.6.2</t>
  </si>
  <si>
    <t xml:space="preserve">110 mm shoe. </t>
  </si>
  <si>
    <t xml:space="preserve">110 mm Shoe </t>
  </si>
  <si>
    <t>12.43</t>
  </si>
  <si>
    <t xml:space="preserve">P/F unplasticised P.V.C pipes clips design to unplasticised P.V.C rain water pipes and fixing in C.M 1 : 4 coarse sand : </t>
  </si>
  <si>
    <t xml:space="preserve">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t>
  </si>
  <si>
    <t>12.43.1</t>
  </si>
  <si>
    <t xml:space="preserve">For 75 mm dia. pipes . </t>
  </si>
  <si>
    <t>12.43.2</t>
  </si>
  <si>
    <t xml:space="preserve">For 110 mm dia. pipes . </t>
  </si>
  <si>
    <t xml:space="preserve">110 mm </t>
  </si>
  <si>
    <t>12.44</t>
  </si>
  <si>
    <t xml:space="preserve">P/F to the inlet mouth of rain water pipe cast iron grating 15 cm diametre. </t>
  </si>
  <si>
    <t xml:space="preserve">Providing and fixing to the inlet mouth of rain water pipe cast iron grating 15 cm diameter and weighing not less than 440 grams. </t>
  </si>
  <si>
    <t>12.45</t>
  </si>
  <si>
    <t xml:space="preserve">P/F at all height false ceil- ing of i/c P/F of frame work made of special sections power pressed from M.S. sheet and galvanised in accordance with zinc coating 600 asper IS:277: </t>
  </si>
  <si>
    <t xml:space="preserve">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 mm, at 1200 mm centre to centre, one flange fixed to the ceiling with dash fastener 12.5 mm dia x 50 mm long with 6 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t>
  </si>
  <si>
    <t xml:space="preserve">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t>
  </si>
  <si>
    <t>12.45.1</t>
  </si>
  <si>
    <t xml:space="preserve">12.5 mm thick tapered edge gypsum board conforming to IS: 2095, Part-I. </t>
  </si>
  <si>
    <t xml:space="preserve">12.5 mm thick tapered edge gypsum plain board conforming to IS: 2095- (Part I) : 2011 (Board with BIS certification marks) </t>
  </si>
  <si>
    <t>12.45.2</t>
  </si>
  <si>
    <t xml:space="preserve">12.5 mm thick tapered edge gypsum fire resistant board conforming to IS: 2095- Part I. </t>
  </si>
  <si>
    <t xml:space="preserve">12.5 mm thick tapered edge Glass Reinforced Gypsum (GRG) board conforming to IS: 2095- (Part 3) : 1996 (Board with BIS certification marks) </t>
  </si>
  <si>
    <t>12.45.3</t>
  </si>
  <si>
    <t xml:space="preserve">12.5 mm thick tapered edge gypsum moisture resistant board. </t>
  </si>
  <si>
    <t>12.45.4</t>
  </si>
  <si>
    <t xml:space="preserve">Fully Perforated Gypsum Plaster Board of size 1200 x 2400x12.5 mm having approx. </t>
  </si>
  <si>
    <t xml:space="preserve">Fully Perforated Gypsum Plaster Board of size 1200 x 2400 x 12.5 mm having approx. 15 % perforated area with perforation size and pattern as approved by the Engineer-in-charge and as per manufacturer's specification, with all 4 sides tapered and backed by acoustical tissue with NRC value not less than 0.60. </t>
  </si>
  <si>
    <t>12.46</t>
  </si>
  <si>
    <t xml:space="preserve">P/F to inlet mout of rain water pipe PTMT grating square (Silt) 150 mm Sqm with a height of 8 mm and weighing not less than 100 Grams(Prayagorequivalent). </t>
  </si>
  <si>
    <t xml:space="preserve">Providing and fixing to the inlet mouth of rain water pipe PTMT (an Engineering Thermoplastic) grating square (Slit) 150 mm square with a height of 8 mm and weighing not less than 100 gms. </t>
  </si>
  <si>
    <t>12.47</t>
  </si>
  <si>
    <t xml:space="preserve">P/F UV stabilised fiber glass reinforced plastic sheet roofing upto any pitch i/c fixing J or L hooks, bolts &amp; nuts 8 mm dia.: </t>
  </si>
  <si>
    <t xml:space="preserve">Providing &amp; fixing UV stabilised fiberglass reinforced plastic sheet roofing up to any pitch, including fixing with polymer coated ‘J’ or ‘L’ hooks, bolts &amp; nuts 8 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t>
  </si>
  <si>
    <t>12.47.1</t>
  </si>
  <si>
    <t xml:space="preserve">2 mm thick corrugated (2.5" or 4.2" or 6") or step-down (2"or3"or 6") as specified. </t>
  </si>
  <si>
    <t xml:space="preserve">2 mm thick corrugated (2.5” or 4.2” or 6”) or step-down (2” or 3” or 6” ) as specified </t>
  </si>
  <si>
    <t>12.47.2</t>
  </si>
  <si>
    <t xml:space="preserve">2 mm thick flat. </t>
  </si>
  <si>
    <t xml:space="preserve">2mm thick flat. </t>
  </si>
  <si>
    <t>12.48</t>
  </si>
  <si>
    <t xml:space="preserve">P/F pressed clay tile (Mangalore tile) 20 mm thick, approved pattern ceiling on steel frame. </t>
  </si>
  <si>
    <t xml:space="preserve">Providing &amp; fixing on roof pressed clay tile (Mangalore tile) of 20 mm nominal thickness and of approved size and as per approved pattern on steel frame work complete (steel frame work to be paid separately). </t>
  </si>
  <si>
    <t>12.49</t>
  </si>
  <si>
    <t xml:space="preserve">P/L pressed clay tile ridge (Mangalore tile) 20mm thick of approved pattern ceiling over steel frame. </t>
  </si>
  <si>
    <t xml:space="preserve">Providing &amp; laying on roof pressed clay tile ridge (Mangalore tile) of 20 mm thickness and of approved pattern on steel frame work complete (steel frame work to be paid separately). </t>
  </si>
  <si>
    <t>12.50</t>
  </si>
  <si>
    <t xml:space="preserve">Providing and fixing precoated galvanised iron profile sheets (size, shape and pitch of corrugation as approved by Engineer-in-Charge) of total coated thickness 0.50mm (base metal of minimum 0.45mm thickness with total coating thickness of 0.05mm) with zinc coating 120 grams per sqm as per IS:277,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 charge. The sheet shall be fixed using self drilling /self tapping screws of size (5.5x 55 mm) with EPDM seal, complete upto any pitch in horizontal/ vertical or curved surfaces, excluding the cost of purlins, rafters and trusses and including cutting to size and shape wherever required. </t>
  </si>
  <si>
    <t xml:space="preserve">Providing and fixing precoated galvanised iron profile sheets (size, shape and pitch of corrugation as approved by Engineer-in-Charge) of total coated thickness 0.50 mm (base metal of minimum 0.45 mm thickness with total coating thickness of 0.05mm)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Engineer-in-charge. The sheet shall be fixed using self drilling /seIf tapping screws of size (5.5x 55 mm) with EPDM seal, complete upto any pitch in horizontal/ vertical or curved surfaces, excluding the cost of purlins, rafters and trusses and including cutting to size and shape wherever required. </t>
  </si>
  <si>
    <t>12.51</t>
  </si>
  <si>
    <t xml:space="preserve">Providing and fixing precoated galvanised steel sheet roofing accessories of total coated thickness 0.50mm (base metal of minimum 0.45mm thickness with total coating thickness of 0.05mm) with Zinc coating 120 grams per sqm as per IS: 277, in 240 mpa steel grade, 5-7 microns epoxy primer on both side of the sheet and polyester top coat 15-18 microns using self drilling/ self tapping screws complete: </t>
  </si>
  <si>
    <t xml:space="preserve">Providing and fixing precoated galvanised steel sheet roofing accessories of total coated thickness 0.50 mm (base metal of minimum 0.45 mm thickness with total coating thickness of 0.05 mm) with Zinc coating 120 gram per sqm as per IS: 277, in 240 mpa steel grade, 5-7 microns epoxy primer on both side of the sheet and polyester top coat 15-18 microns using self drilling/ self tapping screws complete : </t>
  </si>
  <si>
    <t>12.51.1</t>
  </si>
  <si>
    <t xml:space="preserve">Ridges plain (500 - 600mm) </t>
  </si>
  <si>
    <t>12.51.2</t>
  </si>
  <si>
    <t xml:space="preserve">Flashings/ Aprons.( Upto 600 mm) </t>
  </si>
  <si>
    <t>12.51.3</t>
  </si>
  <si>
    <t>12.51.4</t>
  </si>
  <si>
    <t xml:space="preserve">Barge board (Upto 300 mm) </t>
  </si>
  <si>
    <t>12.51.5</t>
  </si>
  <si>
    <t xml:space="preserve">Crimp curve </t>
  </si>
  <si>
    <t>12.51.6</t>
  </si>
  <si>
    <t xml:space="preserve">Gutter (600 mm over all girth) </t>
  </si>
  <si>
    <t>12.52</t>
  </si>
  <si>
    <t xml:space="preserve">P/F tiled false ceiling of size 595x595 mm grid of hot dipped GS sections as directed by Engineer-in-charge. </t>
  </si>
  <si>
    <t xml:space="preserve">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t>
  </si>
  <si>
    <t xml:space="preserve">Main "T" runners to be suspended from ceiling using GI slotted cleats of size 27 x 37 x 25 x1.6 mm fixed to ceiling with 12.5 mm dia and 50 mm long dash fasteners, 4 mm GI adjustable rods with galvanised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t>
  </si>
  <si>
    <t>12.52.1</t>
  </si>
  <si>
    <t xml:space="preserve">P/F false ceiling tiles of approved materials of size 595 x 595 mm in tru horizontal level suspended on interlocking metal grid of hot dipped galvanised steel sections. </t>
  </si>
  <si>
    <t xml:space="preserve">GI Metal Ceiling Lay in plain Tegular edge Global white color tiles of size 595x595 mm, and 0.5 mm thick with 8 mm drop; made of G I sheet having galvanizing of 100 gms/sqm (both sides inclusive) and electro statically polyester powder coated of thickness 60 microns (minimum), including factory painted after bending. </t>
  </si>
  <si>
    <t>12.52.2</t>
  </si>
  <si>
    <t xml:space="preserve">GI Metal Ceiling Lay in perforated Tegular edge global white color tiles of size 595x595 mm and 0.5mm thick with 8mmdrop; </t>
  </si>
  <si>
    <t xml:space="preserve">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thickness60 microns (minimum), including factory painted after bending and perforation and backed with a black Glass fiber acoustical fleece. </t>
  </si>
  <si>
    <t>12.52.3</t>
  </si>
  <si>
    <t xml:space="preserve">12.5mm thick square edge PVC Laminated Gypsum Tile of size 595x595mm, made of Gypsum plasterboard; </t>
  </si>
  <si>
    <t xml:space="preserve">12.5 mm thick square edge PVC Laminated Gypsum Tile of size 595x595 mm, made of Gypsum plasterboard, manufactured from natural gypsum as per IS 2095 part I and laminated with white 0.16 mm thick fire retardant PVC film on the face side and 12 micron metalized polyester on the back side with all edges sealed with the face side PVC film which goes around and wraps the edges and is bonded to the edges and the back side metalized polyester film so as to make the tile a completely sealed unit. </t>
  </si>
  <si>
    <t>12.52.4</t>
  </si>
  <si>
    <t xml:space="preserve">12.5 mm thick fully Perforated Gypsum Board tile </t>
  </si>
  <si>
    <t xml:space="preserve">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0.79,with 50 mm resin bonded glass wool backing. </t>
  </si>
  <si>
    <t>12.53</t>
  </si>
  <si>
    <t xml:space="preserve">P/F Prassed clay tiles (Mangalore tiles) in CM 1:3... </t>
  </si>
  <si>
    <t xml:space="preserve">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 ’T’ at 600 mm centre to centre to form a grid of 1200x600 mm and secondary cross ‘T’ of length 600 mm and size 24 x 28 mm made of 0.33 mm thick (Minimum) sheet to be inter locked at middle of the 1200x 600 mm panel to from grid of size 600x600 mm, resting on periphery walls /partitions on a Perimeter wall angle pre-coated steel of size (24x24x3000 mm made of 0.40 mm thick (minimum) sheet with the help of rawl plugs at 450 mm centre to centre with 25 mm long dry wall screws @ 230 mm interval and laying 15 mm thick densified edges calcium silicate ceiling tiles of approved texture in the grid, including, cutting/ making opening “for services like diffusers, grills, light fittings, fixtures, smoke detectors etc., wherever required. </t>
  </si>
  <si>
    <t xml:space="preserve">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 sections shall be pre-painted with polyester baked paint, for all heights, as per specifications, drawings and as directed by Engineer-in-Charge. </t>
  </si>
  <si>
    <t xml:space="preserve">Note :- Only calcium silicate false ceiling area will be measured from wall to wall. No deduction shall be made for exposed frames/ opening (cut outs) having area less than 0.30 sqm. The calcium silicate ceiling tile shall have NRC value of 0.50 (Minimum), light reflection &gt; 85%, non- combustible as per B.S. 476 part IV, 100% humidity resistance and also having thermal conductivity &lt;0.043 w/mK. </t>
  </si>
  <si>
    <t>12.54</t>
  </si>
  <si>
    <t xml:space="preserve">P/L pressed clay brick tiles on roof laid over 12 CM 1:3 </t>
  </si>
  <si>
    <t xml:space="preserve">Providing and fixing GI Clip in Metal Ceiling System of 600x600 mm module which includes providing and fixing ‘C’ wall angle of size 20x30x20mm made of 0.5mm thick pre painted steel along the perimeter of the room with help of nylon sleeves and wooden screws at 300 mm center to centre, suspending the main C carrier of size 10x38x10mm made of G.I steel 0.7 mm thick from the soffit with help of soffit cleat 37x27x25x1.6 mm, rawl plugs of size 38x12 mm and C carrier suspension clip and main carrier bracket at 1000 mm c/c. Inverted triangle shaped Spring Tee having height of 24 mm and width of 34 mm made of GI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gms/sqm (both side inclusive), fixing with clip intiles into spring 'T' with : </t>
  </si>
  <si>
    <t>12.54.1</t>
  </si>
  <si>
    <t xml:space="preserve">GI Metal Ceiling Clip in plain Beveled edge global white color tiles of size 600x600 </t>
  </si>
  <si>
    <t xml:space="preserve">GI Metal Ceiling Clip in plain Beveled edge global white color tiles of size 600x600 and 0.5mm thick with 25 mm height, made of G I sheet having galvanizing of 100 gms/sqm (both sides inclusive) and electro statically polyester powder coated of thickness 60 microns (minimum), including factory painted after bending. </t>
  </si>
  <si>
    <t>12.54.2</t>
  </si>
  <si>
    <t xml:space="preserve">GI Metal Ceiling Clip in plain Beveled edge global white color tiles of size 600x600 and 0.5mm thick with 25 mm height, made of G I sheet having galvanizing of 100 gms/sqm (both sides inclusive) and 20% perforation area with 1.8mm dia holes and having NRC of 0.5, electro statically polyester powder coated of thickness 60 microns (minimum), including factory painted after bending and perforation. </t>
  </si>
  <si>
    <t>12.55</t>
  </si>
  <si>
    <t xml:space="preserve">P/F wall face CI accessories for rain water pipes in masonry: </t>
  </si>
  <si>
    <t xml:space="preserve">Providing and fixing Heat Resistant Terrace Tiles (300 mm x 300 mm x 20 mm) with SRI (solar refractive index) &gt; 78, solar reflection &gt;0.70 and initial emittance &gt;0.75 on waterproof and sloped surface of terrace, laid on 20 mm thick cement sand mortar in the ratio of 1:4 (1 cement : 4coarse sand) and grouting the joints with mix of white cement &amp; marble powder in ratio of 1:1, including rubbing and polishing of the surface upto 3 cuts complete, including providing skirting upto 150 mm height along the parapet walls in the same manner. </t>
  </si>
  <si>
    <t>12.56</t>
  </si>
  <si>
    <t xml:space="preserve">P/F on wall face unplasticised PVC rain water pipes including joints with seal ring : </t>
  </si>
  <si>
    <t xml:space="preserve">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 </t>
  </si>
  <si>
    <t>12.57</t>
  </si>
  <si>
    <t xml:space="preserve">P/F thermal insulation with Resin Bonded Fibre glass wool </t>
  </si>
  <si>
    <t xml:space="preserve">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 </t>
  </si>
  <si>
    <t>12.58</t>
  </si>
  <si>
    <t xml:space="preserve">P/F tiled false ceiling 595x595mm </t>
  </si>
  <si>
    <t xml:space="preserve">Providing and fixing tiled false ceiling of approved materials of size 595x595 mm in true horizontal level, suspended on interlocking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t>
  </si>
  <si>
    <t xml:space="preserve">Main "T" runners to be suspended from ceiling using GI slotted cleats of size 27 x 37 x 25 x1.6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 </t>
  </si>
  <si>
    <t>12.58.1</t>
  </si>
  <si>
    <t xml:space="preserve">8 mm thick fully perforated calcium silicate tile </t>
  </si>
  <si>
    <t xml:space="preserve">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(Noise Reduction Coefficient) of 0.85, with 50 mm thick rockwool of 48 kg /cum backing. </t>
  </si>
  <si>
    <t>12.59</t>
  </si>
  <si>
    <t xml:space="preserve">P/F false ceiling power pressed from M.S. sheets </t>
  </si>
  <si>
    <t xml:space="preserve">Providing &amp; fixing false ceiling at all height including providing &amp; fixing of framework made of special section, power pressed from M.S. sheets and galvanised with zinc coating of 120 gms/ sqm (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channels 45 x15 x 0.90mm running at the spacing of 1200 mm c/c, to which the ceiling section 0.5mm thick bottom wedge of 80mm with tapered flanges of 26 mm each having lips of 10.5mm, at 450mm c/c, shall be fixed in a direction perpendicular to G.I intermediate channel with connecting clip made out of 2.64mm dia x 230mm long G.I. </t>
  </si>
  <si>
    <t xml:space="preserve">wire at every junction, including fixing perimeter channels 0.50mm thick 27mm high having flanges of 20mm and 30mm long, the perimeter of ceiling fixed to wall/ partitions with the help of Rawl plugs at 450mm centre, with 25mm long dry wall screws @ 230mm interval, including fixing of Calcium Silicate Board to ceiling section and perimeter channels with the help of dry wall screws of size 3.5 x25mm at 230mm c/c, including jointing &amp; finishing to a flush finish of tapered and square edges of the board with recommended jointing compounds, jointing tapes, 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specification and direction of the Engineer in charge but excluding the cost of painting with: </t>
  </si>
  <si>
    <t>12.59.1</t>
  </si>
  <si>
    <t xml:space="preserve">8 mm thick Calcium Silicate Board </t>
  </si>
  <si>
    <t xml:space="preserve">8 mm thick Calcium Silicate Board made with Calcareous &amp; Siliceous materials reinforced with cellulose fiber manufactured through autoclaving process. </t>
  </si>
  <si>
    <t>12.60</t>
  </si>
  <si>
    <t xml:space="preserve">P/F thermal insulation of ceiling with Resin Bonded Rockwool </t>
  </si>
  <si>
    <t xml:space="preserve">Providing and fixing thermal insulation of ceiling (under deck insulation) with Resin Bonded Rockwool conforming to IS: 8183, density 48 kg/ m3, 50 mm thick, wrapped in 200 G Virgin Polythene bags fixed to ceiling with metallic cleats (50x50x3 mm) @ 60 cm and wire mesh of 12.5mm x 24 gauge wire mesh, for top most ceiling of building. </t>
  </si>
  <si>
    <t>12.61</t>
  </si>
  <si>
    <t xml:space="preserve">P/F thermal insulation - Resin bonded rock wool </t>
  </si>
  <si>
    <t xml:space="preserve">Providing and fixing thermal insulation with Resin bonded rock wool conforming to IS: 8183, density 48 kg/m3, 50 mm thick, wrapped in 200 G virgin Polythene bags placed over existing false ceiling and held in position by criss- crossing GI wire. </t>
  </si>
  <si>
    <t>12.62</t>
  </si>
  <si>
    <t xml:space="preserve">P/F thermal insulation - Resin bonded rock wool having density 48 kg/m3,50 mm thick,wrapped in 200 G Virgin Polythene Bags </t>
  </si>
  <si>
    <t xml:space="preserve">Providing and fixing thermal insulation with Resin Bonded rock wool conforming to IS: 8183, having density 48 kg/m3, 50 mm thick, wrapped in 200 G Virgin Polythene Bags fixed to wall with screw, rawl plug &amp; washers and held and in position by criss crossing GI wire etc. complete as per directions of Engineer-in-Charge. </t>
  </si>
  <si>
    <t>12.63</t>
  </si>
  <si>
    <t xml:space="preserve">P/A High Albedo paint (SRI) 108 </t>
  </si>
  <si>
    <t xml:space="preserve">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strictly as per manufacturer's specifications and as approved by engineer In charge. Surface preparation includes cleaning with metal wire brush to remove all dust, fungus etc., washing with water all complete. The contractor shall give guarantee for the performance of SRI and also the durability of coating, all complete as per direction of Engineer-in-charge. </t>
  </si>
  <si>
    <t>12.64</t>
  </si>
  <si>
    <t xml:space="preserve">Providing &amp; fixing at all heights, levels and locations Mill finishAluminium alloy roofing sheets of alloy IS designation 31500, temperHx8 conforming to IS 737 and dimensions as per IS code 2676 withcharacteristics of good formability and corrosion resistance. Theprofile sheets shall be fixed to truss members in slope or requiredpitch or curvature with Hex cap headed self drilling/tapping Stainlesssteel screws M6, 50 mm long with 3 mm EPDM seal washer etc. allinclusive of labour, scaffolding, T&amp;P and sundries etc. complete asper directions of the Engineer-In-Charge. (Cost of truss/frame workshall be paid separately). </t>
  </si>
  <si>
    <t>12.64.1</t>
  </si>
  <si>
    <t xml:space="preserve">0.56 mm, Aluminium troughed profile with center to center pitch of 200 mm, depth of 32 mm, overall profile width1092 mm, cover width 1000mm. </t>
  </si>
  <si>
    <t>12.64.2</t>
  </si>
  <si>
    <t xml:space="preserve">0.71 mm, troughed profile with center to center pitch of 200 mm, depth of 32 mm, overall profile width1092 mm,cover width 1000mm. </t>
  </si>
  <si>
    <t>12.64.3</t>
  </si>
  <si>
    <t xml:space="preserve">0.91 mm, troughed profile with center to center pitch of 200 mm, depth of 32 mm, overall profile width1092 mm, cover width 1000mm. </t>
  </si>
  <si>
    <t>12.64.4</t>
  </si>
  <si>
    <t xml:space="preserve">0.56mm Aluminium profile with center to center pitch of175 mm, depth of 46mm, top crest width of 41mm,bottom valley width of 80mm, overall profile width of1144mm, cover width 1050mm. </t>
  </si>
  <si>
    <t>12.64.5</t>
  </si>
  <si>
    <t xml:space="preserve">0.71mm Aluminium profile with center to center pitch of 175 mm, depth of 46mm, top crest width of 41mm, bottom valley width of 80mm, overall profile width of 1144mm, cover width 1050mm. </t>
  </si>
  <si>
    <t>12.64.6</t>
  </si>
  <si>
    <t xml:space="preserve">0.91mm Aluminium profile with center to center pitch of 175 mm, depth of 46mm, top crest width of 41mm, bottom valley width of 80mm, overall profile width of 1144mm, cover width 1050mm. </t>
  </si>
  <si>
    <t>12.64.7</t>
  </si>
  <si>
    <t xml:space="preserve">0.56mm Aluminium Circular (sinusoidal) profile with center to center pitch of 75 mm, depth of 19 mm, overall profile width 1250mm,cover width 1150mm. </t>
  </si>
  <si>
    <t>12.64.8</t>
  </si>
  <si>
    <t xml:space="preserve">0.71mm Aluminium Circular (sinusoidal) profile with center to center pitch of 75 mm, depth of 19 mm, overall profile width 1250mm,cover width 1150mm. </t>
  </si>
  <si>
    <t>12.64.9</t>
  </si>
  <si>
    <t xml:space="preserve">0.91mm Aluminium Circular (sinusoidal) profile with center to center pitch of 75 mm, depth of 19 mm, overall profile width 1250mm,cover width 1150mm. </t>
  </si>
  <si>
    <t>12.65</t>
  </si>
  <si>
    <t xml:space="preserve">P/F Aluminium alloy roofing sheets </t>
  </si>
  <si>
    <t xml:space="preserve">Providing &amp; fixing at all heights, levels and locations colour finish Aluminium alloy roofing sheets of alloy IS designation 31500, temper Hx8 conforming to IS 737 and dimensions as per IS code 2676 with characteristics of good formability and corrosion resistance. Theprofile sheets shall be fixed to truss members in slope or requiredpitch or curvature with Hex cap headed self drilling/tapping Stainlesssteel screws M6, 50 mm long with 3 mm EPDM seal washer etc. allinclusive of labour, scaffolding, T&amp;P and sundries etc. complete asper directions of the Engineer-In-Charge. (Cost of truss/frame workshall be paid separately). </t>
  </si>
  <si>
    <t>12.65.1</t>
  </si>
  <si>
    <t xml:space="preserve">0.56 mm, Aluminium Color coated troughed profile with center to center pitch of 200 mm, depth of 32 mm, overall profile width1092 mm, cover width 1000mm. </t>
  </si>
  <si>
    <t>12.65.2</t>
  </si>
  <si>
    <t xml:space="preserve">0.71 mm, Aluminium Color coated troughed profile with center to center pitch of 200 mm, depth of 32 mm, overall profile width1092 mm, cover width 1000mm. </t>
  </si>
  <si>
    <t>12.65.3</t>
  </si>
  <si>
    <t xml:space="preserve">0.91 mm, Aluminium Color coated troughed profile with center to center pitch of 200 mm, depth of 32 mm, overall profile width1092 mm, cover width 1000mm. </t>
  </si>
  <si>
    <t>12.65.4</t>
  </si>
  <si>
    <t xml:space="preserve">0.56mm Aluminium color profile with center to center pitch of 175 mm, depth of 46mm, top crest width of 41mm, bottom valley width of 80mm, overall profile width of 1144mm, cover width 1050mm. </t>
  </si>
  <si>
    <t>12.65.5</t>
  </si>
  <si>
    <t xml:space="preserve">0.71mm Aluminium color coated profile with center to center pitch of 175 mm, depth of 46mm, top crest width of 41mm, bottom valley width of 80mm, overall profile width of 1144mm, cover width 1050mm. </t>
  </si>
  <si>
    <t>12.65.6</t>
  </si>
  <si>
    <t xml:space="preserve">0.91mm Aluminium color coated profile with center to center pitch of 175 mm, depth of 46mm, top crest width of 41mm, bottom valley width of 80mm, overall profile width of 1144mm, cover width 1050mm. </t>
  </si>
  <si>
    <t>12.65.7</t>
  </si>
  <si>
    <t xml:space="preserve">0.56 mm Aluminium profile with center to center pitch of 177.5 mm, depth of 28.5 mm, 987mm overall profile width, cover width 900mm </t>
  </si>
  <si>
    <t>12.65.8</t>
  </si>
  <si>
    <t xml:space="preserve">0.71 mm Aluminium profile with center to center pitch of 177.5 mm, depth of 28.5 mm, 987mm overall profile width, cover width 900mm </t>
  </si>
  <si>
    <t>12.66</t>
  </si>
  <si>
    <t xml:space="preserve">P/F Pre-coated colour or mill finish Aluminium Roofing Accessories in 0.71 mm thickness </t>
  </si>
  <si>
    <t xml:space="preserve">Providing and fixing of Pre-coated colour or mill finish Aluminium Roofing Accessories in 0.71 mm thickness ,Alloy 31500 (IS designation) [Aluminium Alloy (AA) 3004 (ISO designation)] For color, coating shall be 5-7 microns epoxy primer on both sides of the sheet and polyester top coat 15-18 microns, using self drilling/ tapping SS screws of size 6 x 50mm with 3mm thick EPDM seal and SS plain washer complete : </t>
  </si>
  <si>
    <t>12.66.1</t>
  </si>
  <si>
    <t xml:space="preserve">Precoated/mill finish aluminium Ridges plain (500- 600mm) </t>
  </si>
  <si>
    <t>12.66.2</t>
  </si>
  <si>
    <t xml:space="preserve">Precoated/mill finish aluminium Flashings/ Aprons (Upto 600 mm) </t>
  </si>
  <si>
    <t>12.66.3</t>
  </si>
  <si>
    <t xml:space="preserve">Precoated/mill finish aluminium North light curves </t>
  </si>
  <si>
    <t>12.66.4</t>
  </si>
  <si>
    <t xml:space="preserve">Precoated/mill finish aluminium Barge board (Upto 200 mm) </t>
  </si>
  <si>
    <t>12.66.5</t>
  </si>
  <si>
    <t xml:space="preserve">Precoated/mill finish aluminium Crimp curve </t>
  </si>
  <si>
    <t>12.66.6</t>
  </si>
  <si>
    <t xml:space="preserve">Precoated/mill finish aluminium Gutter (600 mm over all girth) </t>
  </si>
  <si>
    <t xml:space="preserve">Total of the Sub-Head - Roofing :  </t>
  </si>
  <si>
    <t xml:space="preserve">        Sub-Head : Finishing</t>
  </si>
  <si>
    <t>13.1</t>
  </si>
  <si>
    <t xml:space="preserve">12 mm CP of mix </t>
  </si>
  <si>
    <t xml:space="preserve">12 mm cement plaster of mix : </t>
  </si>
  <si>
    <t>13.1.1</t>
  </si>
  <si>
    <t xml:space="preserve">1 : 4 fine sand. </t>
  </si>
  <si>
    <t xml:space="preserve">1:4 (1 cement: 4 fine sand) </t>
  </si>
  <si>
    <t>13.1.2</t>
  </si>
  <si>
    <t xml:space="preserve">1 : 6 fine sand. </t>
  </si>
  <si>
    <t xml:space="preserve">1:6 (1 cement: 6 fine sand) </t>
  </si>
  <si>
    <t>13.2</t>
  </si>
  <si>
    <t xml:space="preserve">15 mm CP of mix </t>
  </si>
  <si>
    <t xml:space="preserve">15 mm cement plaster on the rough side of single or half brick wall of mix : </t>
  </si>
  <si>
    <t>13.2.1</t>
  </si>
  <si>
    <t>13.2.2</t>
  </si>
  <si>
    <t>13.3</t>
  </si>
  <si>
    <t xml:space="preserve">20 mm CP of mix </t>
  </si>
  <si>
    <t xml:space="preserve">20 mm cement plaster of mix : </t>
  </si>
  <si>
    <t>13.3.1</t>
  </si>
  <si>
    <t>13.3.2</t>
  </si>
  <si>
    <t>13.4</t>
  </si>
  <si>
    <t>13.4.1</t>
  </si>
  <si>
    <t xml:space="preserve">1 : 4 coarse sand . </t>
  </si>
  <si>
    <t xml:space="preserve">1:4 (1 cement: 4 coarse sand) </t>
  </si>
  <si>
    <t>13.4.2</t>
  </si>
  <si>
    <t xml:space="preserve">1 : 6 coarse sand. </t>
  </si>
  <si>
    <t xml:space="preserve">1:6 (1 cement: 6 coarse sand) </t>
  </si>
  <si>
    <t>13.5</t>
  </si>
  <si>
    <t xml:space="preserve">15 mm cement plaster on rough side of single or half brick wall of mix : </t>
  </si>
  <si>
    <t>13.5.1</t>
  </si>
  <si>
    <t xml:space="preserve">1 : 4 coarse sand. </t>
  </si>
  <si>
    <t>13.5.2</t>
  </si>
  <si>
    <t>13.6</t>
  </si>
  <si>
    <t>13.6.1</t>
  </si>
  <si>
    <t xml:space="preserve">1 : 4 Coarse sand. </t>
  </si>
  <si>
    <t>13.6.2</t>
  </si>
  <si>
    <t xml:space="preserve">1 : 6 Coarse sand. </t>
  </si>
  <si>
    <t>13.7</t>
  </si>
  <si>
    <t xml:space="preserve">12 mm CP with neat cement </t>
  </si>
  <si>
    <t xml:space="preserve">12 mm cement plaster finished with a floating coat of neat cement of mix : </t>
  </si>
  <si>
    <t>13.7.1</t>
  </si>
  <si>
    <t xml:space="preserve">1 : 3 fine sand. </t>
  </si>
  <si>
    <t xml:space="preserve">1:3 (1 cement: 3 fine sand) </t>
  </si>
  <si>
    <t>13.7.2</t>
  </si>
  <si>
    <t>13.8</t>
  </si>
  <si>
    <t xml:space="preserve">15 mm CP finished with a floating coat of neat cement of mix </t>
  </si>
  <si>
    <t xml:space="preserve">15 mm cement plaster on rough side of single or half brick wall finished with a floating coat of neat cement of mix : </t>
  </si>
  <si>
    <t>13.8.1</t>
  </si>
  <si>
    <t xml:space="preserve">1 : 3 (fine sand). </t>
  </si>
  <si>
    <t>13.8.2</t>
  </si>
  <si>
    <t xml:space="preserve">1 : 4 (fine sand). </t>
  </si>
  <si>
    <t>13.9</t>
  </si>
  <si>
    <t xml:space="preserve">12 mm CP 1:3 coarse sand with neat finished </t>
  </si>
  <si>
    <t xml:space="preserve">Cement plaster 1:3 (1 cement: 3 coarse sand) finished with a floating coat of neat cement. </t>
  </si>
  <si>
    <t>13.9.1</t>
  </si>
  <si>
    <t xml:space="preserve">12 mm cement plaster. </t>
  </si>
  <si>
    <t xml:space="preserve">12 mm cement plaster </t>
  </si>
  <si>
    <t>13.9.2</t>
  </si>
  <si>
    <t xml:space="preserve">20 mm cement plaster </t>
  </si>
  <si>
    <t>13.10</t>
  </si>
  <si>
    <t xml:space="preserve">15mm cement plaster 1:3 CS finished with a floating coat of neat cement </t>
  </si>
  <si>
    <t xml:space="preserve">15 mm cement plaster 1:3 (1 cement: 3 coarse sand) finished with a floating coat of neat cement on the rough side of single or half brick wall. </t>
  </si>
  <si>
    <t>13.11</t>
  </si>
  <si>
    <t xml:space="preserve">18/12mm CP in two coat CM 1:5/1:6 finished rough with sponge </t>
  </si>
  <si>
    <t xml:space="preserve">18 mm cement plaster in two coats under layer 12 mm thick cement plaster 1:5 (1 cement: 5 coarse sand) finished with a top layer 6mm thick cement plaster 1:6 (1 cement: 6 fine sand). </t>
  </si>
  <si>
    <t>13.12</t>
  </si>
  <si>
    <t xml:space="preserve">18/12 mm CP in two coats 1:5/1:3 finished rough with sponge </t>
  </si>
  <si>
    <t xml:space="preserve">18 mm cement plaster in two coats under layer 12 mm thick cement plaster 1:5 (1 cement: 5 coarse sand) and a top layer 6 mm thick cement plaster 1:3 (1 cement: 3 coarse sand) finished rough with sponge. </t>
  </si>
  <si>
    <t>13.13</t>
  </si>
  <si>
    <t xml:space="preserve">12 mm CP 1:2 (1 cement : 2 stone dust) </t>
  </si>
  <si>
    <t xml:space="preserve">12 mm cement plaster 1:2 (1 cement: 2 stone dust) </t>
  </si>
  <si>
    <t>13.14</t>
  </si>
  <si>
    <t xml:space="preserve">15mm CP 1:2 (1 cement : 2 stone dust) on the rough side of single or half brick wall </t>
  </si>
  <si>
    <t xml:space="preserve">15 mm cement plaster 1:2 (1 cement: 2 stone dust) on the rough side of single or half brick wall. </t>
  </si>
  <si>
    <t>13.15</t>
  </si>
  <si>
    <t xml:space="preserve">20 mm CP 1:2 (1 cement : 2 stone dust) </t>
  </si>
  <si>
    <t xml:space="preserve">20 mm cement plaster 1:2 (1 cement: 2 stone dust) </t>
  </si>
  <si>
    <t>13.16</t>
  </si>
  <si>
    <t xml:space="preserve">6 mm CP of mix </t>
  </si>
  <si>
    <t xml:space="preserve">6 mm cement plaster of mix : </t>
  </si>
  <si>
    <t>13.16.1</t>
  </si>
  <si>
    <t xml:space="preserve">1 : 3 fine sand </t>
  </si>
  <si>
    <t>13.17</t>
  </si>
  <si>
    <t xml:space="preserve">6mm CP 1:3 with a floating coat of neat cement </t>
  </si>
  <si>
    <t xml:space="preserve">6 mm cement plaster 1:3 (1 cement: 3 fine sand) finished with a floating coat of neat cement and thick coat of Lime wash on top of walls when dry for bearing of R.C.C. slabs and beams. </t>
  </si>
  <si>
    <t>13.18</t>
  </si>
  <si>
    <t xml:space="preserve">Neat cement punning </t>
  </si>
  <si>
    <t>13.19</t>
  </si>
  <si>
    <t xml:space="preserve">Rough cast plaster upto 10m under layer 12mm CP 1:4 and top layer 10mm CP 1:3 fine sand </t>
  </si>
  <si>
    <t xml:space="preserve">Rough cast plaster upto 10 m height above ground level with a mixture of sand and gravel or crushed stone from 6 mm to 10 mm nominal size, dashed over and including the fresh plaster in two layers, under layer 12mm cement plaster 1:4 (1 cement: 4 coarse sand) and top layer 10 mm cement plaster 1:3 (1 cement: 3 fine sand) mixed with 10% finely grounded hydrated lime by volume of cement. </t>
  </si>
  <si>
    <t>13.19.1</t>
  </si>
  <si>
    <t xml:space="preserve">Ordinary cement. </t>
  </si>
  <si>
    <t xml:space="preserve">Ordinary cement finish using ordinary cement </t>
  </si>
  <si>
    <t>13.20</t>
  </si>
  <si>
    <t xml:space="preserve">Pebble dash plaster upto 10m with a mixture of washed pebble or crushed stone 6 to 12.5 mm n/s size dashed over and i/c fresh plaster in two layer under layer 12 mm CP 1:4 CS and top layer 10 mm CP 1:3 </t>
  </si>
  <si>
    <t xml:space="preserve">Pebble dash plaster upto 10 m height above ground level with a mixture of washed pebble or crushed stone 6mm to 12.5 mm nominal size, dashed over and including fresh plaster in two layers under layer 12 mm cement plaster 1:4 (1 cement: 4 coarse sand) and top layer 10 mm cement plaster with cement mortar 1:3 (1 cement: 3 fine sand) mixed with 10% finely grounded hydrated lime by volume of cement. </t>
  </si>
  <si>
    <t>13.21</t>
  </si>
  <si>
    <t xml:space="preserve">Extra providing and mixing water Proofing material </t>
  </si>
  <si>
    <t xml:space="preserve">Extra for providing and mixing water proofing material in cement plaster work in proportion recommended by the manufacturers. </t>
  </si>
  <si>
    <t xml:space="preserve">Per 50 kg bag of cement used in the mix   </t>
  </si>
  <si>
    <t>13.22</t>
  </si>
  <si>
    <t xml:space="preserve">Extra for plaster on exterior walls above 10 m and every additional height of 3 m </t>
  </si>
  <si>
    <t xml:space="preserve">Extra for plastering exterior walls of height more than 10 m from ground level for every additional height of 3 m or part thereof. </t>
  </si>
  <si>
    <t>13.23</t>
  </si>
  <si>
    <t xml:space="preserve">Extra for plastering on circu- lar work not exceeding 6 m in radius </t>
  </si>
  <si>
    <t xml:space="preserve">Extra for plastering on circular work not exceeding 6 m in radius: </t>
  </si>
  <si>
    <t>13.23.1</t>
  </si>
  <si>
    <t xml:space="preserve">In one coat. </t>
  </si>
  <si>
    <t xml:space="preserve">In one coat </t>
  </si>
  <si>
    <t>13.23.2</t>
  </si>
  <si>
    <t xml:space="preserve">In two coats. </t>
  </si>
  <si>
    <t xml:space="preserve">In two coats </t>
  </si>
  <si>
    <t>13.24</t>
  </si>
  <si>
    <t xml:space="preserve">Extra for plastering done on moulding cornices or architraves </t>
  </si>
  <si>
    <t xml:space="preserve">Extra for plastering done on moulding cornices or architraves including neat finish to line and level: </t>
  </si>
  <si>
    <t>13.24.1</t>
  </si>
  <si>
    <t>13.24.2</t>
  </si>
  <si>
    <t>13.25</t>
  </si>
  <si>
    <t xml:space="preserve">Extra for plastering </t>
  </si>
  <si>
    <t xml:space="preserve">Extra for plastering : </t>
  </si>
  <si>
    <t>13.25.1</t>
  </si>
  <si>
    <t xml:space="preserve">Spherical ceiling. </t>
  </si>
  <si>
    <t xml:space="preserve">Spherical ceiling </t>
  </si>
  <si>
    <t>13.25.2</t>
  </si>
  <si>
    <t xml:space="preserve">Groined ceiling. </t>
  </si>
  <si>
    <t xml:space="preserve">Groined ceiling </t>
  </si>
  <si>
    <t>13.25.3</t>
  </si>
  <si>
    <t xml:space="preserve">Flewing soffits. </t>
  </si>
  <si>
    <t xml:space="preserve">Flewing soffits </t>
  </si>
  <si>
    <t>13.26</t>
  </si>
  <si>
    <t xml:space="preserve">P/F plaster of paris putty of 2mm thickness over plastered surface </t>
  </si>
  <si>
    <t xml:space="preserve">Providing and applying plaster of paris putty of 2 mm thickness over plastered surface to prepare the surface even and smooth complete. </t>
  </si>
  <si>
    <t>13.27</t>
  </si>
  <si>
    <t xml:space="preserve">Extra for lining out plaster to imitate stone or concrete blocks walling </t>
  </si>
  <si>
    <t xml:space="preserve">Extra for lining out plaster to imitate stone or concrete blocks walling. </t>
  </si>
  <si>
    <t>13.28</t>
  </si>
  <si>
    <t xml:space="preserve">12mm thick plain CM bands in CM 1:4 FS </t>
  </si>
  <si>
    <t xml:space="preserve">12 mm thick plain cement mortar bands in cement mortar 1:4 (1 cement: 4 fine sand) : </t>
  </si>
  <si>
    <t>13.28.1</t>
  </si>
  <si>
    <t xml:space="preserve">Flush Band. </t>
  </si>
  <si>
    <t xml:space="preserve">Flush Band </t>
  </si>
  <si>
    <t xml:space="preserve">cm per metre                              </t>
  </si>
  <si>
    <t>13.28.2</t>
  </si>
  <si>
    <t xml:space="preserve">Sunk Band. </t>
  </si>
  <si>
    <t xml:space="preserve">Sunk Band </t>
  </si>
  <si>
    <t>13.28.3</t>
  </si>
  <si>
    <t xml:space="preserve">Raised Band. </t>
  </si>
  <si>
    <t xml:space="preserve">Raised Band </t>
  </si>
  <si>
    <t>13.28.4</t>
  </si>
  <si>
    <t xml:space="preserve">Moulded Band. </t>
  </si>
  <si>
    <t xml:space="preserve">Moulded Band </t>
  </si>
  <si>
    <t>13.29</t>
  </si>
  <si>
    <t xml:space="preserve">18mm thick plain CM band in CM 1:4 FS </t>
  </si>
  <si>
    <t xml:space="preserve">18 mm thick plain cement mortar band in cement mortar 1:4 (1 cement: 4 fine sand): </t>
  </si>
  <si>
    <t>13.29.1</t>
  </si>
  <si>
    <t>13.29.2</t>
  </si>
  <si>
    <t>13.29.3</t>
  </si>
  <si>
    <t>13.29.4</t>
  </si>
  <si>
    <t>13.30</t>
  </si>
  <si>
    <t xml:space="preserve">18 mm thick moulded CM band in two coats </t>
  </si>
  <si>
    <t xml:space="preserve">18 mm thick moulded cement mortar band in two coats under layer 12 mm thick with cement mortar 1:5 (1 cement: 5 coarse sand) top layer 6mm thick with cement mortar 1:4 (1 cement: 4 fine sand). </t>
  </si>
  <si>
    <t>13.31</t>
  </si>
  <si>
    <t xml:space="preserve">Pointing on brick work CM 1:3 fine sand </t>
  </si>
  <si>
    <t xml:space="preserve">Pointing on brick work or brick flooring with cement mortar 1:3 (1 cement: 3 fine sand) : </t>
  </si>
  <si>
    <t>13.31.1</t>
  </si>
  <si>
    <t xml:space="preserve">Flush/ Ruled/ Struck or weathered pointing. </t>
  </si>
  <si>
    <t xml:space="preserve">Flush / Ruled/ Struck or weathered pointing. </t>
  </si>
  <si>
    <t>13.31.2</t>
  </si>
  <si>
    <t xml:space="preserve">Raised and cut pointing. </t>
  </si>
  <si>
    <t xml:space="preserve">Raised and cut pointing </t>
  </si>
  <si>
    <t>13.32</t>
  </si>
  <si>
    <t xml:space="preserve">Pointing on tile brick work with CM 1:3 FS </t>
  </si>
  <si>
    <t xml:space="preserve">Pointing on tile brick work with cement mortar 1:3 (1 cement: 3 fine sand) : </t>
  </si>
  <si>
    <t>13.32.1</t>
  </si>
  <si>
    <t>13.33</t>
  </si>
  <si>
    <t xml:space="preserve">Pointing on stone work with CM 1:3 fine sand </t>
  </si>
  <si>
    <t xml:space="preserve">Pointing on stone work with cement mortar 1:3 (1 cement: 3 fine sand) : </t>
  </si>
  <si>
    <t>13.33.1</t>
  </si>
  <si>
    <t xml:space="preserve">Flush/ Ruled pointing. </t>
  </si>
  <si>
    <t xml:space="preserve">Flush/ Ruled pointing </t>
  </si>
  <si>
    <t>13.33.2</t>
  </si>
  <si>
    <t>13.34</t>
  </si>
  <si>
    <t xml:space="preserve">Raised and cut pointing on stone work in white CM 1 : 3 (1 white cement:3 marble dust) </t>
  </si>
  <si>
    <t xml:space="preserve">Raised and cut pointing on stone work in white cement mortar 1:3 (1 white cement: 3 marble dust) </t>
  </si>
  <si>
    <t>13.35</t>
  </si>
  <si>
    <t xml:space="preserve">Pointing on stone slab ceiling with CM 1:2 FS </t>
  </si>
  <si>
    <t xml:space="preserve">Pointing on stone slab ceiling with cement mortar 1:2 (1 cement: 2 fine sand): </t>
  </si>
  <si>
    <t>13.35.1</t>
  </si>
  <si>
    <t>13.36</t>
  </si>
  <si>
    <t xml:space="preserve">Extra for pointing on walls on the outside at height more than 10 m from GL for every additional height of 3 m or part thereof </t>
  </si>
  <si>
    <t xml:space="preserve">Extra for pointing on walls on the outside at height more than 10 m from ground level for every additional height of 3 m or part there of. </t>
  </si>
  <si>
    <t>13.37</t>
  </si>
  <si>
    <t xml:space="preserve">White washing with lime </t>
  </si>
  <si>
    <t xml:space="preserve">White washing with lime to give an even shade: </t>
  </si>
  <si>
    <t>13.37.1</t>
  </si>
  <si>
    <t xml:space="preserve">On new work 3 or more coats. </t>
  </si>
  <si>
    <t xml:space="preserve">New work (three or more coats) </t>
  </si>
  <si>
    <t>13.38</t>
  </si>
  <si>
    <t xml:space="preserve">Satna lime wash on walls one coat. </t>
  </si>
  <si>
    <t xml:space="preserve">Satna lime wash on walls with one coat </t>
  </si>
  <si>
    <t>13.39</t>
  </si>
  <si>
    <t xml:space="preserve">Colour washing even shade : </t>
  </si>
  <si>
    <t xml:space="preserve">Colour washing such as green, blue or buff to give an even shade : </t>
  </si>
  <si>
    <t>13.39.1</t>
  </si>
  <si>
    <t xml:space="preserve">On new work with lime . </t>
  </si>
  <si>
    <t xml:space="preserve">New work (two or more coats) with a base coat of white washing with lime </t>
  </si>
  <si>
    <t>13.39.2</t>
  </si>
  <si>
    <t xml:space="preserve">New work (two or more coats) with a base coat of whiting. </t>
  </si>
  <si>
    <t xml:space="preserve">New work (two or more coats) with a base coat of whiting </t>
  </si>
  <si>
    <t>13.41</t>
  </si>
  <si>
    <t xml:space="preserve">Distempering with 1st quality acrylic distemper (ready mixed) having VOC content less than 50 gram/litre, of approved manufacturer, of required shade and colour all complete : </t>
  </si>
  <si>
    <t>13.41.1</t>
  </si>
  <si>
    <t xml:space="preserve">New work (two or more coats) over and including water thinnable priming coat with cement primer </t>
  </si>
  <si>
    <t xml:space="preserve">New work (two or more coats) over and including water thinnable priming coat with cement primer having VOC content less than 50 gram/litre </t>
  </si>
  <si>
    <t>13.44</t>
  </si>
  <si>
    <t xml:space="preserve">Finishing walls with water proofing cement paint </t>
  </si>
  <si>
    <t xml:space="preserve">Finishing walls with water proofing cement paint of required shade : </t>
  </si>
  <si>
    <t>13.44.1</t>
  </si>
  <si>
    <t xml:space="preserve">On new work. </t>
  </si>
  <si>
    <t xml:space="preserve">New work (Two or more coats applied @ 3.84 kg/10 sqm). </t>
  </si>
  <si>
    <t>13.45</t>
  </si>
  <si>
    <t xml:space="preserve">Finishing walls with exterior paint of required shade </t>
  </si>
  <si>
    <t xml:space="preserve">Finishing walls with textured exterior paint of required shade : </t>
  </si>
  <si>
    <t>13.45.1</t>
  </si>
  <si>
    <t xml:space="preserve">New work (two or more coats) </t>
  </si>
  <si>
    <t xml:space="preserve">New work (Two or more coats applied @ 3.28 ltr/10 sqm) over and including priming coat of exterior primer applied @2.20kg/10 sqm. </t>
  </si>
  <si>
    <t>13.46</t>
  </si>
  <si>
    <t xml:space="preserve">Finishing walls with Acrylic smooth exterior paint </t>
  </si>
  <si>
    <t xml:space="preserve">Finishing walls with Acrylic Smooth exterior paint of required shade : </t>
  </si>
  <si>
    <t>13.46.1</t>
  </si>
  <si>
    <t xml:space="preserve">New work (Two or more coat applied @ 1.67 ltr/10 sqm over priming coat of exterior primer @ 0.90 litre/10 sqm) </t>
  </si>
  <si>
    <t xml:space="preserve">New work (Two or more coat applied @ 1.67 ltr/10 sqm over and including priming coat of exterior primer applied @ 0.90 litre/10 sqm) </t>
  </si>
  <si>
    <t>13.47</t>
  </si>
  <si>
    <t xml:space="preserve">Finishing walls with Premium Acrylic Smooth Silicone additives of required shade </t>
  </si>
  <si>
    <t xml:space="preserve">Finishing walls with Premium Acrylic Smooth exterior paint with Silicone additives of required shade </t>
  </si>
  <si>
    <t>13.47.1</t>
  </si>
  <si>
    <t xml:space="preserve">New work (Two or more coats applied @ 1.43 ltr/10 sqm over priming coat of exterior primer @ 0.90 litre/10 sqm) </t>
  </si>
  <si>
    <t xml:space="preserve">New work (Two or more coats applied @ 1.43 ltr/10 sqm over and including priming coat of exterior primer applied @ 0.90 litre/10 sqm) </t>
  </si>
  <si>
    <t>13.48</t>
  </si>
  <si>
    <t xml:space="preserve">Finishing walls with Deluxe multi surface paint system </t>
  </si>
  <si>
    <t xml:space="preserve">Finishing with Deluxe Multi surface paint system for interiors and exteriors using Primer as per manufacturers specifications : </t>
  </si>
  <si>
    <t>13.48.1</t>
  </si>
  <si>
    <t xml:space="preserve">Two or more coats </t>
  </si>
  <si>
    <t xml:space="preserve">Two or more coats applied on walls @ 1.25 ltr/10 sqm. over and including one coat of Special primer applied @ 0.75 ltr / 10sqm </t>
  </si>
  <si>
    <t>13.48.2</t>
  </si>
  <si>
    <t xml:space="preserve">Painting wood work with Deluxe Multi surface paint Two or more coat </t>
  </si>
  <si>
    <t xml:space="preserve">Painting wood work with Deluxe Multi Surface Paint of required shade. Two or more coat applied @ 0.90 ltr/10 sqm over an under coat of primer applied @0.75 ltr/ 10 sqm of approved brand or manufacture </t>
  </si>
  <si>
    <t>13.48.3</t>
  </si>
  <si>
    <t xml:space="preserve">Painting steel work with Deluxe Multi surface paint Two or more coat </t>
  </si>
  <si>
    <t xml:space="preserve">Painting Steel work with Deluxe Multi Surface Paint to give an even shade. Two or more coat applied @ 0.90 ltr/10 sqm over an under coat of primer applied @ 0.80 ltr/ 10 sqm of approved brand or manufacture </t>
  </si>
  <si>
    <t>13.48A</t>
  </si>
  <si>
    <t xml:space="preserve">Finishing walls with ready mixed Premium acrylic emulsion paint (Company Depot Tinted) having VOC less than 50 gm/litre and UV resistance as per IS 15489:2004, Alkali &amp; fungal resistance, dirt resistance exterior paint of required shade with silicon additives. </t>
  </si>
  <si>
    <t>13.48A.1</t>
  </si>
  <si>
    <t xml:space="preserve">New work (Two or more coats applied @ 1.43 litre/ 10 sqm over and including priming coat of exterior primer applied @ 0.90 litre/10 sqm. </t>
  </si>
  <si>
    <t>13.50</t>
  </si>
  <si>
    <t xml:space="preserve">Applying priming coat : </t>
  </si>
  <si>
    <t>13.50.2</t>
  </si>
  <si>
    <t xml:space="preserve">With ready mixed aluminium primer. </t>
  </si>
  <si>
    <t xml:space="preserve">With ready mixed aluminium primer of approved brand and manufacture on resinous wood and plywood. </t>
  </si>
  <si>
    <t>13.50.3</t>
  </si>
  <si>
    <t xml:space="preserve">with ready mixed red oxide zinc chromate primer on steel work. </t>
  </si>
  <si>
    <t xml:space="preserve">With ready mixed red oxide zinc chromate primer of approved brand and manufacture on steel galvanised iron/steel works </t>
  </si>
  <si>
    <t>13.50.4</t>
  </si>
  <si>
    <t xml:space="preserve">With ready mixed red oxide zinc chromate primer </t>
  </si>
  <si>
    <t xml:space="preserve">With ready mixed red oxide zinc chromate primer of approved brand and manufacture on steel work (second coat) </t>
  </si>
  <si>
    <t>13.51</t>
  </si>
  <si>
    <t xml:space="preserve">Painting one thin coat with white lead on wet or patchy portion of plastered surface </t>
  </si>
  <si>
    <t xml:space="preserve">Painting with silicon &amp; acrylic emulsion based water thinnable sealer of approved brand and manufacture on wet or patchy portion of plastered surfaces: </t>
  </si>
  <si>
    <t>13.51.1</t>
  </si>
  <si>
    <t xml:space="preserve">One coat </t>
  </si>
  <si>
    <t>13.51.2</t>
  </si>
  <si>
    <t xml:space="preserve">Two coats </t>
  </si>
  <si>
    <t>13.52</t>
  </si>
  <si>
    <t xml:space="preserve">Finishing with Epoxy paint (two or more coats) </t>
  </si>
  <si>
    <t xml:space="preserve">Finishing with Epoxy paint (two or more coats) at all locations prepared and applied as per manufacturer's specifications including appropriate priming coat, preparation of surface, etc. complete. </t>
  </si>
  <si>
    <t>13.52.1</t>
  </si>
  <si>
    <t xml:space="preserve">On steel work. </t>
  </si>
  <si>
    <t xml:space="preserve">On steel work </t>
  </si>
  <si>
    <t>13.52.2</t>
  </si>
  <si>
    <t xml:space="preserve">on conrete work. </t>
  </si>
  <si>
    <t xml:space="preserve">On concrete work </t>
  </si>
  <si>
    <t>13.53</t>
  </si>
  <si>
    <t xml:space="preserve">Painting on GS sheet with synthetic enamel paint </t>
  </si>
  <si>
    <t xml:space="preserve">Painting on G.S. sheet with synthetic enamel paint of approved brand and manufacture of required colour to give an even shade : </t>
  </si>
  <si>
    <t>13.53.1</t>
  </si>
  <si>
    <t xml:space="preserve">New work (2 or more coats) </t>
  </si>
  <si>
    <t xml:space="preserve">New work (two or more coats) including a coat of approved steel primer but excluding a coat of mordant solution. </t>
  </si>
  <si>
    <t>13.54</t>
  </si>
  <si>
    <t xml:space="preserve">Applying a coat of mordant solution on GS sheet </t>
  </si>
  <si>
    <t xml:space="preserve">Applying a coat of mordant solution on G.S. sheet : </t>
  </si>
  <si>
    <t>13.54.1</t>
  </si>
  <si>
    <t xml:space="preserve">With a solution of 38 gms of copper acetate in a litre of soft water. </t>
  </si>
  <si>
    <t xml:space="preserve">With a solution of 38 gms of copper acetate in a litre of soft water </t>
  </si>
  <si>
    <t>13.54.2</t>
  </si>
  <si>
    <t xml:space="preserve">With a solution made of 13gms of hydrochloric acid in a solution of 13 gms each of copper chloride, copper nitrate and ammonium chloride dissolved in a litre of soft water. </t>
  </si>
  <si>
    <t xml:space="preserve">With a solution made of 13 gms of hydrochloric acid in a solution of 13 gms each of copper chloride, copper nitrate and ammonium chloride dissolved in a litre of soft water. </t>
  </si>
  <si>
    <t>13.55</t>
  </si>
  <si>
    <t xml:space="preserve">Painting on rain water, soil, waste and vent pipes with anticorrosive paint including a coat of zinc chromate on new work :- </t>
  </si>
  <si>
    <t xml:space="preserve">Painting (two or more coats) on rain water, soil, waste and vent pipes and fittings with black anticorrosive bitumastic paint of approved brand and manufacture, over and including a priming of ready mixed zinc chromate yellow primer on new work : </t>
  </si>
  <si>
    <t>13.55.1</t>
  </si>
  <si>
    <t xml:space="preserve">100 mm dia. pipe . </t>
  </si>
  <si>
    <t xml:space="preserve">100 mm diameter pipes </t>
  </si>
  <si>
    <t>13.55.2</t>
  </si>
  <si>
    <t xml:space="preserve">150 mm dia. pipe . </t>
  </si>
  <si>
    <t xml:space="preserve">150 mm diameter pipes </t>
  </si>
  <si>
    <t>13.56</t>
  </si>
  <si>
    <t xml:space="preserve">Painting (two or more coats) on rain water, soil, waste &amp; vent pipes and fittings with synthetic enamel paint : </t>
  </si>
  <si>
    <t xml:space="preserve">Painting (two or more coats) on rain water, soil, waste and vent pipes and fittings with synthetic enamel paint of approved brand and manufacture and required colour over a priming coat of approved steel primer on new work. </t>
  </si>
  <si>
    <t>13.56.1</t>
  </si>
  <si>
    <t xml:space="preserve">100 mm diameter pipes. </t>
  </si>
  <si>
    <t>13.56.2</t>
  </si>
  <si>
    <t xml:space="preserve">150 mm diameter pipes. </t>
  </si>
  <si>
    <t>13.57</t>
  </si>
  <si>
    <t xml:space="preserve">Painting with oil type wood preservative : </t>
  </si>
  <si>
    <t xml:space="preserve">Painting with oil type wood preservative of approved brand and manufacture: </t>
  </si>
  <si>
    <t>13.57.1</t>
  </si>
  <si>
    <t xml:space="preserve">New work (two or more coats). </t>
  </si>
  <si>
    <t>13.58</t>
  </si>
  <si>
    <t xml:space="preserve">P/A two coats of fire retardent paint </t>
  </si>
  <si>
    <t xml:space="preserve">Providing and applying two coats of fire retardant paint on cleaned wood/ply surface @ 3.5 sqm per litre per coat including preparation of base surface as per recommendations of manufacturer to make the surface fire retardant. </t>
  </si>
  <si>
    <t>13.59</t>
  </si>
  <si>
    <t xml:space="preserve">Coal tarring two coats on new work </t>
  </si>
  <si>
    <t xml:space="preserve">Coal tarring two coats on new work using 0.16 and 0.12 litre coal tar per sqm in the first coat and second coat respectively. </t>
  </si>
  <si>
    <t>13.61</t>
  </si>
  <si>
    <t xml:space="preserve">Painting with synthetic enamel paint : </t>
  </si>
  <si>
    <t xml:space="preserve">Painting with synthetic enamel paint of approved brand and manufacture to give an even shade : </t>
  </si>
  <si>
    <t>13.61.1</t>
  </si>
  <si>
    <t xml:space="preserve">On new work . </t>
  </si>
  <si>
    <t xml:space="preserve">Two or more coats on new work. </t>
  </si>
  <si>
    <t>13.62</t>
  </si>
  <si>
    <t xml:space="preserve">Painting with synthetic enamel paint of approved brand and manufacture of required colour to give an even shade: </t>
  </si>
  <si>
    <t>13.62.1</t>
  </si>
  <si>
    <t xml:space="preserve">On new work over an under coat of ordinary paint. </t>
  </si>
  <si>
    <t xml:space="preserve">Two or more coats on new work over an under coat of suitable shade with ordinary paint of approved brand and manufacture. </t>
  </si>
  <si>
    <t>13.63</t>
  </si>
  <si>
    <t xml:space="preserve">Painting with aluminium paint: </t>
  </si>
  <si>
    <t xml:space="preserve">Painting with aluminium paint of approved brand and manufacture to give an even shade . </t>
  </si>
  <si>
    <t>13.63.1</t>
  </si>
  <si>
    <t xml:space="preserve">Two or more coats on new work </t>
  </si>
  <si>
    <t>13.64</t>
  </si>
  <si>
    <t xml:space="preserve">Painting with acid proof paint of approved brand : </t>
  </si>
  <si>
    <t xml:space="preserve">Painting with acid proof paint of approved brand and manufacture of required colour to give an even shade: </t>
  </si>
  <si>
    <t>13.64.1</t>
  </si>
  <si>
    <t>13.65</t>
  </si>
  <si>
    <t xml:space="preserve">Painting with black anti- corrosive bitumastic paint: </t>
  </si>
  <si>
    <t xml:space="preserve">Painting with black anti-corrosive bitumastic paint of approved brand and manufacture to give an even shade: </t>
  </si>
  <si>
    <t>13.65.1</t>
  </si>
  <si>
    <t>13.67</t>
  </si>
  <si>
    <t xml:space="preserve">Varnishing with varnish </t>
  </si>
  <si>
    <t xml:space="preserve">Varnishing with varnish of approved brand and manufacture: </t>
  </si>
  <si>
    <t>13.67.1</t>
  </si>
  <si>
    <t xml:space="preserve">Two or more coats of glue sizing with copal varnish </t>
  </si>
  <si>
    <t xml:space="preserve">Two or more coats of glue sizing with copal varnish over an under coat of flatting varnish. </t>
  </si>
  <si>
    <t>13.67.2</t>
  </si>
  <si>
    <t xml:space="preserve">Two or more coats glue sizing with spar varnish </t>
  </si>
  <si>
    <t xml:space="preserve">Two or more coats glue sizing with spar varnish or an under coat of flatting varnish. </t>
  </si>
  <si>
    <t>13.68</t>
  </si>
  <si>
    <t xml:space="preserve">French spirit Polishing: </t>
  </si>
  <si>
    <t xml:space="preserve">French spirit polishing : </t>
  </si>
  <si>
    <t>13.68.1</t>
  </si>
  <si>
    <t xml:space="preserve">On new work </t>
  </si>
  <si>
    <t xml:space="preserve">Two or more coats on new works including a coat of wood filler. </t>
  </si>
  <si>
    <t>13.69</t>
  </si>
  <si>
    <t xml:space="preserve">Polishing on wood work with ready made wax polish : </t>
  </si>
  <si>
    <t xml:space="preserve">Polishing on wood work with ready mixed wax polish of approved brand and manufacture : </t>
  </si>
  <si>
    <t>13.69.1</t>
  </si>
  <si>
    <t xml:space="preserve">New work. </t>
  </si>
  <si>
    <t xml:space="preserve">New work </t>
  </si>
  <si>
    <t>13.70</t>
  </si>
  <si>
    <t xml:space="preserve">Floor polishing </t>
  </si>
  <si>
    <t xml:space="preserve">Floor polishing on masonry or concrete floors with wax polish of approved brand and manufacture. </t>
  </si>
  <si>
    <t>13.71</t>
  </si>
  <si>
    <t xml:space="preserve">Lettering with black Japan paint. </t>
  </si>
  <si>
    <t xml:space="preserve">Lettering with black Japan paint of approved brand and manufacture </t>
  </si>
  <si>
    <t xml:space="preserve">per letter per  cm height                 </t>
  </si>
  <si>
    <t>13.72</t>
  </si>
  <si>
    <t xml:space="preserve">Washed stone grit plaster in two layer </t>
  </si>
  <si>
    <t xml:space="preserve">Washed stone grit plaster on exterior walls of height upto 10 metre above ground level, in two layers, under layer 12mm cement plaster 1:4 (1cement: 4 coarse sand), furrowing the under layer with scratching tool, applying cement slurry on the under layer @ 2 Kg of cement per square metre, top layer 15mm cement plaster 1:1/2:2 (1 cement: 1/2 coarse sand :2 stone chipping 10mm nominal size), in panels with groove all around as per approved pattern, including scrubbing and washing the top layer with brushes and water to expose the stone chippings, complete as per specification and direction of Engineer-in- charge (Payment for providing grooves shall be made separately). </t>
  </si>
  <si>
    <t>13.73</t>
  </si>
  <si>
    <t xml:space="preserve">Forming groove on top layer of washed stone grit plaster </t>
  </si>
  <si>
    <t xml:space="preserve">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t>
  </si>
  <si>
    <t>13.73.1</t>
  </si>
  <si>
    <t xml:space="preserve">15 x 15 mm groove. </t>
  </si>
  <si>
    <t xml:space="preserve">15 mm wide and 15 mm deep groove </t>
  </si>
  <si>
    <t>13.73.2</t>
  </si>
  <si>
    <t xml:space="preserve">20 x 15 mm groove. </t>
  </si>
  <si>
    <t xml:space="preserve">20 mm wide and 15 mm deep groove </t>
  </si>
  <si>
    <t>13.74</t>
  </si>
  <si>
    <t xml:space="preserve">Extra for washed grit plaster above 10m for 3 m or part thereof </t>
  </si>
  <si>
    <t xml:space="preserve">Extra for washed grit plaster on exterior walls of height more than 10m from ground level for every additional height of 3 m or part thereof. </t>
  </si>
  <si>
    <t>13.75</t>
  </si>
  <si>
    <t xml:space="preserve">Extra for washed grit plaster on circular work </t>
  </si>
  <si>
    <t xml:space="preserve">Extra for washed stone grit plaster on circular work not exceeding 6m in radius (in two coats). </t>
  </si>
  <si>
    <t>13.76</t>
  </si>
  <si>
    <t xml:space="preserve">Forming groove on surface of plaster of uniform size 12x12 mm to 25x15 mm size. </t>
  </si>
  <si>
    <t xml:space="preserve">Forming groove of uniform size from 12x12mm and upto 25x15mm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 </t>
  </si>
  <si>
    <t>13.77</t>
  </si>
  <si>
    <t xml:space="preserve">Extra for using white cement in top layers of washed stone grit plaster </t>
  </si>
  <si>
    <t xml:space="preserve">Extra for using white cement in place of ordinary cement in the top layer of the item of washed stone grit plaster. </t>
  </si>
  <si>
    <t>13.78</t>
  </si>
  <si>
    <t xml:space="preserve">P/F applying 12 mm thick (ave) premixed formulated one coat gypsum light weight plaster. </t>
  </si>
  <si>
    <t xml:space="preserve">Providing and applying 12 mm thick (average) premixed formulated one coat gypsum lightweight plaster having additives and light weight aggregates as vermiculite/ per liter respectively conforming to IS: 2547 (Part- 1 &amp; II) 1976, applied on hacked / uneven background such as bare brick/block/ RCC work on walls &amp; ceiling at all floors and locations, finished in smooth line and level etc. complete. </t>
  </si>
  <si>
    <t>13.79</t>
  </si>
  <si>
    <t xml:space="preserve">Extra for addition of synthetic polyester triangular fibre in cement plaster/mortar.. </t>
  </si>
  <si>
    <t xml:space="preserve">Extra for addition of synthetic Polyester triangular fibre of length 6 mm, effective diameter 10-40 microns and specific gravity of 1.34 to 1.40 in cement plaster/mortar by using 125 gms. of synthetic Polyester triangular fibre for 50 Kgs. cement used in cement mortar as per directions of Engineer-in-Charge. </t>
  </si>
  <si>
    <t xml:space="preserve">Per Bag of 50kg of Cement                 </t>
  </si>
  <si>
    <t>13.80</t>
  </si>
  <si>
    <t xml:space="preserve">Providing and applying white cement based putty of average thickness 1 mm, of approved brand and manufacturer, over the plastered wall surface to prepare the surface even and smooth complete. </t>
  </si>
  <si>
    <t>13.81</t>
  </si>
  <si>
    <t xml:space="preserve">Distempering with 1st quality acrylic distemper (ready mixed) having VOC (Volatile Organic Compound ) content less than 50 gram/ litre, of approved brand and of required shade and colour complete to give and even shade. </t>
  </si>
  <si>
    <t>13.81.1</t>
  </si>
  <si>
    <t xml:space="preserve">Old work (one or more coats) </t>
  </si>
  <si>
    <t>13.82</t>
  </si>
  <si>
    <t xml:space="preserve">Wall painting with acrylic emulsion paint, having VOC (Volatile Organic Compound ) content less than 50 grams/ litre, of approved brand and manufacture, including applying additional coats wherever required, to achieve even shade and colour. </t>
  </si>
  <si>
    <t>13.82.1</t>
  </si>
  <si>
    <t xml:space="preserve">One coat. </t>
  </si>
  <si>
    <t>13.82.2</t>
  </si>
  <si>
    <t xml:space="preserve">Two coats. </t>
  </si>
  <si>
    <t>13.83</t>
  </si>
  <si>
    <t xml:space="preserve">Wall painting with premium acrylic emulsion paint of interior grade, having VOC (Volatile Organic Compound ) content less than 50 grams/ litre. of approved brand and manufacture, including applying additional coats wherever required to achieve even shade and colour. </t>
  </si>
  <si>
    <t>13.83.1</t>
  </si>
  <si>
    <t>13.83.2</t>
  </si>
  <si>
    <t>13.85</t>
  </si>
  <si>
    <t xml:space="preserve">Applying priming coats with primer of approved brand and manufacture, having low VOC (Volatile Organic Compound ) content. </t>
  </si>
  <si>
    <t>13.85.1</t>
  </si>
  <si>
    <t xml:space="preserve">With ready mixed pink or grey primer on wood work (hard and soft wood) having VOC content less than 50 grams/ litre. </t>
  </si>
  <si>
    <t>13.85.3</t>
  </si>
  <si>
    <t xml:space="preserve">With water thinnable cement primer on wall surface having VOC content less than 50 grams/litre. </t>
  </si>
  <si>
    <t>13.86</t>
  </si>
  <si>
    <t xml:space="preserve">6 mm plaster on CC or RCC work with white cement based polymer modified self curing mortar. </t>
  </si>
  <si>
    <t xml:space="preserve">6 mm plaster on cement concrete or reinforced cement concrete work with white cement based polymer modified self curing mortar of approved make as per the direction of Engineer-In-Charge. </t>
  </si>
  <si>
    <t>13.87</t>
  </si>
  <si>
    <t xml:space="preserve">White washing with lime to give an even shade : </t>
  </si>
  <si>
    <t>13.87.1</t>
  </si>
  <si>
    <t xml:space="preserve">Old work (two or more coats) . </t>
  </si>
  <si>
    <t>13.87.2</t>
  </si>
  <si>
    <t xml:space="preserve">Old work (one or more coats) . </t>
  </si>
  <si>
    <t>13.88</t>
  </si>
  <si>
    <t xml:space="preserve">Removing white or colour wash by scrapping </t>
  </si>
  <si>
    <t xml:space="preserve">Removing white or colour wash by scrapping and sand papering and preparing the surface smooth including necessary repairs to scratches etc. complete </t>
  </si>
  <si>
    <t>13.91</t>
  </si>
  <si>
    <t xml:space="preserve">Removing dry or oil bound distemper, water proofing cement paint </t>
  </si>
  <si>
    <t xml:space="preserve">Removing dry or oil bound distemper, water proofing cement paint and the like by scrapping, sand papering and preparing the surface smooth including necessary repairs to scratches etc. complete. </t>
  </si>
  <si>
    <t>13.92</t>
  </si>
  <si>
    <t xml:space="preserve">Painting on G.S. sheet with synthetic enamel paint </t>
  </si>
  <si>
    <t>13.92.1</t>
  </si>
  <si>
    <t>13.93</t>
  </si>
  <si>
    <t xml:space="preserve">Painting (two or more coats) on rain water, soil, waste and vent pipes </t>
  </si>
  <si>
    <t xml:space="preserve">Painting (two or more coats) on rain water, soil, waste and vent pipes and fittings with black anticorrosive bitumastic paint of approved brand and manufacture over and including a priming coat of ready mixed zinc chromate yellow primer on new work : </t>
  </si>
  <si>
    <t>13.93.1</t>
  </si>
  <si>
    <t xml:space="preserve">75 mm diameter pipes . </t>
  </si>
  <si>
    <t>13.94</t>
  </si>
  <si>
    <t xml:space="preserve">Painting (one or more coats) on rain water, soil, waste and vent pipes </t>
  </si>
  <si>
    <t xml:space="preserve">Painting (one or more coats) on rain water, soil, waste and vent pipes and fittings with black anticorrosive bitumastic paint of approved brand and manufacture on old work : </t>
  </si>
  <si>
    <t>13.94.1</t>
  </si>
  <si>
    <t>13.94.2</t>
  </si>
  <si>
    <t xml:space="preserve">100 mm diameter pipes . </t>
  </si>
  <si>
    <t>13.94.3</t>
  </si>
  <si>
    <t xml:space="preserve">150 mm diameter pipes . </t>
  </si>
  <si>
    <t>13.95</t>
  </si>
  <si>
    <t xml:space="preserve">Painting (two or more coats) on rain water, soil, waste and vent pipes and fittings with aluminium paint </t>
  </si>
  <si>
    <t xml:space="preserve">Painting (two or more coats) on rain water, soil, waste and vent pipes and fittings with aluminium paint of approved brand and manufacture over a priming coat of ready mixed zinc chromate yellow primer on new work : </t>
  </si>
  <si>
    <t>13.95.1</t>
  </si>
  <si>
    <t>13.95.2</t>
  </si>
  <si>
    <t>13.95.3</t>
  </si>
  <si>
    <t>13.96</t>
  </si>
  <si>
    <t xml:space="preserve">Painting (one or more coats) on rain water, soil, waste and vent pipes and fittings with synthetic enamel paint </t>
  </si>
  <si>
    <t xml:space="preserve">Painting (one or more coats) on rain water, soil, waste and vent pipes and fittings with synthetic enamel paint of approved brand and manufacture and required colour on old work : </t>
  </si>
  <si>
    <t>13.96.1</t>
  </si>
  <si>
    <t>13.96.2</t>
  </si>
  <si>
    <t>13.96.3</t>
  </si>
  <si>
    <t>13.97</t>
  </si>
  <si>
    <t xml:space="preserve">Painting with oil type wood preservative of approved brand and manufacture : </t>
  </si>
  <si>
    <t>13.97.1</t>
  </si>
  <si>
    <t>13.99</t>
  </si>
  <si>
    <t xml:space="preserve">Painting with synthetic enamel paint </t>
  </si>
  <si>
    <t xml:space="preserve">Painting with synthetic enamel paint of approved brand and manufacture of required colour to give an even shade : </t>
  </si>
  <si>
    <t>13.99.1</t>
  </si>
  <si>
    <t xml:space="preserve">One or more coats on old work. </t>
  </si>
  <si>
    <t>13.100</t>
  </si>
  <si>
    <t xml:space="preserve">Painting with aluminium paint </t>
  </si>
  <si>
    <t xml:space="preserve">Painting with aluminium paint of approved brand and manufacture to give an even shade : </t>
  </si>
  <si>
    <t>13.100.1</t>
  </si>
  <si>
    <t>13.101</t>
  </si>
  <si>
    <t xml:space="preserve">Painting with acid proof paint of </t>
  </si>
  <si>
    <t xml:space="preserve">Painting with acid proof paint of approved brand and manufacture of required colour to give an even shade : </t>
  </si>
  <si>
    <t>13.101.1</t>
  </si>
  <si>
    <t>13.102</t>
  </si>
  <si>
    <t xml:space="preserve">Painting with black anti-corrosive bitumastic paint </t>
  </si>
  <si>
    <t xml:space="preserve">Painting with black anti-corrosive bitumastic paint of approved brand and manufacture to give an even shade : </t>
  </si>
  <si>
    <t>13.102.1</t>
  </si>
  <si>
    <t>13.103</t>
  </si>
  <si>
    <t>13.103.1</t>
  </si>
  <si>
    <t>13.104</t>
  </si>
  <si>
    <t xml:space="preserve">Polishing on wood work with ready made wax polish </t>
  </si>
  <si>
    <t xml:space="preserve">Polishing on wood work with ready made wax polish of approved brand and manufacture : </t>
  </si>
  <si>
    <t>13.104.1</t>
  </si>
  <si>
    <t xml:space="preserve">Old work . </t>
  </si>
  <si>
    <t>13.105</t>
  </si>
  <si>
    <t xml:space="preserve">Re-lettering with black Japan paint </t>
  </si>
  <si>
    <t xml:space="preserve">Re-lettering with black Japan paint of approved brand and manufacture. </t>
  </si>
  <si>
    <t xml:space="preserve">Per Letter Per Cm Height                  </t>
  </si>
  <si>
    <t>13.106</t>
  </si>
  <si>
    <t xml:space="preserve">Painting (one or more coats) with black Japan paint </t>
  </si>
  <si>
    <t xml:space="preserve">Painting (one or more coats) with black Japan paint of approved brand and manufacture to give an even shade. </t>
  </si>
  <si>
    <t>13.107</t>
  </si>
  <si>
    <t xml:space="preserve">Providing and fixing C.P. brass chain and rubber plugfor sink or wash basin : </t>
  </si>
  <si>
    <t xml:space="preserve">Providing and fixing C.P. brass chain and rubber plug complete for sink or wash basin : </t>
  </si>
  <si>
    <t>13.107.1</t>
  </si>
  <si>
    <t xml:space="preserve">32 mm dia. </t>
  </si>
  <si>
    <t>13.107.2</t>
  </si>
  <si>
    <t xml:space="preserve">40 mm dia. </t>
  </si>
  <si>
    <t>13.109</t>
  </si>
  <si>
    <t>13.109.1</t>
  </si>
  <si>
    <t xml:space="preserve">Old work (one or more coats applied @ 2.20 kg/10 sqm) over priming coat of primer applied @ 0.80 litrs/10 sqm complete including cost of Priming coat. </t>
  </si>
  <si>
    <t>13.109.2</t>
  </si>
  <si>
    <t xml:space="preserve">Old work (one or more coats @ 2.20 kg/10 sqm) complete. </t>
  </si>
  <si>
    <t>13.110</t>
  </si>
  <si>
    <t>13.110.1</t>
  </si>
  <si>
    <t xml:space="preserve">Old work (Two or more coats on existing cement paint surface applied @ 3.28 ltr/10 sqm. </t>
  </si>
  <si>
    <t>13.110.2</t>
  </si>
  <si>
    <t xml:space="preserve">Old work (One or more coats) applied @ 1.82 ltr/10 sqm. </t>
  </si>
  <si>
    <t>13.111</t>
  </si>
  <si>
    <t>13.111.1</t>
  </si>
  <si>
    <t xml:space="preserve">Old work (Two or more coat applied @ 1.67 ltr/ 10 sqm) on existing cement paint surface). </t>
  </si>
  <si>
    <t>13.111.2</t>
  </si>
  <si>
    <t xml:space="preserve">Old work (One or more coat applied @ 0.90 ltr/10 sqm). </t>
  </si>
  <si>
    <t>13.112</t>
  </si>
  <si>
    <t xml:space="preserve">Finishing walls with Premium Acrylic Smooth exterior paint with Silicone additives of required shade : </t>
  </si>
  <si>
    <t>13.112.1</t>
  </si>
  <si>
    <t xml:space="preserve">Old work </t>
  </si>
  <si>
    <t xml:space="preserve">Old work (Two or more coats applied @ 1.43 ltr/ 10 sqm) over existing cement paint surface. </t>
  </si>
  <si>
    <t>13.112.2</t>
  </si>
  <si>
    <t xml:space="preserve">Old work (one or more coats applied @ 0.83 ltr/10 sqm). </t>
  </si>
  <si>
    <t>13.113</t>
  </si>
  <si>
    <t>13.113.1</t>
  </si>
  <si>
    <t xml:space="preserve">One or more coats with copal varnish. </t>
  </si>
  <si>
    <t>13.113.2</t>
  </si>
  <si>
    <t xml:space="preserve">One or more coats with spar varnish. </t>
  </si>
  <si>
    <t>13.114</t>
  </si>
  <si>
    <t xml:space="preserve">Melamine polishing on wood work (one or more coat). </t>
  </si>
  <si>
    <t>13.115</t>
  </si>
  <si>
    <t xml:space="preserve">Varnishing with flatting varnish one or more coats on old work. </t>
  </si>
  <si>
    <t xml:space="preserve">Varnishing with flatting varnish of approved brand and manufacture one or more coats on old work. </t>
  </si>
  <si>
    <t>13.116</t>
  </si>
  <si>
    <t xml:space="preserve">Polishing in high gloss/matt finish melamine clear polish on wood work </t>
  </si>
  <si>
    <t xml:space="preserve">Polishing in high gloss/matt finish melamine clear polish on wood work in required color/wooden shade texture with following process in the sequence as detailed below: </t>
  </si>
  <si>
    <t xml:space="preserve">1. The surface to be polished is rubbed with sand paper 80/120 no. and then with sand paper of 160/180 nos. </t>
  </si>
  <si>
    <t xml:space="preserve">2. Applying two coats of sealer with spray gun and allowing sufficient drying time for 1st coat and 2nd coat is allowed to dry for 8 to 12 hrs. </t>
  </si>
  <si>
    <t xml:space="preserve">3. On drying of sealer coat, wet rubbing with emery cloth of finer grading with water to remove excess sealer layer and make the surface further smooth after this wet rubbing, then surface is applied with special grade melamine fillers to fill all the small and big holes/grooves etc. Filler coat to be allowed to dry for 4 to 6 hrs on which again a light wet rubbing is done this surface is further allowed to dry for 12 hrs. </t>
  </si>
  <si>
    <t xml:space="preserve">4. On this, 1st coat of melamine polish is applied with spray gun using melamine clear polish and melamine thinner in required proportion. This 1st coat is allowed to dry for 24 hrs then this dry surface is again fine wet rubbed smooth, which is further allowed to dry for 12 hrs. The final melamine polish is applied with compressor pressure spray gun using melamine clear polish and melamine thinner mixed in required proportion complete as per direction of Engineer-in-Charge. (Finalo coat to be done in 1 or 2 layers without gap of time.) </t>
  </si>
  <si>
    <t xml:space="preserve">Total of the Sub-Head - Finishing :  </t>
  </si>
  <si>
    <t xml:space="preserve">        Sub-Head : Repairs to Buildings</t>
  </si>
  <si>
    <t>14.1</t>
  </si>
  <si>
    <t xml:space="preserve">Repairs to plaster of 12 mm to 20 mm in patches of areas 2.50 Sqm and under : </t>
  </si>
  <si>
    <t xml:space="preserve">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Engineer-in-harge. </t>
  </si>
  <si>
    <t>14.1.1</t>
  </si>
  <si>
    <t xml:space="preserve">with cement mortar 1:4 (FS). </t>
  </si>
  <si>
    <t xml:space="preserve">With cement mortar 1:4 (1 cement : 4 fine sand). </t>
  </si>
  <si>
    <t>14.1.2</t>
  </si>
  <si>
    <t xml:space="preserve">With cement mortar 1 : 4 (1 cement : 4 coarse sand). </t>
  </si>
  <si>
    <t xml:space="preserve">With cement mortar 1:4 (1cement: 4 coarse sand). </t>
  </si>
  <si>
    <t>14.2</t>
  </si>
  <si>
    <t xml:space="preserve">Fixing chowkhats in existing opening : </t>
  </si>
  <si>
    <t xml:space="preserve">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directions of Engineer-In-Charge. </t>
  </si>
  <si>
    <t>14.2.1</t>
  </si>
  <si>
    <t xml:space="preserve">Door chowkhat. </t>
  </si>
  <si>
    <t xml:space="preserve">Door chowkhats . </t>
  </si>
  <si>
    <t>14.2.2</t>
  </si>
  <si>
    <t xml:space="preserve">Windows chowkhat. </t>
  </si>
  <si>
    <t xml:space="preserve">Window chowkhats . </t>
  </si>
  <si>
    <t>14.2.3</t>
  </si>
  <si>
    <t xml:space="preserve">Clerestory windows chowkhat. </t>
  </si>
  <si>
    <t xml:space="preserve">Clerestory window chowkhats . </t>
  </si>
  <si>
    <t>14.3</t>
  </si>
  <si>
    <t xml:space="preserve">Fixing chowkhat in existing opening in brick/RCC wall with desh fasteners. </t>
  </si>
  <si>
    <t xml:space="preserve">Fixing chowkhat in existing opening in brick / RCC wall with dash fasteners/Chemical fasteners of appropriate size (3 nos on each vertical member of door chowkhat and 2 nos on each vertical member of window chowkhats), including Cost of dash fasteners/ chemical fastener. </t>
  </si>
  <si>
    <t>14.4</t>
  </si>
  <si>
    <t xml:space="preserve">Making the opening in brick masonry including dismantling, floor, walls: </t>
  </si>
  <si>
    <t xml:space="preserve">Making the opening in brick masonry including dismantling in floor or walls by cutting masonry and making good the damages to walls, flooring and jambs complete, to match existing surface i/c disposal of mulba/rubbish to the nearest municipal dumping ground, all complete as per directions of Engineer-In-Charge. </t>
  </si>
  <si>
    <t>14.4.1</t>
  </si>
  <si>
    <t xml:space="preserve">For door/ window/ clerestory window. </t>
  </si>
  <si>
    <t>14.5</t>
  </si>
  <si>
    <t xml:space="preserve">Renewing glass panes with putty, nails : </t>
  </si>
  <si>
    <t xml:space="preserve">Renewing glass panes, with putty and nails wherever necessary including racking out the old putty: </t>
  </si>
  <si>
    <t>14.5.1</t>
  </si>
  <si>
    <t xml:space="preserve">Float Glass panes 4 mm thick. </t>
  </si>
  <si>
    <t xml:space="preserve">Float glass panes of nominal thickness 4 mm (weight not less than 10kg/sqm). </t>
  </si>
  <si>
    <t>14.5.2</t>
  </si>
  <si>
    <t xml:space="preserve">Float Glass 5.5mm thick. </t>
  </si>
  <si>
    <t xml:space="preserve">Float glass panes of nominal thickness 5 mm (weight not less than 12.5kg/sqm). </t>
  </si>
  <si>
    <t>14.6</t>
  </si>
  <si>
    <t xml:space="preserve">Renewing glass panes with wooden fillets : </t>
  </si>
  <si>
    <t xml:space="preserve">Renewing glass panes, with wooden fillets wherever necessary: </t>
  </si>
  <si>
    <t>14.6.1</t>
  </si>
  <si>
    <t>14.6.2</t>
  </si>
  <si>
    <t xml:space="preserve">Glass panes 5.5 mm thick. </t>
  </si>
  <si>
    <t>14.7</t>
  </si>
  <si>
    <t xml:space="preserve">Renewing glass panes with existing wooden fillets : </t>
  </si>
  <si>
    <t xml:space="preserve">Renewing glass panes and refixing existing wooden fillets: </t>
  </si>
  <si>
    <t>14.7.1</t>
  </si>
  <si>
    <t xml:space="preserve">Glass panes 4.00 mm thick. </t>
  </si>
  <si>
    <t>14.7.2</t>
  </si>
  <si>
    <t>14.8</t>
  </si>
  <si>
    <t xml:space="preserve">S/F new wooden fillets : </t>
  </si>
  <si>
    <t xml:space="preserve">Supplying and fixing new wooden fillets wherever necessary: </t>
  </si>
  <si>
    <t>14.8.1</t>
  </si>
  <si>
    <t xml:space="preserve">Ist class teak wood. </t>
  </si>
  <si>
    <t xml:space="preserve">2nd class teak wood fillets . </t>
  </si>
  <si>
    <t>14.8.2</t>
  </si>
  <si>
    <t xml:space="preserve">Hollock wood fillets. </t>
  </si>
  <si>
    <t>14.9</t>
  </si>
  <si>
    <t xml:space="preserve">Renewal of old putty of glass panes. </t>
  </si>
  <si>
    <t xml:space="preserve">Renewal of old putty of glass panes (length) . </t>
  </si>
  <si>
    <t>14.10</t>
  </si>
  <si>
    <t xml:space="preserve">Refixing old glass panes with putty and nails </t>
  </si>
  <si>
    <t xml:space="preserve">Refixing old glass panes with putty and nails . </t>
  </si>
  <si>
    <t>14.11</t>
  </si>
  <si>
    <t xml:space="preserve">Fixing old glass with wooden fillets. </t>
  </si>
  <si>
    <t xml:space="preserve">Fixing old glass panes with wooden fillets (excluding cost of fillets) . </t>
  </si>
  <si>
    <t>14.12</t>
  </si>
  <si>
    <t xml:space="preserve">P/f 16 mm M.S. Fan clamps of standard shape and size in existing R.C.C. slab. </t>
  </si>
  <si>
    <t xml:space="preserve">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t>
  </si>
  <si>
    <t>14.13</t>
  </si>
  <si>
    <t xml:space="preserve">Regrading terracing of mud phaska covered with tiles or bricks </t>
  </si>
  <si>
    <t xml:space="preserve">Regrading terracing of mud phaska covered with tiles or brick, in cement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directions of Engineer-In-Charge. </t>
  </si>
  <si>
    <t>14.14</t>
  </si>
  <si>
    <t xml:space="preserve">Replacing sand stone slabs in roofing laid in CM 1: 4 CS : </t>
  </si>
  <si>
    <t xml:space="preserve">Replacing sand stone slabs in roofing, laid in cement mortar 1:4 (1 cement : 4 coarse sand) including necessary repairs and cement pointing with same mortar complete including disposal of rubbish to dumping ground, all complete as per directions of Engineer-In-Charge. </t>
  </si>
  <si>
    <t>14.14.1</t>
  </si>
  <si>
    <t xml:space="preserve">Red/ White sand stone slabs 30 to 50 mm thick. </t>
  </si>
  <si>
    <t xml:space="preserve">Red/ white sand stone slabs 30 to 50 mm thick. </t>
  </si>
  <si>
    <t>14.15</t>
  </si>
  <si>
    <t xml:space="preserve">Renewing wooden battens in roofs, i/c making good the holes in wall and painting with oil type wood preserva- tive : </t>
  </si>
  <si>
    <t xml:space="preserve">Renewing wooden battens in roofs, including making good the holes in wall and painting with oil type wood preservative of approved brand and manufacture complete including removal of rubbish to the dumping ground, all complete as per directions of Engineer-In-Charge. </t>
  </si>
  <si>
    <t>14.15.1</t>
  </si>
  <si>
    <t xml:space="preserve">Sal wood battens. </t>
  </si>
  <si>
    <t>14.16</t>
  </si>
  <si>
    <t xml:space="preserve">Renewing wooden beams in roofs i/c making good the holes in walls &amp; painting with oil type wood preservative : </t>
  </si>
  <si>
    <t xml:space="preserve">Renewing wooden beams in roofs including making good the holes in walls and painting with oil type wood preservative of approved brand and manufacture complete including removal of rubbish to the dumping ground, all complete as per directions of Engineer-In-Charge. </t>
  </si>
  <si>
    <t>14.16.1</t>
  </si>
  <si>
    <t xml:space="preserve">Not exceeding 4.00 metres in length : </t>
  </si>
  <si>
    <t xml:space="preserve">Not exceeding 4.00 metres in length. </t>
  </si>
  <si>
    <t>14.16.1.1</t>
  </si>
  <si>
    <t xml:space="preserve">Sal wood beams. </t>
  </si>
  <si>
    <t xml:space="preserve">Sal wood beams . </t>
  </si>
  <si>
    <t>14.16.1.2</t>
  </si>
  <si>
    <t xml:space="preserve">Hollock wood beams. </t>
  </si>
  <si>
    <t xml:space="preserve">Hollock wood beams . </t>
  </si>
  <si>
    <t>14.16.2</t>
  </si>
  <si>
    <t xml:space="preserve">Above 4.00 m and upto 5.00 m length. </t>
  </si>
  <si>
    <t xml:space="preserve">Above 4.00 metres and upto 5.00 metres length. </t>
  </si>
  <si>
    <t>14.16.2.1</t>
  </si>
  <si>
    <t>14.16.2.2</t>
  </si>
  <si>
    <t>14.17</t>
  </si>
  <si>
    <t xml:space="preserve">Raking out joints in lime or cement mortar and preparing the surface . </t>
  </si>
  <si>
    <t xml:space="preserve">Raking out joints in lime or cement mortar and preparing the surface for re-pointing or replastering including disposal of rubbish to the dumping ground, all complete as per directions of Engineer-In-Charge. </t>
  </si>
  <si>
    <t>14.18</t>
  </si>
  <si>
    <t xml:space="preserve">Pointing with cement mortar 1 : 3 fine sand for flat tile brick on top of tile roof : </t>
  </si>
  <si>
    <t xml:space="preserve">Flush pointing with cement mortar 1:3 (1 cement : 3 fine sand) mixed with 2% of integral water proofing compound by weight of cement for flat tile bricks on top of mud phaska : </t>
  </si>
  <si>
    <t>14.18.1</t>
  </si>
  <si>
    <t xml:space="preserve">Flush pointing on tile work. </t>
  </si>
  <si>
    <t xml:space="preserve">With F.P.S. brick tiles </t>
  </si>
  <si>
    <t>14.18.2</t>
  </si>
  <si>
    <t xml:space="preserve">With modular brick tiles. </t>
  </si>
  <si>
    <t xml:space="preserve">With modular brick tiles </t>
  </si>
  <si>
    <t>14.19</t>
  </si>
  <si>
    <t xml:space="preserve">Taking out wind ties from roof including cutting out rusted bolts, nuts etc. </t>
  </si>
  <si>
    <t xml:space="preserve">Taking out wind ties from roof including cutting out rusted bolts, nuts etc. and removing materials to any distance within compound and stacking. </t>
  </si>
  <si>
    <t>14.20</t>
  </si>
  <si>
    <t xml:space="preserve">Fixing of old wind tie with new fittings. </t>
  </si>
  <si>
    <t xml:space="preserve">Fixing of old wind tie with new fittings including painting two or more coats with anticorrosive bitumastic paint of approved brand &amp; manufacturer over and including priming coat of ready mixed zinc chromate yellow primer of approved brand. </t>
  </si>
  <si>
    <t>14.21</t>
  </si>
  <si>
    <t xml:space="preserve">Renewing bottom rail and/or top runner of collapsible gate i/c making good all damages. </t>
  </si>
  <si>
    <t xml:space="preserve">Renewing bottom rail and/or top runner of collapsible gate including making good all damages and applying priming coat of zinc chromate yellow primer of approved brand and manufacturer. </t>
  </si>
  <si>
    <t>14.22</t>
  </si>
  <si>
    <t xml:space="preserve">Renewing W.I. or M.S. Wheel or roller of steel door/gate : </t>
  </si>
  <si>
    <t xml:space="preserve">Renewing Wrought iron or M.S. Wheel or roller of steel door or gate and fitting and fixing the same with necessary clamps, nuts and bolts / welding and erection etc. complete. </t>
  </si>
  <si>
    <t>14.22.1</t>
  </si>
  <si>
    <t xml:space="preserve">Wheel 50 mm dia. and below. </t>
  </si>
  <si>
    <t>wheel</t>
  </si>
  <si>
    <t xml:space="preserve">Per Wheel                                 </t>
  </si>
  <si>
    <t>14.22.2</t>
  </si>
  <si>
    <t xml:space="preserve">Wheel above 50 mm dia. </t>
  </si>
  <si>
    <t>14.23</t>
  </si>
  <si>
    <t xml:space="preserve">Pumping out watger caused by springs, tidal/river seepage, broken water mains or drains and the like. </t>
  </si>
  <si>
    <t xml:space="preserve">Pumping out water caused by springs, tidal or river seepage, broken water mains or drains and the like. </t>
  </si>
  <si>
    <t xml:space="preserve">kLtr </t>
  </si>
  <si>
    <t xml:space="preserve">One Kilo Litre                            </t>
  </si>
  <si>
    <t>14.25</t>
  </si>
  <si>
    <t xml:space="preserve">Brick work with bricks of class designation 75 in mud mortar. </t>
  </si>
  <si>
    <t xml:space="preserve">Brick work with common burnt clay bricks of class designation 7.5 in mud mortar </t>
  </si>
  <si>
    <t>14.26</t>
  </si>
  <si>
    <t xml:space="preserve">P/F 25 mm thick shutters for cup board etc. : </t>
  </si>
  <si>
    <t xml:space="preserve">Providing and fixing 25 mm thick shutters for cup board etc. : </t>
  </si>
  <si>
    <t>14.26.1</t>
  </si>
  <si>
    <t xml:space="preserve">Panelled or panelled and glazed shutters : </t>
  </si>
  <si>
    <t xml:space="preserve">Panelled or panelled &amp; glazed shutters : </t>
  </si>
  <si>
    <t>14.26.1.1</t>
  </si>
  <si>
    <t xml:space="preserve">Superior class teak wood </t>
  </si>
  <si>
    <t xml:space="preserve">Superior class teak wood including nickel plated bright finished M.S. piano hinges with necessary screws. </t>
  </si>
  <si>
    <t>14.26.1.2</t>
  </si>
  <si>
    <t xml:space="preserve">Ist class teak wood </t>
  </si>
  <si>
    <t xml:space="preserve">Ist class teak wood including nickel plated bright finished M.S. piano hinges with necessary screws. </t>
  </si>
  <si>
    <t>14.26.2</t>
  </si>
  <si>
    <t>14.26.2.1</t>
  </si>
  <si>
    <t>14.26.2.2</t>
  </si>
  <si>
    <t>14.27</t>
  </si>
  <si>
    <t xml:space="preserve">P/F plain jaffri door &amp; window shutters i/c bright or/&amp; black enamelled M.S. butt hinges : </t>
  </si>
  <si>
    <t xml:space="preserve">Providing and fixing plain jaffri door and window shutters including bright or/and black enamelled M.S. butt hinges with necessary screws 35x10mm laths placed 35mm apart (frames to be paid separately) including fixing 50x12mm beading complete with : </t>
  </si>
  <si>
    <t>14.27.1</t>
  </si>
  <si>
    <t>14.28</t>
  </si>
  <si>
    <t xml:space="preserve">P/F curtain rods of 1.25 mm thick brass plates with two brass brackets : </t>
  </si>
  <si>
    <t xml:space="preserve">Providing and fixing brass curtain rods of wall thickness 1.25mm with two brass brackets fixed with brass screws and wooden plugs etc. wherever necessary complete. </t>
  </si>
  <si>
    <t>14.28.1</t>
  </si>
  <si>
    <t xml:space="preserve">20 mm diameter. </t>
  </si>
  <si>
    <t>14.28.2</t>
  </si>
  <si>
    <t xml:space="preserve">25 mm diametre. </t>
  </si>
  <si>
    <t xml:space="preserve">25 mm diameter. </t>
  </si>
  <si>
    <t>14.29</t>
  </si>
  <si>
    <t xml:space="preserve">P/F M.S. round or square bars with M.S. flats at required spacings in wooden frames of windows &amp; clerestory windows. </t>
  </si>
  <si>
    <t xml:space="preserve">Providing and fixing M.S. round or square bars with M.S. flats at required spacing in wooden frames of windows and clerestory windows. </t>
  </si>
  <si>
    <t>14.30</t>
  </si>
  <si>
    <t xml:space="preserve">Providing joists (karries) including hoisting fixing in position : </t>
  </si>
  <si>
    <t xml:space="preserve">Providing joists (karries) including hoisting, fixing in position and applying wood preservative on unexposed surface etc. complete with: </t>
  </si>
  <si>
    <t>14.30.1</t>
  </si>
  <si>
    <t>14.30.2</t>
  </si>
  <si>
    <t>14.31</t>
  </si>
  <si>
    <t xml:space="preserve">Removing existing door of area not more than 3.00 sqm and refixing the same attending necessary repairs using new hold fasts etc., as directed. </t>
  </si>
  <si>
    <t xml:space="preserve">Providing and fixing bright finished brass single acting spring hinges with necessary brass screws etc. complete : </t>
  </si>
  <si>
    <t>14.31.1</t>
  </si>
  <si>
    <t>14.31.2</t>
  </si>
  <si>
    <t>14.31.3</t>
  </si>
  <si>
    <t>14.32</t>
  </si>
  <si>
    <t xml:space="preserve">P/F bright finished brass double acting spring hinges: </t>
  </si>
  <si>
    <t xml:space="preserve">Providing and fixing bright finished brass double acting spring hinges with necessary brass screws etc. complete : </t>
  </si>
  <si>
    <t>14.32.1</t>
  </si>
  <si>
    <t>14.32.2</t>
  </si>
  <si>
    <t>14.32.3</t>
  </si>
  <si>
    <t>14.33</t>
  </si>
  <si>
    <t xml:space="preserve">P/F bright finished brass bolts : </t>
  </si>
  <si>
    <t xml:space="preserve">Providing and fixing bright finished brass flush bolts with necessary brass screws etc. complete : </t>
  </si>
  <si>
    <t>14.33.1</t>
  </si>
  <si>
    <t xml:space="preserve">250 mm. </t>
  </si>
  <si>
    <t xml:space="preserve">250 mm </t>
  </si>
  <si>
    <t>14.33.2</t>
  </si>
  <si>
    <t>14.33.3</t>
  </si>
  <si>
    <t>14.34</t>
  </si>
  <si>
    <t xml:space="preserve">P/F 150 mm bright finished floor brass door stopper with rubber cushion. </t>
  </si>
  <si>
    <t xml:space="preserve">Providing and fixing 150 mm bright finished floor brass door stopper with rubber cushion, necessary brass screws etc. to suit shutter thickness complete . </t>
  </si>
  <si>
    <t>14.35</t>
  </si>
  <si>
    <t xml:space="preserve">P/F bright finished brass hard drawn hooks and eyes : </t>
  </si>
  <si>
    <t xml:space="preserve">Providing and fixing bright finished brass hard drawn hooks and eyes : </t>
  </si>
  <si>
    <t>14.35.1</t>
  </si>
  <si>
    <t xml:space="preserve">300 mm. </t>
  </si>
  <si>
    <t xml:space="preserve">300 mm </t>
  </si>
  <si>
    <t>14.35.2</t>
  </si>
  <si>
    <t>14.35.3</t>
  </si>
  <si>
    <t xml:space="preserve">200 mm. </t>
  </si>
  <si>
    <t>14.35.4</t>
  </si>
  <si>
    <t>14.35.5</t>
  </si>
  <si>
    <t>14.36</t>
  </si>
  <si>
    <t xml:space="preserve">P/F bright finished brass fan light pivot. </t>
  </si>
  <si>
    <t xml:space="preserve">Providing and fixing bright finished brass fan light pivot with necessary brass screws etc. complete. </t>
  </si>
  <si>
    <t>14.37</t>
  </si>
  <si>
    <t xml:space="preserve">P/F 300 mm long bright fini- shed brass chain with hook for fan light. </t>
  </si>
  <si>
    <t xml:space="preserve">Providing and fixing 300 mm long bright finished brass chain with hook for fan light including necessary brass screws etc. complete. </t>
  </si>
  <si>
    <t>14.38</t>
  </si>
  <si>
    <t xml:space="preserve">P/F bright finished brass quadrant stay 300 mm long with necessary screws. </t>
  </si>
  <si>
    <t xml:space="preserve">Providing and fixing bright finished brass quadrant stay 300mm long with necessary brass screws etc. complete. </t>
  </si>
  <si>
    <t>14.39</t>
  </si>
  <si>
    <t xml:space="preserve">P/F bright finished brass helical door spring (superior quality). </t>
  </si>
  <si>
    <t xml:space="preserve">Providing and fixing bright finished brass helical door spring (superior quality). </t>
  </si>
  <si>
    <t>14.40</t>
  </si>
  <si>
    <t xml:space="preserve">P/F chromium plated brass butt hinges with necessary screws: </t>
  </si>
  <si>
    <t xml:space="preserve">Providing and fixing chromium plated brass butt hinges with necessary chromium plated brass screws etc. complete. </t>
  </si>
  <si>
    <t>14.40.1</t>
  </si>
  <si>
    <t xml:space="preserve">125 x 70 x 4 mm (Ordinary type). </t>
  </si>
  <si>
    <t xml:space="preserve">125x70x4 mm (ordinary type) . </t>
  </si>
  <si>
    <t>14.40.2</t>
  </si>
  <si>
    <t xml:space="preserve">100x70x4 mm (ordinary type) . </t>
  </si>
  <si>
    <t>14.40.3</t>
  </si>
  <si>
    <t xml:space="preserve">75x65x4 mm (heavy type) . </t>
  </si>
  <si>
    <t>14.40.4</t>
  </si>
  <si>
    <t xml:space="preserve">75x40x2.5 mm (ordinary type) . </t>
  </si>
  <si>
    <t>14.40.5</t>
  </si>
  <si>
    <t xml:space="preserve">50x40x2.5 mm (ordinary type) . </t>
  </si>
  <si>
    <t>14.41</t>
  </si>
  <si>
    <t xml:space="preserve">P/F 85 x 42 mm chromium plated brass pull bolt lock. </t>
  </si>
  <si>
    <t xml:space="preserve">Providing and fixing 85x42mm chromium plated brass pull bolt lock with necessary chromium plated brass screws, nuts, bolts and washers etc. complete. </t>
  </si>
  <si>
    <t>14.72</t>
  </si>
  <si>
    <t xml:space="preserve">P/F double sacffolding system (cuplock type)on the exterior side, upto seven story height made with 40 mm dia. MS tube 1.50 m c/c horizontal and vertical tubes joining with cup and lock system. </t>
  </si>
  <si>
    <t xml:space="preserve">Providing and fixing double scaffolding system (cup lock type) on the exterior side, up to seven story height made with 40 mm dia M.S. tube 1.5 m centre to centre, horizontal &amp; vertical tubes joining with cup &amp; lock system with M.S. tubes, M.S. tube challies, M.S. clamps and M.S. staircase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inspectionof work at required locations with essential safety features for the workmen etc. complete as per directions and approval of Engineer-in-charge. The elevational area of the scaffolding shall be measured for payment purpose. The payment shall be made once irrespective of duration of scaffolding.Note: - This item to be used for maintenance work judicially, necessary deduction for scaffolding in the existing item to be done. </t>
  </si>
  <si>
    <t>14.73</t>
  </si>
  <si>
    <t xml:space="preserve">P/F double sacffolding system on the exterior side, upto seven story height made with 100/75 mm dia. wooden posts 1.50 m c/c horizontal and vertical posts joining with rope and nail, clamps etc. system. </t>
  </si>
  <si>
    <t xml:space="preserve">Providing and fixing bright finished brass casement window fasteners or peg stays to windows/ ventilators with necessary welding and machine screws etc. complete. </t>
  </si>
  <si>
    <t>14.74</t>
  </si>
  <si>
    <t xml:space="preserve">Carrying out repair works to worn out chajjas... </t>
  </si>
  <si>
    <t xml:space="preserve">Providing and fixing 14 mm bright finished brass spring catch to steel centre hung ventilators with necessary welding and machine screws etc. complete. </t>
  </si>
  <si>
    <t>14.75</t>
  </si>
  <si>
    <t xml:space="preserve">Repair to plaster of thickness 12mm to 20 mm in patches of area 2.5 sqm </t>
  </si>
  <si>
    <t xml:space="preserve">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 Charge. </t>
  </si>
  <si>
    <t>14.75A</t>
  </si>
  <si>
    <t xml:space="preserve">Cleaning of terrace/loft water storage tank (inside surface area) upto 2000 litre capacity ........ with white cement based polymer modified self curing mortar </t>
  </si>
  <si>
    <t xml:space="preserve">Cleaning of terrace/loft water storage tank (inside surface area) upto 2000 litre capacity at all heights with coconut brushes, duster etc., removal of silt, rubbish from the tank and cleaning the tank with fresh water disinfecting with bleaching powder @ 0.5gm per litre capacity of tank, including marking the date of cleaning on the side of tank body with the help of stencil and paint and disposing of malba, all complete as per direction of Engineer-in-Charge. (The old date already written on tank should be removed with paint remover or black paint and if date is not written with the stencil or old date is not removed deduction will be made @ Rs. 0.10 per litre if during cleaning any GI fittings or ball cock is damaged that is to be repaired by contractor at his own cost and nothing extra will be paid on this account) </t>
  </si>
  <si>
    <t>14.76</t>
  </si>
  <si>
    <t xml:space="preserve">Cleaning and de-silting of gully trap chamber </t>
  </si>
  <si>
    <t xml:space="preserve">Cleaning and de-silting of gully trap chamber, including removal of rubbish mixed with earth etc. and disposal of same, all as per the direction of Engineer-in-charge. </t>
  </si>
  <si>
    <t>14.77</t>
  </si>
  <si>
    <t xml:space="preserve">Cleaning of chocked sewer line by diesel running vehicle mounting hydraulic operated high pressure suction cum jetting sewer cleaning machine </t>
  </si>
  <si>
    <t xml:space="preserve">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dia for all depth. </t>
  </si>
  <si>
    <t>14.78</t>
  </si>
  <si>
    <t xml:space="preserve">Cleaning of under ground sump, Over Head R.C.C. Tank (independent staging) </t>
  </si>
  <si>
    <t xml:space="preserve">Cleaning of under ground sump, Over Head R.C.C. Tank (independent staging) including disposal of slit and rubbish, all as per direction of Engineer-in-Charge. The cleaning shall consist following operations:- </t>
  </si>
  <si>
    <t xml:space="preserve">(i) Tank shall be emptied of water by pumping &amp; bottom shall be cleaned of slit and other deposits. </t>
  </si>
  <si>
    <t xml:space="preserve">(ii) Entire surface area of the sump shall then scrubbed thoroughly with wire brush etc. and pressure washed with water. </t>
  </si>
  <si>
    <t xml:space="preserve">(iii) Chlorination of RCC internal surface by liquid chlorine. </t>
  </si>
  <si>
    <t xml:space="preserve">(iv) The treated surface shall be dried using air jetting and all loose particles shall be removal from the surface. </t>
  </si>
  <si>
    <t xml:space="preserve">(v) Finally the surface shall be treated with ultraviolet radiation etc. as per direction of Engineer-in-Charge. </t>
  </si>
  <si>
    <t>14.79</t>
  </si>
  <si>
    <t xml:space="preserve">Disconnecting damaged overhead/terrace PVC water storage tank </t>
  </si>
  <si>
    <t xml:space="preserve">Disconnecting damaged overhead/terrace PVC water storage tank of any size from water supply line and removing from the terrace including shifting at ground level as per direction of Engineer-in- charge. </t>
  </si>
  <si>
    <t>14.80</t>
  </si>
  <si>
    <t xml:space="preserve">Providing &amp; fixing White vitreous china water closet squatting pan (Indian type) along with "S" or "P" </t>
  </si>
  <si>
    <t xml:space="preserve">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t>
  </si>
  <si>
    <t>14.80.1</t>
  </si>
  <si>
    <t xml:space="preserve">Long pattern </t>
  </si>
  <si>
    <t xml:space="preserve">Long pattern W.C Pan of size 580x440 mm </t>
  </si>
  <si>
    <t>14.80.2</t>
  </si>
  <si>
    <t xml:space="preserve">Orissa pattern </t>
  </si>
  <si>
    <t xml:space="preserve">Orissa pattern W.C Pan of size 580x440 mm </t>
  </si>
  <si>
    <t>14.81</t>
  </si>
  <si>
    <t xml:space="preserve">Cutting holes of required size in brick masonry wall for fixing of exhaust fan including providing and fixing 300 mm dia PVC pipe </t>
  </si>
  <si>
    <t xml:space="preserve">Cutting holes of required size in brick masonry wall for fixing of exhaust fan including providing and fixing 300 mm dia PVC pipe conforming BIS-12818 and making good the same etc. complete as per direction of Engineer-in-charge. </t>
  </si>
  <si>
    <t>14.82</t>
  </si>
  <si>
    <t xml:space="preserve">Dismantling W.C. Pan of all sizes including disposal </t>
  </si>
  <si>
    <t xml:space="preserve">Dismantling W.C. Pan of all sizes including disposal of dismantled materials i/c malba all complete as per directions of Engineer-in- Charge. </t>
  </si>
  <si>
    <t>14.83</t>
  </si>
  <si>
    <t xml:space="preserve">Hacking of CC flooring including cleaning for surface </t>
  </si>
  <si>
    <t xml:space="preserve">Hacking of CC flooring including cleaning for surface etc. complete as per direction of the Engineer-in-Charge. </t>
  </si>
  <si>
    <t>14.84</t>
  </si>
  <si>
    <t xml:space="preserve">Dismantling 15 to 40 mm dia G.I. pipe, (a) Internal Work- Exposed on wall </t>
  </si>
  <si>
    <t xml:space="preserve">Dismantling 15 to 40 mm dia G.I. pipe including stacking of dismantled pipes (within 50 metres lead) as per direction of Engineerin-Charge. </t>
  </si>
  <si>
    <t xml:space="preserve">(a) Internal Work- Exposed on wall </t>
  </si>
  <si>
    <t>14.85</t>
  </si>
  <si>
    <t xml:space="preserve">Taking out existing wooden door shutter, repair by cutting, painting etc. and refixing of repaired door </t>
  </si>
  <si>
    <t xml:space="preserve">Taking out existing wooden door shutter, repair by cutting, painting etc. and refixing of repaired door shutters to existing door frames, including replacement of hinges with screws, etc. as required, all complete as per the direction of the Engineer-in-charge. </t>
  </si>
  <si>
    <t>14.86</t>
  </si>
  <si>
    <t xml:space="preserve">P &amp; L seven course APP modified Polymeric membrane over roof (7 layers) </t>
  </si>
  <si>
    <t xml:space="preserve">Providing and laying in situ seven course water proofing treatment with APP (Atactic poly-propylene) modified Polymeric membrane over roof consisting of first coat of bitumen primer @ 0.40Kg per sqm, 2nd, 4th &amp; 6th courses of bonding material @ 1.20 Kg/sqm, which shall consist of blown type bitumen of grade 85/25 conforming to IS : 702, 3rd and 5th layers of roofing membrane APP modified Polymeric membrane 1.5mm thick of 2.25 Kg/sqm weight consisting of five layers prefabricated with centre core as 20micron HMHDPE film sandwiched on both sides with polymeric mix and the polymeric mix is protected on both side with 20micron HMHDPE film. </t>
  </si>
  <si>
    <t xml:space="preserve">7th, the top most layer shall be finished with brick tiles of class designation 10 grouted with cement mortar 1:3(1cement:3 fine sand) mixed with 2% integral water proofing compound by weight of cement over a 12mm layer of cement mortar 1:3 (1 cement: 3 fine sand) and finished neat ( item of laying brick tiles shall be paid for separately). </t>
  </si>
  <si>
    <t>14.87</t>
  </si>
  <si>
    <t xml:space="preserve">P &amp; L five course AP roofing membrane APP modified Polymeric membran </t>
  </si>
  <si>
    <t xml:space="preserve">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 </t>
  </si>
  <si>
    <t xml:space="preserve">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 </t>
  </si>
  <si>
    <t>14.88</t>
  </si>
  <si>
    <t xml:space="preserve">P/L in situ seven course water proofing treatment with APP (Atactic Polypropylene) memberane </t>
  </si>
  <si>
    <t xml:space="preserve">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t>
  </si>
  <si>
    <t xml:space="preserve">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 </t>
  </si>
  <si>
    <t>14.89</t>
  </si>
  <si>
    <t xml:space="preserve">Providing and fixing APP (Atactic Polypropylene Polymer) modified prefabricated five layer 2 mm thick water proofing membrane , black finished reinforced with glass fibre matt </t>
  </si>
  <si>
    <t xml:space="preserve">Providing and fixing APP (Atactic Polypropylene Polymer) modified prefabricated five layer 2 mm thick water proofing membrane , black finished reinforced with glass fibre matt consisting of a coat of bitumen primer for bitumen membrane @ 0.40 litre/sqm by the samemembrance manufacture of density at 25°C, 0.87 - 0.89 kg/ litre and viscocity 70 - 160 cps. Over the primer coat the layer of membrane shall be laid using Butane torch and sealing all joints etc., and preparing the surface complete. </t>
  </si>
  <si>
    <t xml:space="preserve">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 </t>
  </si>
  <si>
    <t>14.89.1</t>
  </si>
  <si>
    <t xml:space="preserve">2mm (for corrugated roof sheets) </t>
  </si>
  <si>
    <t>14.90</t>
  </si>
  <si>
    <t xml:space="preserve">P/L APP modified prefabricated five layer, 3 mm thick water proofing membrane, black finished reinforced with glass fibre matt........ Joint strength in longitudinal and transverse direction at 23°C as 350/300 N/5 cm. </t>
  </si>
  <si>
    <t xml:space="preserve">Providing and laying APP (Atactic Polypropylene Polymer) modified prefabricated five layer, 3 mm thick water proofing membrane, black finished reinforced with glass fibre matt consisting of a coat of bitumen primer for bitumen membrane @ 0.40 litre/sqm by the samemembrane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
  </si>
  <si>
    <t xml:space="preserve">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 </t>
  </si>
  <si>
    <t>14.90.1</t>
  </si>
  <si>
    <t xml:space="preserve">3mm </t>
  </si>
  <si>
    <t>14.91</t>
  </si>
  <si>
    <t xml:space="preserve">P/L APP modified prefabricated five layer 3 mm thick water proofing membrane, black finished reinforced with non-woven polyester matt ..................Joint strength in longitudinal and transverse direction at 23°C as 650/ 450N/ 5cm. </t>
  </si>
  <si>
    <t xml:space="preserve">Providing and laying APP (Atactic Polypropylene Polymer) modified prefabricated five layer 3 mm thick water proofing membrane, black finished reinforced with non-woven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
  </si>
  <si>
    <t xml:space="preserve">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 </t>
  </si>
  <si>
    <t>14.91.1</t>
  </si>
  <si>
    <t>14.92</t>
  </si>
  <si>
    <t xml:space="preserve">Extra for covering top of membrane with Geotextile, 120 gsm non woven, 100% polyester of thickness 1 to 1.25 </t>
  </si>
  <si>
    <t xml:space="preserve">Extra for covering top of membrane with Geotextile, 120 gsm non woven, 100% polyester of thickness 1 to 1.25 mm bonded to the membrane with intermittent touch by heating the membrane by Butane Torch as per manufactures recommendation. </t>
  </si>
  <si>
    <t>14.93</t>
  </si>
  <si>
    <t xml:space="preserve">Providing round the clock security guard without gun </t>
  </si>
  <si>
    <t xml:space="preserve">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Engineer-in-charge.(One job means 8 hour’s duty). </t>
  </si>
  <si>
    <t xml:space="preserve">job  </t>
  </si>
  <si>
    <t xml:space="preserve">Each Job                                  </t>
  </si>
  <si>
    <t>14.94</t>
  </si>
  <si>
    <t xml:space="preserve">Providing round the clock security guard with gun </t>
  </si>
  <si>
    <t xml:space="preserve">Providing round the clock security guard with gun for watch &amp; ward of Government premises and its all belongings by deploying neatly dressed security guards in 8 hour’s shift including necessary T&amp;P like torch, lathi and uniform etc.complete, as per the direction of Engineer-in-charge. (One job means 8 hour’s duty). </t>
  </si>
  <si>
    <t xml:space="preserve">Total of the Sub-Head - Repairs To Buildings :  </t>
  </si>
  <si>
    <t xml:space="preserve">        Sub-Head : Dismantling and Demolishing</t>
  </si>
  <si>
    <t>15.1</t>
  </si>
  <si>
    <t xml:space="preserve">Demolishing lime concrate. </t>
  </si>
  <si>
    <t xml:space="preserve">Demolishing lime concrete manually/ by mechanical means and disposal of material within 50 metres lead as per direction of Engineer in-charge </t>
  </si>
  <si>
    <t>15.2</t>
  </si>
  <si>
    <t xml:space="preserve">Demolishing cement concrete: </t>
  </si>
  <si>
    <t xml:space="preserve">Demolishing cement concrete manually/ by mechanical means including disposal of material within 50 metres lead as per direction of Engineer - in - charge. </t>
  </si>
  <si>
    <t>15.2.1</t>
  </si>
  <si>
    <t xml:space="preserve">1 : 3 : 6 or richer. </t>
  </si>
  <si>
    <t xml:space="preserve">Nominal concrete 1:3:6 or richer mix (i/c equivalent design mix) </t>
  </si>
  <si>
    <t>15.2.2</t>
  </si>
  <si>
    <t xml:space="preserve">1 : 4 : 8 or leaner. </t>
  </si>
  <si>
    <t xml:space="preserve">Nominal concrete 1:4:8 or leaner mix (i/c equivalent design mix) </t>
  </si>
  <si>
    <t>15.3</t>
  </si>
  <si>
    <t xml:space="preserve">Demolishing R.C.C. work. </t>
  </si>
  <si>
    <t xml:space="preserve">Demolishing R.C.C. work manually/ by mechanical means including stacking of steel bars and disposal of unserviceable material within 50 metres lead as per direction of Engineer - in- charge. </t>
  </si>
  <si>
    <t>15.4</t>
  </si>
  <si>
    <t xml:space="preserve">Demolishing R.B. work i/c stacking of steel bars. </t>
  </si>
  <si>
    <t xml:space="preserve">Demolishing R.B. work manually/ by mechanical means including stacking of steel bars and disposal of unserviceable material within 50 metres lead as per direction of Engineer-in- charge. </t>
  </si>
  <si>
    <t>15.5</t>
  </si>
  <si>
    <t xml:space="preserve">Extra for cutting reinforce- ment bars in RCC or R.B work. </t>
  </si>
  <si>
    <t xml:space="preserve">Extra for cutting reinforcement bars manually/ by mechanical means in R.C.C. or R.B. work (Payment shall be made on the cross sectional area of R.C.C. or R.B. work) as per direction of Engineer in-charge. </t>
  </si>
  <si>
    <t>15.6</t>
  </si>
  <si>
    <t xml:space="preserve">Extra for screpping reinfor- cement. </t>
  </si>
  <si>
    <t xml:space="preserve">Extra for scrapping, cleaning and straightening reinforcement from R.C.C. or R.B. work. </t>
  </si>
  <si>
    <t>15.7</t>
  </si>
  <si>
    <t xml:space="preserve">Demolishing brick work : </t>
  </si>
  <si>
    <t xml:space="preserve">Demolishing brick work manually/ by mechanical means including stacking of serviceable material and disposal of unserviceable material within 50 metres lead as per direction of Engineer-in-charge.. </t>
  </si>
  <si>
    <t>15.7.1</t>
  </si>
  <si>
    <t xml:space="preserve">In mud mortar. </t>
  </si>
  <si>
    <t xml:space="preserve">In mud mortar </t>
  </si>
  <si>
    <t>15.7.2</t>
  </si>
  <si>
    <t xml:space="preserve">In lime mortar with old mughal bricks. </t>
  </si>
  <si>
    <t xml:space="preserve">In lime mortar with old mughal bricks </t>
  </si>
  <si>
    <t>15.7.3</t>
  </si>
  <si>
    <t xml:space="preserve">In lime mortar. </t>
  </si>
  <si>
    <t xml:space="preserve">In lime mortar </t>
  </si>
  <si>
    <t>15.7.4</t>
  </si>
  <si>
    <t xml:space="preserve">In cement mortar. </t>
  </si>
  <si>
    <t xml:space="preserve">In cement mortar </t>
  </si>
  <si>
    <t>15.8</t>
  </si>
  <si>
    <t xml:space="preserve">Removing mortar from bricks : </t>
  </si>
  <si>
    <t xml:space="preserve">Removing mortar from bricks and cleaning bricks including stacking within a lead of 50 m (stacks of cleaned bricks shall be measured): </t>
  </si>
  <si>
    <t>15.8.1</t>
  </si>
  <si>
    <t xml:space="preserve">From brick work in mud mortar. </t>
  </si>
  <si>
    <t xml:space="preserve">From brick work in mud mortar </t>
  </si>
  <si>
    <t>Units</t>
  </si>
  <si>
    <t xml:space="preserve">1000 nos                                  </t>
  </si>
  <si>
    <t>15.8.2</t>
  </si>
  <si>
    <t xml:space="preserve">From brick work in lime mortar </t>
  </si>
  <si>
    <t>15.8.3</t>
  </si>
  <si>
    <t xml:space="preserve">From brick work in cement mortar </t>
  </si>
  <si>
    <t>15.9</t>
  </si>
  <si>
    <t xml:space="preserve">Demolishing stone rubble masonry : </t>
  </si>
  <si>
    <t xml:space="preserve">Demolishing stone rubble masonry manually/ by mechanical means including stacking of serviceable material and disposal of unserviceable material within 50 metres lead as per direction of Engineer-in-charge : </t>
  </si>
  <si>
    <t>15.9.1</t>
  </si>
  <si>
    <t>15.9.2</t>
  </si>
  <si>
    <t>15.10</t>
  </si>
  <si>
    <t xml:space="preserve">Dismantling dressed stone work ashlar face stone, marble work or precast concrete work : </t>
  </si>
  <si>
    <t xml:space="preserve">Dismantling dressed stone work ashlar face stone work, marble work or precast concrete work manually/ by mechanical means including stacking of serviceable and disposal of unserviceable material within 50 metres lead as per direction of Engineer-in-charge : </t>
  </si>
  <si>
    <t>15.10.1</t>
  </si>
  <si>
    <t>15.10.2</t>
  </si>
  <si>
    <t>15.11</t>
  </si>
  <si>
    <t xml:space="preserve">Removing mortar from stones and cleaning stones : </t>
  </si>
  <si>
    <t xml:space="preserve">Removing mortar from and cleaning stones and concrete articles (net quantity of stacks of cleaned materials will be measured): </t>
  </si>
  <si>
    <t>15.11.1</t>
  </si>
  <si>
    <t>15.11.2</t>
  </si>
  <si>
    <t>15.12</t>
  </si>
  <si>
    <t xml:space="preserve">Dismantling doors, windows &amp; C.S. windows shutter : </t>
  </si>
  <si>
    <t xml:space="preserve">Dismantling doors, windows and clerestory windows (steel or wood) shutter including chowkhats, architrave, holdfasts etc. complete and stacking within 50 metres lead : </t>
  </si>
  <si>
    <t>15.12.1</t>
  </si>
  <si>
    <t xml:space="preserve">Of area 3 sqm. </t>
  </si>
  <si>
    <t xml:space="preserve">Of area 3 sq. metres and below </t>
  </si>
  <si>
    <t>15.12.2</t>
  </si>
  <si>
    <t xml:space="preserve">Of area beyond 3 sqm. </t>
  </si>
  <si>
    <t xml:space="preserve">Of area beyond 3 sq. metres </t>
  </si>
  <si>
    <t>15.13</t>
  </si>
  <si>
    <t xml:space="preserve">Taking out door, windows : </t>
  </si>
  <si>
    <t xml:space="preserve">Taking out doors, windows and clerestory window shutters (steel or wood) including stacking within 50 metres lead: </t>
  </si>
  <si>
    <t>15.13.1</t>
  </si>
  <si>
    <t>15.13.2</t>
  </si>
  <si>
    <t xml:space="preserve">Of area byond 3 sqm. </t>
  </si>
  <si>
    <t>15.14</t>
  </si>
  <si>
    <t xml:space="preserve">Dismantling wood work in frames : </t>
  </si>
  <si>
    <t xml:space="preserve">Dismantling wood work in frames, trusses, purlins and rafters up to 10 metres span and 5 metres height including stacking the material within 50 metres lead : </t>
  </si>
  <si>
    <t>15.14.1</t>
  </si>
  <si>
    <t xml:space="preserve">Of sectinal area 40 Sqcm and above. </t>
  </si>
  <si>
    <t xml:space="preserve">Of sectional area 40 square centimetres and above. </t>
  </si>
  <si>
    <t>15.14.2</t>
  </si>
  <si>
    <t xml:space="preserve">Of sectional area below 40 sqcm. </t>
  </si>
  <si>
    <t xml:space="preserve">Of sectional area below 40 square centimetres. </t>
  </si>
  <si>
    <t>15.15</t>
  </si>
  <si>
    <t xml:space="preserve">Extra for dismantling trusses rafters in span : </t>
  </si>
  <si>
    <t xml:space="preserve">Extra for dismantling trusses, rafters, purlins etc. of wood work for every additional span of one metre or part thereof beyond 10 metres : </t>
  </si>
  <si>
    <t>15.15.1</t>
  </si>
  <si>
    <t xml:space="preserve">Of sectional area 40 sqcm and above. </t>
  </si>
  <si>
    <t xml:space="preserve">Of sectional area 40 square centimetres and above </t>
  </si>
  <si>
    <t xml:space="preserve">Cum per  metre span                       </t>
  </si>
  <si>
    <t>15.15.2</t>
  </si>
  <si>
    <t xml:space="preserve">Of sectional area below 40 square centimetres </t>
  </si>
  <si>
    <t xml:space="preserve">unit </t>
  </si>
  <si>
    <t xml:space="preserve">Metre per metre span                      </t>
  </si>
  <si>
    <t>15.16</t>
  </si>
  <si>
    <t xml:space="preserve">Extra for dismantling reusses rafters in height : </t>
  </si>
  <si>
    <t xml:space="preserve">Extra for dismantling trusses, rafters, purlins etc. of wood work for every additional height of one metre or part thereof beyond 5 metres : </t>
  </si>
  <si>
    <t>15.16.1</t>
  </si>
  <si>
    <t>ubits</t>
  </si>
  <si>
    <t xml:space="preserve">Cum per metre height                      </t>
  </si>
  <si>
    <t>15.16.2</t>
  </si>
  <si>
    <t xml:space="preserve">Of sectional area blow 40 sqcm. </t>
  </si>
  <si>
    <t xml:space="preserve">Metre per metre height                    </t>
  </si>
  <si>
    <t>15.17</t>
  </si>
  <si>
    <t xml:space="preserve">Dismantling steel work in single sections : </t>
  </si>
  <si>
    <t xml:space="preserve">Dismantling steel work in single sections including dismembering and stacking within 50 metres lead in: </t>
  </si>
  <si>
    <t>15.17.1</t>
  </si>
  <si>
    <t xml:space="preserve">R.S. joists. </t>
  </si>
  <si>
    <t xml:space="preserve">R.S. Joists </t>
  </si>
  <si>
    <t>15.17.2</t>
  </si>
  <si>
    <t xml:space="preserve">Channels, Angles, flats. </t>
  </si>
  <si>
    <t xml:space="preserve">Channels, angles, tees and flats </t>
  </si>
  <si>
    <t>15.18</t>
  </si>
  <si>
    <t xml:space="preserve">Dismantling steel work in built up sections i/c disme- mbering and stacking. </t>
  </si>
  <si>
    <t xml:space="preserve">Dismantling steel work in built up sections in angles, tees, flats and channels including all gusset plates, bolts, nuts, cutting rivets, welding etc. including dismembering and stacking within 50 metres lead. </t>
  </si>
  <si>
    <t>15.19</t>
  </si>
  <si>
    <t xml:space="preserve">Dismantling steel work in built up sections without dismembering. </t>
  </si>
  <si>
    <t xml:space="preserve">Dismantling steel work manually/ by mechanical means in built up sections without dismembering and stacking within 50 metres lead as per direction of Engineer-in-charge </t>
  </si>
  <si>
    <t>15.20</t>
  </si>
  <si>
    <t xml:space="preserve">Extra for dismantling trusses rafter in addi. span. </t>
  </si>
  <si>
    <t xml:space="preserve">Extra for dismantling trusses, rafters, purlins etc. of steel work for every additional span of one metre or part thereof beyond 10 metres </t>
  </si>
  <si>
    <t xml:space="preserve">Kg per metre span                         </t>
  </si>
  <si>
    <t>15.21</t>
  </si>
  <si>
    <t xml:space="preserve">Extra for dismantling trusses, rafters, purlins etc. of steel work for every additional height of one metre or part thereof beyond 5 metres. </t>
  </si>
  <si>
    <t xml:space="preserve">Kg per metre height                       </t>
  </si>
  <si>
    <t>15.22</t>
  </si>
  <si>
    <t xml:space="preserve">Extra for making of structural steel work required to be reerected. </t>
  </si>
  <si>
    <t xml:space="preserve">Extra for marking of structural steel work required to be re-erected. </t>
  </si>
  <si>
    <t>15.23</t>
  </si>
  <si>
    <t xml:space="preserve">Dismantling tile work in floor roofs laid in cement mortar : </t>
  </si>
  <si>
    <t xml:space="preserve">Dismantling tile work in floors and roofs laid in cement mortar including stacking material within 50 metres lead. </t>
  </si>
  <si>
    <t>15.23.1</t>
  </si>
  <si>
    <t xml:space="preserve">For 10 to 25 mm tiles. </t>
  </si>
  <si>
    <t xml:space="preserve">For thickness of tiles 10 mm to 25 mm </t>
  </si>
  <si>
    <t>15.23.2</t>
  </si>
  <si>
    <t xml:space="preserve">For 25 to 40 mm thick. </t>
  </si>
  <si>
    <t xml:space="preserve">For thickness of tiles above 25 mm and up to 40 mm </t>
  </si>
  <si>
    <t>15.24</t>
  </si>
  <si>
    <t xml:space="preserve">Demolishing dry brick pitching in floors, drains etc. </t>
  </si>
  <si>
    <t xml:space="preserve">Demolishing dry brick pitching in floors, drains etc. including stacking of serviceable material and disposal of unserviceable material within 50 metres lead : </t>
  </si>
  <si>
    <t>15.25</t>
  </si>
  <si>
    <t xml:space="preserve">Dismantling stone slab floo- ring laid in cement mortar. </t>
  </si>
  <si>
    <t xml:space="preserve">Dismantling stone slab flooring laid in cement mortar including stacking of serviceable material and disposal of unserviceable material within 50 metres lead </t>
  </si>
  <si>
    <t>15.26</t>
  </si>
  <si>
    <t xml:space="preserve">Demolishing brick tile in terracing. </t>
  </si>
  <si>
    <t xml:space="preserve">Demolishing brick tile covering in terracing including stacking of serviceable material and disposal of unserviceable material within 50 metres lead. </t>
  </si>
  <si>
    <t>15.27</t>
  </si>
  <si>
    <t xml:space="preserve">Demolishing mud phaska. </t>
  </si>
  <si>
    <t xml:space="preserve">Demolishing mud phaska in terracing and disposal of material within 50 metres lead. . </t>
  </si>
  <si>
    <t>15.28</t>
  </si>
  <si>
    <t xml:space="preserve">Dismantling roofing inluding ridges, hips : </t>
  </si>
  <si>
    <t xml:space="preserve">Dismantling roofing including ridges, hips, valleys and gutters etc., and stacking the material within 50 metres lead of: </t>
  </si>
  <si>
    <t>15.28.1</t>
  </si>
  <si>
    <t xml:space="preserve">G.S sheet. </t>
  </si>
  <si>
    <t xml:space="preserve">G.S. Sheet </t>
  </si>
  <si>
    <t>15.28.2</t>
  </si>
  <si>
    <t xml:space="preserve">Asbestos sheet. </t>
  </si>
  <si>
    <t xml:space="preserve">Asbestos cement sheet </t>
  </si>
  <si>
    <t>15.29</t>
  </si>
  <si>
    <t xml:space="preserve">Dismantling stone slab roofing over wooden karries or R.C.C. battens. </t>
  </si>
  <si>
    <t xml:space="preserve">Dismantling stone slab roofing over wooden karries or R.C.C. battens (dismantling karries and battens to be paid for separately), including stacking of serviceable material and disposal of unserviceable material within 50 metres lead. </t>
  </si>
  <si>
    <t>15.30</t>
  </si>
  <si>
    <t xml:space="preserve">Dismantling jack arch roofing and floors. </t>
  </si>
  <si>
    <t xml:space="preserve">Dismantling jack arch roofing and floors including stacking of serviceable material and disposal of unserviceable material within 50 metres lead. </t>
  </si>
  <si>
    <t>15.31</t>
  </si>
  <si>
    <t xml:space="preserve">Dismantling tiled roofing with battens boarding etc. </t>
  </si>
  <si>
    <t xml:space="preserve">Dismantling tiled roofing with battens, boarding etc. complete including stacking of serviceable material and disposal of unserviceable material within 50 metres lead. </t>
  </si>
  <si>
    <t>15.32</t>
  </si>
  <si>
    <t xml:space="preserve">Demolishing thatch roofing i/c mats, bamboo, jaffari etc. </t>
  </si>
  <si>
    <t xml:space="preserve">Demolishing thatch roofing including mats, bamboo, jaffari etc. complete including stacking of serviceable material and disposal of unserviceable material within 50 metres lead. </t>
  </si>
  <si>
    <t>15.33</t>
  </si>
  <si>
    <t xml:space="preserve">Dismantling wooden ballies in posts and struts. </t>
  </si>
  <si>
    <t xml:space="preserve">Dismantling wooden ballies in posts and struts including stacking within 50 metres lead. </t>
  </si>
  <si>
    <t>15.34</t>
  </si>
  <si>
    <t xml:space="preserve">Dismentling and stacking fencing posts : </t>
  </si>
  <si>
    <t xml:space="preserve">Dismantling and stacking within 50 metres lead, fencing posts or struts including all earth work and dismantling of concrete etc. in base of: </t>
  </si>
  <si>
    <t>15.34.1</t>
  </si>
  <si>
    <t xml:space="preserve">`T' or `L' iron or pipe. </t>
  </si>
  <si>
    <t xml:space="preserve">T’ or ‘L’ iron or pipe </t>
  </si>
  <si>
    <t>15.34.2</t>
  </si>
  <si>
    <t xml:space="preserve">R.C.C.. </t>
  </si>
  <si>
    <t xml:space="preserve">R.C.C. </t>
  </si>
  <si>
    <t>15.35</t>
  </si>
  <si>
    <t xml:space="preserve">Cutting ballies or wooden posts of fencing. </t>
  </si>
  <si>
    <t xml:space="preserve">Cutting ballies or wooden posts of fencing at the point of projection above the concrete or ground and stacking the same within 50 metres lead. </t>
  </si>
  <si>
    <t>15.36</t>
  </si>
  <si>
    <t xml:space="preserve">Dismantling barbed wire in fencing. </t>
  </si>
  <si>
    <t xml:space="preserve">Dismantling barbed wire or flexible wire rope in fencing including making rolls and stacking within 50 metres lead. </t>
  </si>
  <si>
    <t>15.37</t>
  </si>
  <si>
    <t xml:space="preserve">Dismantling wooden trellis work excluding frames. </t>
  </si>
  <si>
    <t xml:space="preserve">Dismantling wooden trellis work excluding frames but including stacking the serviceable material within 50 metres lead.. </t>
  </si>
  <si>
    <t>15.38</t>
  </si>
  <si>
    <t xml:space="preserve">Dismantling expanded metal. </t>
  </si>
  <si>
    <t xml:space="preserve">Dismantling expanded metal or I.R.C. fabrics with necessary battens and beading including stacking the serviceable material within 50 metres lead. </t>
  </si>
  <si>
    <t>15.39</t>
  </si>
  <si>
    <t xml:space="preserve">Dismantling wooden boarding in lining of walls : </t>
  </si>
  <si>
    <t xml:space="preserve">Dismantling wooden boardings in lining of walls and partitions, excluding supporting members but including stacking within 50metres lead : </t>
  </si>
  <si>
    <t>15.39.1</t>
  </si>
  <si>
    <t xml:space="preserve">Upto 10 mm thick. </t>
  </si>
  <si>
    <t xml:space="preserve">Up to 10 mm thick </t>
  </si>
  <si>
    <t>15.39.2</t>
  </si>
  <si>
    <t xml:space="preserve">Above 10 to 25 mm thick. </t>
  </si>
  <si>
    <t xml:space="preserve">Thickness above 10 mm up to 25 mm </t>
  </si>
  <si>
    <t>15.39.3</t>
  </si>
  <si>
    <t xml:space="preserve">Above 25 to 40 mm thick. </t>
  </si>
  <si>
    <t xml:space="preserve">Thickness above 25 mm up to 40 mm </t>
  </si>
  <si>
    <t>15.40</t>
  </si>
  <si>
    <t xml:space="preserve">Dismantling precast concrete or stone slabs in walls, partition walls etc.: </t>
  </si>
  <si>
    <t xml:space="preserve">Dismantling precast concrete or stone slabs in walls, partition walls etc. including stacking within 50 metres lead : </t>
  </si>
  <si>
    <t>15.40.1</t>
  </si>
  <si>
    <t xml:space="preserve">Thickness upto 40 mm. </t>
  </si>
  <si>
    <t xml:space="preserve">Thickness up to 40 mm </t>
  </si>
  <si>
    <t>15.40.2</t>
  </si>
  <si>
    <t xml:space="preserve">Thickness above 40 mm upto 75 mm. </t>
  </si>
  <si>
    <t xml:space="preserve">Thickness above 40 mm up to 75 mm </t>
  </si>
  <si>
    <t>15.41</t>
  </si>
  <si>
    <t xml:space="preserve">Dismantling cement asbestors, ceiling or partition. </t>
  </si>
  <si>
    <t xml:space="preserve">Dismantling cement asbestos or other hard board ceiling or partition walls including stacking of serviceable materials and disposal of unserviceable materials within 50 metres lead. </t>
  </si>
  <si>
    <t>15.42</t>
  </si>
  <si>
    <t xml:space="preserve">Dismantling C.I or asbestos rain pipe : </t>
  </si>
  <si>
    <t xml:space="preserve">Dismantling C.I. or asbestos rain water pipe with fittings and clamps including stacking the material within 50 metres lead : </t>
  </si>
  <si>
    <t>15.42.1</t>
  </si>
  <si>
    <t xml:space="preserve">75 to 80 mm dia. pipe. </t>
  </si>
  <si>
    <t xml:space="preserve">75 to 80 mm dia pipe. </t>
  </si>
  <si>
    <t>15.42.2</t>
  </si>
  <si>
    <t xml:space="preserve">100 mm dia pipe </t>
  </si>
  <si>
    <t>15.42.3</t>
  </si>
  <si>
    <t xml:space="preserve">150 mm dia. pipe. </t>
  </si>
  <si>
    <t xml:space="preserve">150 mm dia pipe </t>
  </si>
  <si>
    <t>15.43</t>
  </si>
  <si>
    <t xml:space="preserve">Dismantling : </t>
  </si>
  <si>
    <t xml:space="preserve">Dismantling manually/ by mechanical means including stacking of serviceable material and disposal of unserviceable material within 50 metres lead as per direction of Engineer-in-charge : </t>
  </si>
  <si>
    <t>15.43.1</t>
  </si>
  <si>
    <t xml:space="preserve">Water bound macadam road. </t>
  </si>
  <si>
    <t xml:space="preserve">Water bound macadam road </t>
  </si>
  <si>
    <t>15.43.2</t>
  </si>
  <si>
    <t xml:space="preserve">Bituminous road. </t>
  </si>
  <si>
    <t xml:space="preserve">Bituminous road </t>
  </si>
  <si>
    <t>15.44</t>
  </si>
  <si>
    <t xml:space="preserve">Dismantling G.I. pipes : (external work). </t>
  </si>
  <si>
    <t xml:space="preserve">Dismantling G.I. pipes (external work) including excavation and refilling trenches after taking out the pipes, manually/ by mechanical means including stacking of pipes within 50 metres lead as per direction of Engineer-in-charge : </t>
  </si>
  <si>
    <t>15.44.1</t>
  </si>
  <si>
    <t xml:space="preserve">15 to 40 mm nominal bore. </t>
  </si>
  <si>
    <t xml:space="preserve">15 mm to 40 mm nominal bore </t>
  </si>
  <si>
    <t>15.44.2</t>
  </si>
  <si>
    <t xml:space="preserve">Above 40 mm nominal bore </t>
  </si>
  <si>
    <t>15.45</t>
  </si>
  <si>
    <t xml:space="preserve">Dismantling C.I. pipes : </t>
  </si>
  <si>
    <t xml:space="preserve">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t>
  </si>
  <si>
    <t>15.45.1</t>
  </si>
  <si>
    <t xml:space="preserve">Upto 150 mm diameter. </t>
  </si>
  <si>
    <t xml:space="preserve">Up to 150 mm diameter </t>
  </si>
  <si>
    <t>15.45.2</t>
  </si>
  <si>
    <t xml:space="preserve">Above 150 mm dia upto 300 mm dia. </t>
  </si>
  <si>
    <t xml:space="preserve">Above 150 mm dia up to 300 mm dia. </t>
  </si>
  <si>
    <t>15.45.3</t>
  </si>
  <si>
    <t xml:space="preserve">Above 300 mm diameter. </t>
  </si>
  <si>
    <t xml:space="preserve">Above 300 mm diameter </t>
  </si>
  <si>
    <t>15.46</t>
  </si>
  <si>
    <t xml:space="preserve">Dismantling steel cylinder R.C pipes : </t>
  </si>
  <si>
    <t xml:space="preserve">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t>
  </si>
  <si>
    <t>15.46.1</t>
  </si>
  <si>
    <t xml:space="preserve">Upto 600 mm diameter. </t>
  </si>
  <si>
    <t xml:space="preserve">Up to 600 mm diameter </t>
  </si>
  <si>
    <t>15.46.2</t>
  </si>
  <si>
    <t xml:space="preserve">Above 600 mm diameter. </t>
  </si>
  <si>
    <t xml:space="preserve">Above 600 mm diameter </t>
  </si>
  <si>
    <t>15.47</t>
  </si>
  <si>
    <t xml:space="preserve">Dismantling asbestos cement pressure pipes : </t>
  </si>
  <si>
    <t xml:space="preserve">Dismantling asbestos cement pressure pipes including excavation and refilling trenches after taking out the pipes manually/ by mechanical means and stacking the pipes within 50 metres lead as per direction of Engineer-in-charge : </t>
  </si>
  <si>
    <t>15.47.1</t>
  </si>
  <si>
    <t>15.47.2</t>
  </si>
  <si>
    <t xml:space="preserve">Above 150 mm diameter. </t>
  </si>
  <si>
    <t xml:space="preserve">Above 150 mm diameter </t>
  </si>
  <si>
    <t>15.48</t>
  </si>
  <si>
    <t xml:space="preserve">Taking out CI cover with frame from RCC top slab of manholes of various sizes. </t>
  </si>
  <si>
    <t xml:space="preserve">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 </t>
  </si>
  <si>
    <t>15.49</t>
  </si>
  <si>
    <t xml:space="preserve">Taking out CI cover with frame from R.C.C. top slab of inspe- ction chambers. </t>
  </si>
  <si>
    <t xml:space="preserve">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Engineer-in-charge. </t>
  </si>
  <si>
    <t>15.50</t>
  </si>
  <si>
    <t xml:space="preserve">Dismantling of R.C.C spun vent shaft. </t>
  </si>
  <si>
    <t xml:space="preserve">Dismantling of R.C.C. spun vent shaft including excavating the cement concrete pit completely, taking out the shaft, refilling the excavated gap, stacking the useful materials near the site and disposal of unserviceable materials within 50 metres lead. </t>
  </si>
  <si>
    <t>15.51</t>
  </si>
  <si>
    <t xml:space="preserve">Dismantling of road gully chambers of various sizes i/c CI grating with frame. </t>
  </si>
  <si>
    <t xml:space="preserve">Dismantling of road gully chamber of various sizes including C.I. grating with frame including stacking of useful materials near the site and disposal of unserviceable materials within 50metres lead including refilling the excavated gap. </t>
  </si>
  <si>
    <t>15.52</t>
  </si>
  <si>
    <t xml:space="preserve">Dismantling flushing cistern of any size. </t>
  </si>
  <si>
    <t xml:space="preserve">Dismantling of flushing cistern of all types (C.I./PVC/Vitreous China) including stacking of useful materials near the site and disposal of unserviceable materials within 50 metres lead. </t>
  </si>
  <si>
    <t>15.53</t>
  </si>
  <si>
    <t xml:space="preserve">Dismantling of C.I. sluice valve : </t>
  </si>
  <si>
    <t xml:space="preserve">Dismantling of C.I. sluice valve including stacking of useful materials within a lead of 50 metres </t>
  </si>
  <si>
    <t>15.53.1</t>
  </si>
  <si>
    <t>15.53.2</t>
  </si>
  <si>
    <t>15.54</t>
  </si>
  <si>
    <t xml:space="preserve">Dismantling of spindle fire hydrant. </t>
  </si>
  <si>
    <t xml:space="preserve">Dismantling of spindle fire hydrant including stacking of useful materials within 50 metres lead. </t>
  </si>
  <si>
    <t>15.55</t>
  </si>
  <si>
    <t xml:space="preserve">Dismantling of C.C. platform along with curtain walls and base concrete etc : </t>
  </si>
  <si>
    <t xml:space="preserve">Dismantling of cement concrete platform along with curtain walls and base concrete etc. including stacking of useful materials near the site and disposal of unserviceable materials within 50 metres lead : </t>
  </si>
  <si>
    <t>15.55.1</t>
  </si>
  <si>
    <t xml:space="preserve">120 x 120 cm (outside to outside). </t>
  </si>
  <si>
    <t xml:space="preserve">120 x 120 cm (outside to outside) </t>
  </si>
  <si>
    <t>15.55.2</t>
  </si>
  <si>
    <t xml:space="preserve">210 x 120 cm (outside to outside). </t>
  </si>
  <si>
    <t xml:space="preserve">210 x 120 cm (outside to outside) </t>
  </si>
  <si>
    <t>15.55.3</t>
  </si>
  <si>
    <t xml:space="preserve">320 x 120 cm (outside to outside) </t>
  </si>
  <si>
    <t>15.56</t>
  </si>
  <si>
    <t xml:space="preserve">Dismantling old plaster or skirting raking out joints. </t>
  </si>
  <si>
    <t xml:space="preserve">Dismantling old plaster or skirting raking out joints and cleaning the surface for plaster including disposal of rubbish to the dumping ground within 50 metres lead. </t>
  </si>
  <si>
    <t>15.57</t>
  </si>
  <si>
    <t xml:space="preserve">Dismantling aluminium/Gypsum partitions etc. </t>
  </si>
  <si>
    <t xml:space="preserve">Dismantling aluminium/ Gypsum partitions, doors, windows, fixed glazing and false ceiling including disposal of unserviceable material and stacking of serviceable material with in 50 meters lead as directed by Engineer-in-charge. </t>
  </si>
  <si>
    <t>15.58</t>
  </si>
  <si>
    <t xml:space="preserve">Demolishing R.C.C work by mechanical means and stockpiling at designated locations. </t>
  </si>
  <si>
    <t xml:space="preserve">Demolishing R.C.C. work by mechanical means and stockpiling at designated locations and disposal of dismantled materials up to a lead of 1 kilometre, stacking serviceable and unserviceable material separately including cutting reinforcement bars. </t>
  </si>
  <si>
    <t>15.59</t>
  </si>
  <si>
    <t xml:space="preserve">Dismantling of flexible pavement (Bitumenous courses) by mechanical. </t>
  </si>
  <si>
    <t xml:space="preserve">Dismantling of flexible pavement (bituminous courses) by mechanical means and disposal of dismantled material up to a lead of 1 kilometre, as per direction of Engineer-in-charge. </t>
  </si>
  <si>
    <t>15.60</t>
  </si>
  <si>
    <t xml:space="preserve">Disposal of building rubbish /malba /similar unserviceable materials. </t>
  </si>
  <si>
    <t xml:space="preserve">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 </t>
  </si>
  <si>
    <t xml:space="preserve">Total of the Sub-Head - Dismantling And Demolishing :  </t>
  </si>
  <si>
    <t xml:space="preserve">        Sub-Head : Road Work</t>
  </si>
  <si>
    <t>16.1</t>
  </si>
  <si>
    <t xml:space="preserve">Preparation of sub grade and consolidating with road roller. </t>
  </si>
  <si>
    <t xml:space="preserve">Preparation and consolidation of sub grade with power road roller of 8 to 12 tonne capacity after excavating earth to an average of 22.5 cm depth, dressing to camber and consolidating with road roller including making good the undulations etc. and re- olling the sub grade and disposal of surplus earthwith lead upto 50 metres. </t>
  </si>
  <si>
    <t>16.2</t>
  </si>
  <si>
    <t xml:space="preserve">Extra for compaction of earth work in embankment under opti- mum moisture conditions. </t>
  </si>
  <si>
    <t xml:space="preserve">Extra for compaction of earth work in embankment under optimum moisture conditions to give at least 95% of the maximum dry density (proctor density). </t>
  </si>
  <si>
    <t>16.3</t>
  </si>
  <si>
    <t xml:space="preserve">Supplying &amp; stacking at site: </t>
  </si>
  <si>
    <t xml:space="preserve">Supplying and stacking at site. </t>
  </si>
  <si>
    <t>16.3.1</t>
  </si>
  <si>
    <t xml:space="preserve">90mm to 45mm size stone aggregate. </t>
  </si>
  <si>
    <t xml:space="preserve">90 mm to 45 mm size stone aggregate. </t>
  </si>
  <si>
    <t>16.3.2</t>
  </si>
  <si>
    <t xml:space="preserve">63mm to 45mm size stone aggregate. </t>
  </si>
  <si>
    <t xml:space="preserve">63 mm to 45 mm size stone aggregate. </t>
  </si>
  <si>
    <t>16.3.3</t>
  </si>
  <si>
    <t xml:space="preserve">53mm to 22.4mm size stone aggregate. </t>
  </si>
  <si>
    <t xml:space="preserve">53 mm to 22.4 mm size stone aggregate. </t>
  </si>
  <si>
    <t>16.3.4</t>
  </si>
  <si>
    <t xml:space="preserve">Over burnt (Jhama) brick agg. 120 mm to 40 mm. </t>
  </si>
  <si>
    <t xml:space="preserve">Over burnt (Jhama) brick aggregate 120 mm to 40 mm. </t>
  </si>
  <si>
    <t>16.3.5</t>
  </si>
  <si>
    <t xml:space="preserve">Over burnt (Jhama) brick agg. 90 mm to 45 mm. </t>
  </si>
  <si>
    <t xml:space="preserve">Over burnt (Jhama) brick aggregate 90 mm to 45 mm. </t>
  </si>
  <si>
    <t>16.3.6</t>
  </si>
  <si>
    <t xml:space="preserve">Stone screening 13.2 mm nominal size (Type A). </t>
  </si>
  <si>
    <t>16.3.7</t>
  </si>
  <si>
    <t xml:space="preserve">Stone screening 11.2 mm nominal size (Type B). </t>
  </si>
  <si>
    <t>16.3.8</t>
  </si>
  <si>
    <t xml:space="preserve">Red bajri. </t>
  </si>
  <si>
    <t xml:space="preserve">Red bajri </t>
  </si>
  <si>
    <t>16.3.9</t>
  </si>
  <si>
    <t xml:space="preserve">Good earth. </t>
  </si>
  <si>
    <t>16.3.10</t>
  </si>
  <si>
    <t xml:space="preserve">Moorum. </t>
  </si>
  <si>
    <t>16.4</t>
  </si>
  <si>
    <t xml:space="preserve">Laying sprading and compacting stone aggregate of specified sizes to water bound macadam specifications i/c spreading in uniform thickness, rolling road roller 8 - 10 tonne. </t>
  </si>
  <si>
    <t xml:space="preserve">Laying, spreading and compacting stone aggregate of specified sizes to WBM specifications in uniform thickness, hand picking, rolling with 3 wheeled road / vibratory roller 8-10 tonne capacity in stages to proper grade and camber, applying and brooming requisite type of screening / binding material to fill up interstices of coarse aggregate, watering and compacting to the required density </t>
  </si>
  <si>
    <t>16.5</t>
  </si>
  <si>
    <t xml:space="preserve">Laying water bound macadam sub -base with brick agg. and bli- nding material : </t>
  </si>
  <si>
    <t xml:space="preserve">Laying water bound macadam sub-base with brick aggregate and binding material, earth etc. including screening, sorting and spreading to template and consolidation with light power road-roller etc. complete.(payment for brick aggregate and moorum etc. to be made separately) </t>
  </si>
  <si>
    <t>16.5.1</t>
  </si>
  <si>
    <t>16.5.2</t>
  </si>
  <si>
    <t>16.6</t>
  </si>
  <si>
    <t xml:space="preserve">Spreading 6 mm thick red bajri watering and rolling complete: </t>
  </si>
  <si>
    <t xml:space="preserve">Supplying, stacking and Spreading 6 mm thick red bajri, watering and rolling complete including preparation of the surface and rolling. </t>
  </si>
  <si>
    <t>16.6.1</t>
  </si>
  <si>
    <t xml:space="preserve">With road roller/ hand roller. </t>
  </si>
  <si>
    <t>16.7</t>
  </si>
  <si>
    <t xml:space="preserve">Brick edging in full brick width and half brick depth : </t>
  </si>
  <si>
    <t xml:space="preserve">Brick edging in full brick width and half brick depth including excavation, refilling and disposal of surplus earth lead upto 50 metres. </t>
  </si>
  <si>
    <t>16.7.1</t>
  </si>
  <si>
    <t xml:space="preserve">With F.P.S. bricks of class designation 75. </t>
  </si>
  <si>
    <t xml:space="preserve">With common burnt clay F.P.S. (non modular) bricks of class designation 7.5 </t>
  </si>
  <si>
    <t>16.8</t>
  </si>
  <si>
    <t xml:space="preserve">Brick edging laid lengthwise with half brick depth : </t>
  </si>
  <si>
    <t xml:space="preserve">Brick edging laid lengthwise with half brick depth including excavation, refilling and disposal of surplus earth lead upto 50 metres : </t>
  </si>
  <si>
    <t>16.8.1</t>
  </si>
  <si>
    <t>16.9</t>
  </si>
  <si>
    <t xml:space="preserve">Scarifying metalled (water- bound) road surface. </t>
  </si>
  <si>
    <t xml:space="preserve">Scarifying metalled (water-bound) road surface including disposal of rubbish, lead upto 50m and consolidation of the aggregate received from scarifying with power road roller of 8 to 10 tonne capacity. </t>
  </si>
  <si>
    <t>16.10</t>
  </si>
  <si>
    <t xml:space="preserve">Making bajri path including preparation of subgrade, S/L brick aggregate. </t>
  </si>
  <si>
    <t xml:space="preserve">Making bajri path including preparation of sub grade, supplying and laying brick aggregate of 50mm nominal size 7.5 cm deep with binding material consisting of 12 mm moorum and 12 mm red bajri consolidated with road roller. </t>
  </si>
  <si>
    <t>16.11</t>
  </si>
  <si>
    <t xml:space="preserve">Dry stone pitching 22.5 Cm thick including supply of stones. </t>
  </si>
  <si>
    <t xml:space="preserve">Dry stone pitching 22.5 cm thick including supply of stones and preparing surface complete. </t>
  </si>
  <si>
    <t>16.12</t>
  </si>
  <si>
    <t xml:space="preserve">Dry brick pitching half brick thick in drains, road path including suplly of bricks : </t>
  </si>
  <si>
    <t xml:space="preserve">Dry brick pitching half brick thick in drains including supply of bricks and preparing the surface complete : </t>
  </si>
  <si>
    <t>16.12.1</t>
  </si>
  <si>
    <t xml:space="preserve">with FPS bricks with class designation 75. </t>
  </si>
  <si>
    <t>16.13</t>
  </si>
  <si>
    <t xml:space="preserve">Cutting road and making good the same : </t>
  </si>
  <si>
    <t xml:space="preserve">Cutting road and making good the same including supply of extra quantities of materials i.e. aggregate, moorum screening, red bajri and labour required. </t>
  </si>
  <si>
    <t>16.13.1</t>
  </si>
  <si>
    <t xml:space="preserve">Bituminous portion. </t>
  </si>
  <si>
    <t xml:space="preserve">bituminous portion </t>
  </si>
  <si>
    <t>16.13.2</t>
  </si>
  <si>
    <t xml:space="preserve">Water bound macadam. </t>
  </si>
  <si>
    <t>16.14</t>
  </si>
  <si>
    <t xml:space="preserve">Cutting bajri paths and making good the same. </t>
  </si>
  <si>
    <t xml:space="preserve">Cutting bajri paths and making good the same including supply of extra quantities of brick aggregate, moorum and red bajri required. </t>
  </si>
  <si>
    <t>16.15</t>
  </si>
  <si>
    <t xml:space="preserve">Supplying at site : </t>
  </si>
  <si>
    <t>16.15.1</t>
  </si>
  <si>
    <t xml:space="preserve">RCC Standards post/ Struts/ rails/pales of mix 1: 1.5:3 with wooden plugs or 6 mm bar nibs wherever required. </t>
  </si>
  <si>
    <t xml:space="preserve">R.C.C. Standards post/ struts/rails/ pales of mix 1:1.5:3 (1 cement : 1.5 coarse sand : 3 graded stone aggregate 12.5 mm nominal size) with wooden plugs or 6mm bar nibs wherever required as per direction of Engineer-in-charge (cost of earth works in excavation, concrete works in foundation to be paid separately). </t>
  </si>
  <si>
    <t>16.15.2</t>
  </si>
  <si>
    <t xml:space="preserve">Welded steel wire fabrick of required width rectangular mesh. </t>
  </si>
  <si>
    <t xml:space="preserve">Welded steel wire fabric of required width having rectangular mesh painted with two or more coats of enamel paint of approved shade over a coat of primer (Priming &amp; Painting to be paid for separately). </t>
  </si>
  <si>
    <t>16.16</t>
  </si>
  <si>
    <t xml:space="preserve">S/F turn buckles and straining bolts for barbed wire fencing. </t>
  </si>
  <si>
    <t xml:space="preserve">Supplying and fixing turn buckles and straining bolts for barbed wire fencing. </t>
  </si>
  <si>
    <t xml:space="preserve">Each set                                  </t>
  </si>
  <si>
    <t>16.17</t>
  </si>
  <si>
    <t xml:space="preserve">Fencing with RCC post placed at required distance,embedded in CC blocks, provided with horizontal lines &amp;2 diagonals of barbed wire. </t>
  </si>
  <si>
    <t xml:space="preserve">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 </t>
  </si>
  <si>
    <t>16.17.1</t>
  </si>
  <si>
    <t xml:space="preserve">With G.I. barbed wire. </t>
  </si>
  <si>
    <t xml:space="preserve">With G.I. barbed wire </t>
  </si>
  <si>
    <t>16.18</t>
  </si>
  <si>
    <t xml:space="preserve">1.2 M high fencing with 1.8 M sal balli posts, placed every 2.50 Mtr apart provided with 6 horizontal lines and two diagonals of barbed wire : </t>
  </si>
  <si>
    <t xml:space="preserve">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 </t>
  </si>
  <si>
    <t>16.18.1</t>
  </si>
  <si>
    <t>16.19</t>
  </si>
  <si>
    <t xml:space="preserve">Supplying at site and fixing Angle iron post for fencing work . </t>
  </si>
  <si>
    <t xml:space="preserve">Supplying at site Angle iron post &amp; strut of required size including bottom to be split and bent at right angle in opposite direction for 10 cm length and drilling holes upto 10 mm dia. etc. complete. </t>
  </si>
  <si>
    <t>16.20</t>
  </si>
  <si>
    <t xml:space="preserve">Welded steel wire fabric fencing with posts of speci- fied material and of standard design.(cost of posts, welded steel wire fabric, painting, earth work in excavation and C.C. to be paid separately). </t>
  </si>
  <si>
    <t xml:space="preserve">Welded steel wire fabric fencing with posts of specified material and of standard design placed and embedded in cement concrete blocks 45x45x 60 cm of mix 1:5:10 (1 cement:5 fine sand : 10 graded stoneaggregate 40 mm nominal size), every 15th post, last but one end post and corner post shall be strutted on both sides and end post on one side only and struts embedded in cement concrete blocks 70x45x50 cm of the same mix, provided with welded steel wire fabricfixed between the posts fitted and fixed with G.I. staples on wooden plugs or tied to 6 mm bar nibs with G.I. binding wire (cost of posts, welded steel wire fabric, painting, earth work in excavation and concrete to be paid for separately). </t>
  </si>
  <si>
    <t>16.21</t>
  </si>
  <si>
    <t xml:space="preserve">Engraving letters in hard stone. </t>
  </si>
  <si>
    <t xml:space="preserve">Engraving letters in hard stone </t>
  </si>
  <si>
    <t xml:space="preserve">per cm height per letter                  </t>
  </si>
  <si>
    <t>16.22</t>
  </si>
  <si>
    <t xml:space="preserve">P/F 15 x 15 x 90 Cm boundary stone of hard stone with top 30 Cm chisel dressed. </t>
  </si>
  <si>
    <t xml:space="preserve">Providing and fixing 15x15x90cm boundary stone of hard stone with top 30 cm chisel dressed on all four sides including top (cost of excavation, refilling and concrete etc. to be paid for separately). </t>
  </si>
  <si>
    <t>16.23</t>
  </si>
  <si>
    <t xml:space="preserve">P/F 15 cm dia at top, 20 cm at bottom and 90 cm high precast RCC 1 : 2 : 4 boundary stone. </t>
  </si>
  <si>
    <t xml:space="preserve">Providing and fixing 15cm dia at top, 20cm at bottom and 90cm high precast reinforced cement concrete 1:1.5:3 (1 cement : 1.5 coarse sand : 3 graded stone aggregate 20mm nominal size) boundary stone as per standard design including finishing smooth with cement mortar 1:3 (1 cement : 3 fine sand)(cost of excavation, refilling and concreting to be paid for separately). </t>
  </si>
  <si>
    <t>16.24</t>
  </si>
  <si>
    <t xml:space="preserve">P/F precast reinforced cement concrete 1 : 2 : 4 Km. stone as per standard design i/c. finishing smooth in 1 : 3. </t>
  </si>
  <si>
    <t xml:space="preserve">Providing and fixing precast reinforced cement concrete 1:1.5:3 (1 cement : 1.5 coarse sand : 3 graded stone aggregate 20mm nominal size) kilo metre stone as per standard design including finishing smooth in 1:3 cement mortar(1 cement : 3 fine sand) but excluding the cost of earth work, concrete in foundation, painting and lettering etc. which shall be paid for separately. </t>
  </si>
  <si>
    <t>16.24.1</t>
  </si>
  <si>
    <t xml:space="preserve">35 x 111 x 25 cm size. </t>
  </si>
  <si>
    <t xml:space="preserve">35x111x25 cm size. </t>
  </si>
  <si>
    <t>16.24.2</t>
  </si>
  <si>
    <t xml:space="preserve">50 x 152.52 x 25 cm size. </t>
  </si>
  <si>
    <t xml:space="preserve">50x152.5x25 cm size. </t>
  </si>
  <si>
    <t>16.24.3</t>
  </si>
  <si>
    <t xml:space="preserve">35 x 93.5 x 18 cm size. </t>
  </si>
  <si>
    <t xml:space="preserve">35x93.5x18 cm size. </t>
  </si>
  <si>
    <t>16.25</t>
  </si>
  <si>
    <t xml:space="preserve">Surface dressing on new surf- ace with paving of A-90/S-90 using 2.25 Kg bitumen per Sqm with 1.65 Cum of stone chipping 13.2 mm n/s. </t>
  </si>
  <si>
    <t xml:space="preserve">Surface dressing on new surface with paving bitumen of grade VG - 10 of approved quality using 2.25 kg of bitumen per sqm with 1.65 cum of stone chippings 13.2 mm nominal size per 100 sqm of road surface, including consolidation with road roller of 6 to 8 tonne capacity etc. complete: </t>
  </si>
  <si>
    <t>16.26</t>
  </si>
  <si>
    <t xml:space="preserve">Surface dressing on new surface in two coats with bitumen of grade A-90/S-90. </t>
  </si>
  <si>
    <t xml:space="preserve">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 </t>
  </si>
  <si>
    <t>16.27</t>
  </si>
  <si>
    <t xml:space="preserve">Surface dressing on old surface with hot bitumen of grade A-90/S-90. </t>
  </si>
  <si>
    <t xml:space="preserve">Surface dressing on old surface with hot bitumen of grade VG - 10 of approved quality using 1.95 kg of bitumen per sqm. with 1.50 cum of stone chippings 11.2 mm nominal size per 100 sqm of road surface including consolidation with road roller of 6 to 8 tonne capacity, etc. complete. </t>
  </si>
  <si>
    <t>16.28</t>
  </si>
  <si>
    <t xml:space="preserve">Surface dressing one coat on new surface with bitumen : </t>
  </si>
  <si>
    <t xml:space="preserve">Surface dressing one coat on new surface with bitumen of specified grade at a rate of 1.95 kg/sqm. of surface area with 1.5 cum. of stone chippings 13.2mm nominal size per 100 sqm. of road surface including consolidation with road roller of 6 to 8 tonne capacity , etc. complete : </t>
  </si>
  <si>
    <t>16.28.1</t>
  </si>
  <si>
    <t xml:space="preserve">Using bitumen emulsion (min. 50 % bitumen content-RS grade conforming to IS :8837). </t>
  </si>
  <si>
    <t xml:space="preserve">Using bitumen emulsion (minimum 50% bitumen content - RS grade conforming to IS : 8887). </t>
  </si>
  <si>
    <t>16.29</t>
  </si>
  <si>
    <t xml:space="preserve">Surface dressing one coat on old surface with bitumen : </t>
  </si>
  <si>
    <t xml:space="preserve">Surface dressing one coat on old surface with bitumen of specified grade at the rate of 1.22 kg/ sqm of surface area with 1.10 cum of stone chippings 11.2 mm nominal size per 100 sqm. of road surface including consolidation with road roller of 6 to 8 tonne capacity etc. complete : </t>
  </si>
  <si>
    <t>16.29.1</t>
  </si>
  <si>
    <t xml:space="preserve">Using bitumen emulsion (min. 50 % bitumen content-RS grade conforming to IS : 8837). </t>
  </si>
  <si>
    <t>16.30</t>
  </si>
  <si>
    <t xml:space="preserve">P/L applying tack coat using hot straight run bitumen of grade 80/100 : </t>
  </si>
  <si>
    <t xml:space="preserve">Providing and applying tack coat using hot straight run bitumen of grade VG - 10 including heating the bitumen, spraying the bitumen with mechanically operated spray unit fitted on bitumen boiler, cleaning and preparing the existing road surface as per specifications : </t>
  </si>
  <si>
    <t>16.30.1</t>
  </si>
  <si>
    <t xml:space="preserve">On W.B.M. @ 0.75 Kg/Sqm. </t>
  </si>
  <si>
    <t xml:space="preserve">On W.B.M. @ 0.75 Kg / sqm. </t>
  </si>
  <si>
    <t>16.30.2</t>
  </si>
  <si>
    <t xml:space="preserve">On bituminous surface @ 0.50 Kg/Sqm. </t>
  </si>
  <si>
    <t xml:space="preserve">On bituminous surface @ 0.50 Kg / sqm. </t>
  </si>
  <si>
    <t>16.31</t>
  </si>
  <si>
    <t xml:space="preserve">Providing and applying tack coat using bitumen of (Rapid Setting) complying with IS : 8887-1995, cleaning and preparing the existing road surface asper specifications: </t>
  </si>
  <si>
    <t xml:space="preserve">Providing and applying tack coat using bitumen emulsion conforming to IS: 8887, using emulsion pressure distributer including preparing the surface &amp; cleaning with mechanical broom. </t>
  </si>
  <si>
    <t>16.31.1</t>
  </si>
  <si>
    <t xml:space="preserve">On W.B.M. @ 0.40 Kg/Sqm. </t>
  </si>
  <si>
    <t xml:space="preserve">With rapid setting bitumen emulsion. </t>
  </si>
  <si>
    <t>16.31.1.1</t>
  </si>
  <si>
    <t xml:space="preserve">On W.B.M / W.M.M. @ 0.4kg/sqm. </t>
  </si>
  <si>
    <t>16.31.1.2</t>
  </si>
  <si>
    <t xml:space="preserve">On bituminous surface @ 0.25kg/sqm. </t>
  </si>
  <si>
    <t>16.31.2</t>
  </si>
  <si>
    <t xml:space="preserve">On bituminous surface @ 0.25 Kg/Sqm. </t>
  </si>
  <si>
    <t xml:space="preserve">With medium setting bitumen emulsion. </t>
  </si>
  <si>
    <t>16.31.2.1</t>
  </si>
  <si>
    <t>16.31.2.2</t>
  </si>
  <si>
    <t>16.32</t>
  </si>
  <si>
    <t xml:space="preserve">2 Cm premix carpet surfacing with 1.8 Cum and 0.90 Cum of stone chippings of 13.2 mm size and 11.2 mm size and 52 kg and 56 kg of hot bitumen per Cum of stone: </t>
  </si>
  <si>
    <t xml:space="preserve">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t>
  </si>
  <si>
    <t>16.32.1</t>
  </si>
  <si>
    <t xml:space="preserve">With paving Asphalt 80/100 @ 70 grams per kg of asphalt. </t>
  </si>
  <si>
    <t xml:space="preserve">With paving Asphalt grade VG - 10 heated and then mixed with solvent at the rate of 70 grams per kg of asphalt. </t>
  </si>
  <si>
    <t>16.32.2</t>
  </si>
  <si>
    <t xml:space="preserve">With paving Asphalt 60/70 with no solvent. </t>
  </si>
  <si>
    <t xml:space="preserve">With paving Asphalt grade VG - 30 with no solvent </t>
  </si>
  <si>
    <t>16.32.3</t>
  </si>
  <si>
    <t xml:space="preserve">With Refinery Modified Bitumen CRMB 55 conforming to IRC : SP : 53-1999. </t>
  </si>
  <si>
    <t xml:space="preserve">With Refinery Modified Bitumen CRMB 55 conforming to IRC: SP: 53. </t>
  </si>
  <si>
    <t>16.33</t>
  </si>
  <si>
    <t xml:space="preserve">2.5 Cm premix carpet surfacing with 2.25 Cum and 1.12 Cum of stone chippings of 13.2 mm and 11.2 mm size respectively per 100 Sqm and 52 Kg and 56 Kg of hot bitumen :- </t>
  </si>
  <si>
    <t xml:space="preserve">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t>
  </si>
  <si>
    <t>16.33.1</t>
  </si>
  <si>
    <t>16.33.2</t>
  </si>
  <si>
    <t>16.33.3</t>
  </si>
  <si>
    <t>16.34</t>
  </si>
  <si>
    <t xml:space="preserve">2 Cm premix carpet surfacing with 2.4 Cum of stonechippings 11.2 mm size per 100 Sqm and bitumen emulsion. </t>
  </si>
  <si>
    <t xml:space="preserve">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 </t>
  </si>
  <si>
    <t>16.35</t>
  </si>
  <si>
    <t xml:space="preserve">2.5Cm premix carpet surfacing with 3.0Cum of stonechippings 10 mm nominal size per 100 Sqm and bitumen emulsion. </t>
  </si>
  <si>
    <t xml:space="preserve">2.5 cm premix carpet surfacing with 3 cum of stone chippings 10 mm nominal size per 100 sqm and bitumen emulsion (medium setting min. 65% bitumen contents) complying with IS : 8887, using 96 kg per cum of chippings of road surface, including consolidation with road roller etc complete. </t>
  </si>
  <si>
    <t>16.36</t>
  </si>
  <si>
    <t xml:space="preserve">P/L bitumen Penetration Maca- dam with hard stone aggregate with bitumen of suitable penetration grade : </t>
  </si>
  <si>
    <t xml:space="preserve">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t>
  </si>
  <si>
    <t>16.36.1</t>
  </si>
  <si>
    <t xml:space="preserve">For 50 mm compacted thickness With paving asphalt 80/100 @ 50 kg/10 Sqm. </t>
  </si>
  <si>
    <t xml:space="preserve">For 50mm compacted thickness using coarse aggregate of size 50-20 mm graded @ 0.60 cum per 10 sqm key aggregate of size 12.5 mm graded @ 0.15 cum per 10 sqm. With paving asphalt grade VG - 10 @ 50 kg/ 10 sqm. </t>
  </si>
  <si>
    <t>16.36.2</t>
  </si>
  <si>
    <t xml:space="preserve">For 75 mm compacted thickness With paving asphalt 80/100 @ 68 kg/10 Sqm. </t>
  </si>
  <si>
    <t xml:space="preserve">For 75 mm compacted thickness in two layers using stone aggregate of size 63-41 mm graded @ 0.90 cum per 10 sqm key aggregate of size 20.0 mm graded @ 0.18 cum per 10 sqm. With paving asphalt grade VG - 10 @ 68 kg 10 sqm. </t>
  </si>
  <si>
    <t>16.37</t>
  </si>
  <si>
    <t xml:space="preserve">P/L bitumen mastic wearing course with industrial bitumen of grade 85/25 IS:702: </t>
  </si>
  <si>
    <t xml:space="preserve">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t>
  </si>
  <si>
    <t>16.37.1</t>
  </si>
  <si>
    <t xml:space="preserve">25mm thick. </t>
  </si>
  <si>
    <t>16.37.2</t>
  </si>
  <si>
    <t>16.38</t>
  </si>
  <si>
    <t xml:space="preserve">2.5 Cm thick bitumastic sheet with hot bitumen : </t>
  </si>
  <si>
    <t xml:space="preserve">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t>
  </si>
  <si>
    <t>16.38.1</t>
  </si>
  <si>
    <t>16.38.2</t>
  </si>
  <si>
    <t xml:space="preserve">With paving Asphalt 60/70. </t>
  </si>
  <si>
    <t xml:space="preserve">With paving Asphalt grade VG - 30. </t>
  </si>
  <si>
    <t>16.38.3</t>
  </si>
  <si>
    <t xml:space="preserve">With Refinary Modified bitumen CRMB 55 Conforming to IRC : SP 53-1999. </t>
  </si>
  <si>
    <t xml:space="preserve">With Refinery Modified Bitumen CRMB 55 conforming to IRC: SP : 53. </t>
  </si>
  <si>
    <t>16.39</t>
  </si>
  <si>
    <t xml:space="preserve">4 Cm thick bitumastic sheet with hot bitumen : </t>
  </si>
  <si>
    <t xml:space="preserve">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t>
  </si>
  <si>
    <t>16.39.1</t>
  </si>
  <si>
    <t xml:space="preserve">With paving Asphalt 80/100 @ 70 grams/Kg of asphalt. </t>
  </si>
  <si>
    <t>16.39.2</t>
  </si>
  <si>
    <t xml:space="preserve">With paving asphalt grade VG - 30 with no solvent </t>
  </si>
  <si>
    <t>16.39.3</t>
  </si>
  <si>
    <t>16.40</t>
  </si>
  <si>
    <t xml:space="preserve">P/L seal coat of premixed fine aggregate (passing 2.36 mm and retained on 180 micron sieve) with bitumen using 128 Kg of grade 80/100 bitumen. </t>
  </si>
  <si>
    <t xml:space="preserve">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 </t>
  </si>
  <si>
    <t>16.41</t>
  </si>
  <si>
    <t xml:space="preserve">P/L seal coat over prepared surface of road with bitumen heated in bitumen 80/100. </t>
  </si>
  <si>
    <t xml:space="preserve">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 Note: Seal coat items to be operated only with the prior approval of chief Engineer concerned. </t>
  </si>
  <si>
    <t>16.42</t>
  </si>
  <si>
    <t xml:space="preserve">C.C 1:2:4 in pavements laid to required slop and camber in panels etc. </t>
  </si>
  <si>
    <t xml:space="preserve">Cement concrete 1:2:4 (1 cement : 2 coarse sand : 4 graded stone aggregate 40 mm nominal size) in pavements, laid to required slope and camber in panels as required including consolidation finishing and tamping complete. </t>
  </si>
  <si>
    <t>16.43</t>
  </si>
  <si>
    <t xml:space="preserve">P/L design mix cement concrete in roads, taxi tracks and runways. </t>
  </si>
  <si>
    <t xml:space="preserve">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t>
  </si>
  <si>
    <t xml:space="preserve">Note: Cement content considered in M-30 is @ 340Kg/Cum. Excess/Less cement used as per design mix is payable, recoverable separately. </t>
  </si>
  <si>
    <t>16.43.1</t>
  </si>
  <si>
    <t xml:space="preserve">Cement concrete prepared with batch mixing machine. </t>
  </si>
  <si>
    <t>16.43.2</t>
  </si>
  <si>
    <t xml:space="preserve">Cement concrete manufactured in automatic batching plant (RMC plant) i/c transportation to site in transit mixer. </t>
  </si>
  <si>
    <t>16.44</t>
  </si>
  <si>
    <t xml:space="preserve">Extra for providing and mixing hard crete of approved quality </t>
  </si>
  <si>
    <t xml:space="preserve">Extra for providing and mixing hardening compound of approved quality as per manufacturer's specification in cement concrete. </t>
  </si>
  <si>
    <t>16.45</t>
  </si>
  <si>
    <t xml:space="preserve">P/L pre moukded joints filler in expansion joints. </t>
  </si>
  <si>
    <t xml:space="preserve">Providing and fixing pre-moulded joint filler in expansion joints of RCC roads / CC pavements after making the joints dust free with high pressure air jet cleaners, all complete as per direction of the Engineer-in-Charge. (Pre-moulded joint fillers shall be made of bitumen hot sealing compound impregnated fibre board having impregnation more than 35%, conforming to IS:1838 for fibre board and IS: 1834 for hot sealing bitumen compound grade A.) </t>
  </si>
  <si>
    <t xml:space="preserve">Per cm depth per cm width  per m length   </t>
  </si>
  <si>
    <t>16.46</t>
  </si>
  <si>
    <t xml:space="preserve">P/L in position bitumen hot sealing compound for expansion joints etc. : </t>
  </si>
  <si>
    <t xml:space="preserve">Providing and filling in position rubberized bitumen hot sealing compound for sealing of expansion joints in roads / pavements all complete as per direction of the Engineer-in-Charge. </t>
  </si>
  <si>
    <t>16.46.1</t>
  </si>
  <si>
    <t xml:space="preserve">P/L bitumen hot sealing comp- ound in expansion joints. </t>
  </si>
  <si>
    <t xml:space="preserve">Using grade 'A' sealing compound conforming to IS: 1834. </t>
  </si>
  <si>
    <t xml:space="preserve">Per cm depth per cm  width  per m  length </t>
  </si>
  <si>
    <t>16.47</t>
  </si>
  <si>
    <t xml:space="preserve">Painting runway/taxi track/ apron marking with adequate No of coats togive uniform finish paint of superior make like Goodlas Nerolac Brand 452/002: </t>
  </si>
  <si>
    <t xml:space="preserve">Painting runway/taxi track/apron marking with adequate nos of coats to give uniform finish with road marking paint of superior make as approved by the Engineer-in-charge, i/c cleaning the surface of all dirt, scales, oil, grease and other foreign material etc. and lining outcomplete. </t>
  </si>
  <si>
    <t>16.47.1</t>
  </si>
  <si>
    <t xml:space="preserve">New work (Two or more coats). </t>
  </si>
  <si>
    <t xml:space="preserve">New work (Two or more coats) </t>
  </si>
  <si>
    <t>16.47.2</t>
  </si>
  <si>
    <t xml:space="preserve">Old work (one or more coats). </t>
  </si>
  <si>
    <t xml:space="preserve">Old work (One or more coats) </t>
  </si>
  <si>
    <t>16.48</t>
  </si>
  <si>
    <t xml:space="preserve">Painting road surface marking with adequate No. of coats to give uniform finish paint conforming to IS : 164,:- </t>
  </si>
  <si>
    <t xml:space="preserve">Painting road surface marking with adequate nos of coats to give uniform finish with ready mixed road marking paint conforming to IS : 164, on bituminous surface in white/yellow shade, including cleaning the surface of all dirt, scales, oil, grease and foreign material etc. complete. </t>
  </si>
  <si>
    <t>16.48.1</t>
  </si>
  <si>
    <t>16.48.2</t>
  </si>
  <si>
    <t xml:space="preserve">Old work (One or more coats). </t>
  </si>
  <si>
    <t>16.49</t>
  </si>
  <si>
    <t xml:space="preserve">Making bell mouth opening/ entrance of size 100x50x50 Cm for drainage pipe under foot path i/c providing CC 1:3:6 for shape of bell mouth. </t>
  </si>
  <si>
    <t xml:space="preserve">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 </t>
  </si>
  <si>
    <t>16.50</t>
  </si>
  <si>
    <t xml:space="preserve">P/F Glow studs of size 100 x 20mm made of heavy duty body shall be moulded ASA/HIP/ ABS having electronically welded micro-prismatic lens Cat's Eye in accordance with ASTM D-280. </t>
  </si>
  <si>
    <t xml:space="preserve">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 </t>
  </si>
  <si>
    <t>16.51</t>
  </si>
  <si>
    <t xml:space="preserve">Preparation of sub-base road pavement with commercial dry lime (slaked), fly ash : </t>
  </si>
  <si>
    <t xml:space="preserve">Preparation of sub-base road pavement with commercial dry lime (slaked), fly ash stabilised soil with a mix of 3% lime, 12% fly ash and 85% local suitable soil by weight, so as to achieve minimum field C.B.R. of 20, including mixing, rolling with road roller curing etc. all complete. </t>
  </si>
  <si>
    <t>16.51.1</t>
  </si>
  <si>
    <t xml:space="preserve">Minimum thickness 15 cm. </t>
  </si>
  <si>
    <t>16.52</t>
  </si>
  <si>
    <t xml:space="preserve">P/F precast lime fly ash concrete blocks 1 : 2 : 3 : 6 i/c finishing with CM 1 : 3. </t>
  </si>
  <si>
    <t xml:space="preserve">Providing and fixing precast lime fly ash concrete blocks 1:2:3:6 (1 lime: 2 fly ash : 3 coarse sand : 6 graded stone aggregate 20 mm nominal size), including finishing with 10mm thick cement mortar 1:3 (1 cement : 3 coarse sand) in foot paths, including preparation of sub grade with a hand rammer, laying 10 mm thick leveling course of fine sand (jamuna sand) and filling the joints with fine sand. </t>
  </si>
  <si>
    <t>16.53</t>
  </si>
  <si>
    <t xml:space="preserve">P/F concertina coil fencing with required dia. 610 mm (having 15 nos. round/ meter length) upto 3.0 m height of wall with existing angle iron 'Y' shaped with 9 horizontal R.B.T. stud tied with G.I. staples and G.I clips. </t>
  </si>
  <si>
    <t xml:space="preserve">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Engineer-in-charge, with reinforced barbed tape(R.B.T.) / Spring core (2.5mm thick) wire of high tensile strength of 165 kg/ sq.mm with tape (0.52 mm thick) and weight 43.478 gm/ metre (cost of M.S. angle, C.C. blocks shall be paid separately) </t>
  </si>
  <si>
    <t>16.54</t>
  </si>
  <si>
    <t xml:space="preserve">P/L Dense Bituminous macadam on prepared surface with specified crushed stone agg. for profile corrective base/ binding course i/c loading, tansporting to site, laying with paver finisher and rolling with RR: </t>
  </si>
  <si>
    <t xml:space="preserve">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t>
  </si>
  <si>
    <t>16.54.1</t>
  </si>
  <si>
    <t xml:space="preserve">50/ 100 mm average compacted thickness with bitumen of 60/70 grade @ 5% of total mix and lime filler @ 2% weight of aggregate). </t>
  </si>
  <si>
    <t xml:space="preserve">50 to 100 mm average compacted thickness with bitumen of grade VG-30 @ 5% (percentage by weight of total mix) and lime filler @ 2% (percentage by weight of Aggregate) prepared in Batch Type Hot Mix Plant of 100-120 TPH capacity. </t>
  </si>
  <si>
    <t>16.54.2</t>
  </si>
  <si>
    <t xml:space="preserve">50 to 100 mm average compacted thickness with bitumen of grade VG-30 @5% (percentage by weight of total mix) and lime filler @ 2% (percentage by weight of Aggregate) prepared in Drum Type Hot Mix Plant of 60-90 TPH capacity. </t>
  </si>
  <si>
    <t xml:space="preserve">50 to 100 mm average compacted thickness with bitumen of grade VG-30 @ 5% (percentage by weight of total mix) and lime filler @ 2% (percentage by weight of Aggregate) prepared in Drum Type Hot Mix Plant of 60-90 TPH capacity. </t>
  </si>
  <si>
    <t>16.55</t>
  </si>
  <si>
    <t xml:space="preserve">P/L Bituminous macadam, crushed stone agg. for profile corrective base/ binding course, laying with paver finisher and rolling with RR: </t>
  </si>
  <si>
    <t xml:space="preserve">Providing and laying bituminous macadam using crushed stone aggregate of specified grading premixed with bituminous binder, transported to site by tippers, laid over a previously prepared surface with paver finisher equipped with electronic sensor to the required grade, level and alignment and rolling with smooth wheeled, vibratory and tandem rollers as per specifications to achieve the desired compaction and density, complete as per specifications and directions of Engineer-in-Charge. </t>
  </si>
  <si>
    <t>16.55.1</t>
  </si>
  <si>
    <t xml:space="preserve">50/ 75 mm ave. compacted thickness with bitumen of 60/ 70 grade @ 3.5% by weight of total mix). </t>
  </si>
  <si>
    <t xml:space="preserve">50 to 100 mm average compacted thickness with bitumen of grade VG-30 @ 3.50% (percentage by weight of total mix) prepared in Batch Type Hot Mix Plant of 100-120 TPH capacity. </t>
  </si>
  <si>
    <t>16.55.2</t>
  </si>
  <si>
    <t xml:space="preserve">50 to 100 mm average compacted thickness with bitumen of grade VG-30 @3.50%(percentage by weight of total mix) prepared in Drum Type Hot Mix Plant of 60-90 TPH capacity. </t>
  </si>
  <si>
    <t xml:space="preserve">50 to 100 mm average compacted thickness with bitumen of grade VG-30 @ 3.50% (percentage by weight of total mix) prepared in Drum type Hot Mix plant of 60-90 TPH capacity. </t>
  </si>
  <si>
    <t>16.56</t>
  </si>
  <si>
    <t xml:space="preserve">P/L Dense Bituminous concrete on prepared surface with specified graded stone agg. for wearing course, laying with paver finisher and rolling with RR: </t>
  </si>
  <si>
    <t xml:space="preserve">Providing and laying semi-dense Bituminous concrete using crushed stone aggregates of specified grading, premixed with bituminous binder and filler, transporting the hot mix to work site by tippers, laying with paver finisher equipped with electronic sensor to the required grade, level and alignment and rolling with smooth wheeled, vibratory and tandem rollers to achieve the desired compaction and density as per specification, complete and as per directions of Engineer-in-Charge. </t>
  </si>
  <si>
    <t>16.56.1</t>
  </si>
  <si>
    <t xml:space="preserve">40/50 mm compacted thickness with bitumen of 60/ 70 grade @ 5.5% by weight of total mix and lime filler @ 3% of weight of aggregate). </t>
  </si>
  <si>
    <t xml:space="preserve">25mm compacted thickness with bitumen of grade VG-30 @ 5% (percentage by weight of total mix) and lime filler @ 2% (percentage by weight of Aggregate) prepared in Batch Type Hot Mix Plant of 100-120 TPH capacity. </t>
  </si>
  <si>
    <t>16.56.2</t>
  </si>
  <si>
    <t xml:space="preserve">25 mm compacted thickness with bitumen of grade VG-30 @5% (percentage by weight of total mix) and lime filler @ 2%(percentage by weight of Aggregate) prepared in Drum Type Hot Mix Plant of 60-90 TPH capacity. </t>
  </si>
  <si>
    <t xml:space="preserve">25mm compacted thickness with bitumen of grade VG-30 @ 5% (percentage by weight of total mix) and lime filler @ 2% (percentage by weight of Aggregate) prepared in Drum Type Hot Mix Plant of 60-90 TPH capacity. </t>
  </si>
  <si>
    <t>16.57</t>
  </si>
  <si>
    <t xml:space="preserve">P/L Dense Bituminous concrete on prepared surface with specified graded stone agg. for wearing course, loading, tansporting to site, laying with paver finisher and rolling with RR: </t>
  </si>
  <si>
    <t xml:space="preserve">Providing and laying Bituminous concrete using crushed stone aggregates of specified grading premixed with bituminous binder and filler, transporting the hot mix to work site by tippers, laying with paver finisher equipped with electronic sensor to the required grade, level and alignment and rolling with smooth wheeled, vibratory and tandem rollers to achieve the desired compaction and density as per specification, complete and as per directions of Engineer-in-Charge. </t>
  </si>
  <si>
    <t>16.57.1</t>
  </si>
  <si>
    <t xml:space="preserve">40/50 mm compacted thickness with bitumen grade VG-30 @ 5.5% by weight of total mix and lime filler @ 3% of weight of aggregate in Batch Type HMP of 100-120 TPH capacity. </t>
  </si>
  <si>
    <t xml:space="preserve">40/50mm compacted thickness with bitumen of grade VG-30 @ 5.5% (percentage by weight of total mix) and lime filler @ 3% (percentage by weight of Aggregate) prepared in Batch type Hot Mix Plant of 100-120 TPH capacity. </t>
  </si>
  <si>
    <t>16.57.2</t>
  </si>
  <si>
    <t xml:space="preserve">40/50 mm compacted thickness with bitumen of grade VG-30 @ 5.5% by weight of total mix and lime filler @ 3% by weight of Aggregate and waste plastic additive@ 8% by weight of bitumen in Drum Type HMP of 60-90 TPH capacity. </t>
  </si>
  <si>
    <t xml:space="preserve">40/50mm compacted thickness with bitumen of grade VG-30 @ 5.5% (percentage by weight of total mix) and lime filler @ 3% (percentage by weight of Aggregate) and waste plastic additive @ 8% (percentage by weight of bitumen) prepared in Batch type Hot Mix Plant of 100-120 TPH capacity. </t>
  </si>
  <si>
    <t>16.57.3</t>
  </si>
  <si>
    <t xml:space="preserve">40/50 mm compacted thickness with bitumen of grade PMB-40 @ 5.5% by weight of total mix and lime filler @ 3% by weight of Aggregate in Batch Type HMP of 100-120 TPH capacity. </t>
  </si>
  <si>
    <t xml:space="preserve">40/50 mm compacted thickness with bitumen of grade PMB-40 @ 5.5% (percentage by weight of total mix) and lime filler @ 3% (percentage by weight of Aggregate) prepared in Batch Type Hot Mix Plant of 100-120 TPH capacity. </t>
  </si>
  <si>
    <t>16.57.4</t>
  </si>
  <si>
    <t xml:space="preserve">40/50 mm compacted thickness with bitumen of grade CRMB-60 @5.5% by weight of total mix and lime filler @ 3% by weight of Aggregate in Batch Type HMP of 100-120 TPH capacity. </t>
  </si>
  <si>
    <t xml:space="preserve">40/50 mm compacted thickness with bitumen of grade CRMB-60 @ 5.5% (percentage by weight of total mix) and lime filler @ 3% (percentage by weight of Aggregate) prepared in Batch Type Hot Mix Plant of 100-120 TPH capacity. </t>
  </si>
  <si>
    <t>16.57.5</t>
  </si>
  <si>
    <t xml:space="preserve">40/50 mm compacted thickness with bitumen of grade VG-30 @ 5.5% (percentage by weight of total mix) and lime filler @ 3% (percentage by weight of Aggregate) prepared in drum Type Hot Mix Plant of 60-90 TPH capacity. </t>
  </si>
  <si>
    <t>16.57.6</t>
  </si>
  <si>
    <t xml:space="preserve">40/50 mm compacted thickness with bitumen of grade VG-30 @5.5% by weight of total mix and lime filler @ 3% by weight of Aggregate and waste plastic additive@8% by weight of bitumen in Drum Type HMP of 60-90 TPH capacity. </t>
  </si>
  <si>
    <t xml:space="preserve">40/50 mm compacted thickness with bitumen of grade VG-30 @ 5.5% (percentage by weight of total mix) and lime filler @ 3% (percentage by weight of Aggregate) and waste plastic additive @ 8% (percentage by weight of bitumen) prepared in drum Type Hot Mix Plant of 60-90 TPH capacity. </t>
  </si>
  <si>
    <t>16.57.7</t>
  </si>
  <si>
    <t xml:space="preserve">40/50 mm compacted thickness with bitumen of grade PMB-40 @5.5% by weight of total mix and lime filler @ 3% by weight of Aggregate in Drum Type HMP of 60-90 TPH capacity. </t>
  </si>
  <si>
    <t xml:space="preserve">40/50 mm compacted thickness with bitumen of grade PMB-40 @ 5.5% (percentage by weight of total mix) and lime filler @ 3% (percentage by weight of Aggregate) prepared in drum Type Hot Mix Plant of 60-90 TPH capacity </t>
  </si>
  <si>
    <t>16.57.8</t>
  </si>
  <si>
    <t xml:space="preserve">40/50 mm compacted thickness with bitumen of grade CRMB-60 @5.5% by weight of total mix and lime filler @ 3% by weight of Aggregate in Drum Type HMP of 60-90 TPH capacity. </t>
  </si>
  <si>
    <t xml:space="preserve">40/50 mm compacted thickness with bitumen of grade CRMB-60 @ 5.5% (percentage by weight of total mix) and lime filler @ 3% (percentage by weight of Aggregate) prepared in Drum Type Hot Mix Plant of 60-90 TPH capacity. </t>
  </si>
  <si>
    <t>16.59</t>
  </si>
  <si>
    <t xml:space="preserve">Manufacturing, S/F rectro rManufacturing, S/F rectro reflective sign boards made up of 2 mm thick aluminium sheet, face to be fully covered with high intensity encapsulated type heat activated rectro reflective sheeting: </t>
  </si>
  <si>
    <t xml:space="preserve">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t>
  </si>
  <si>
    <t xml:space="preserve">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 </t>
  </si>
  <si>
    <t xml:space="preserve">Backside of aluminium sheet to be painted with two or more coats of epoxy paint over and including appropriate priming coat including all leads and lifts etc. complete as per drawing, specification and direction of Engineer-in-charge. </t>
  </si>
  <si>
    <t>16.59.1</t>
  </si>
  <si>
    <t xml:space="preserve">Mandatory/ Regulatory sign boards of 900 mm dia. with support as length of 3750 mm. </t>
  </si>
  <si>
    <t xml:space="preserve">Mandatory/ Regulatory sign boards of 900 mm diametre with support length of 3750 mm </t>
  </si>
  <si>
    <t>16.59.2</t>
  </si>
  <si>
    <t xml:space="preserve">Cautionary/ warning sign boards of equilateral triangular shape. </t>
  </si>
  <si>
    <t xml:space="preserve">Cautionary /warning sign boards of equilateral triangular shape having each side of 900 mm with support length of 3650 mm </t>
  </si>
  <si>
    <t>16.60</t>
  </si>
  <si>
    <t xml:space="preserve">Manufacturing, S/F rectro reflective overhead sinage boards made up of 2 mm thick aluminium sheet, face to be fully covered with high intensity and encapsulated lens type heat activated rectro reflective sheeting conforming to type-III of ASTM-D-4956-01: </t>
  </si>
  <si>
    <t xml:space="preserve">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
  </si>
  <si>
    <t xml:space="preserve">The rate includes the cost of rounding off the corners, lowering down the structural frame work from the gantry, fixing and erecting the same in position all complete as per drawings, specification and direction of the engineer-in charge.(Structural frame work including M.S. plate to be provided separately. Rectangular area of the sheet only shall be measured for payment). </t>
  </si>
  <si>
    <t>16.60.1</t>
  </si>
  <si>
    <t xml:space="preserve">Overhead informatory road signage. </t>
  </si>
  <si>
    <t xml:space="preserve">Overhead informatory road signage </t>
  </si>
  <si>
    <t>16.61</t>
  </si>
  <si>
    <t xml:space="preserve">Providing rectro reflective regulatory sign board of 900mm dia. made out of 2 mm thick aluminium sheet, face to be fully covered with high intensity encapsulated lens type rectroreflective sheeting as approved by Engineer-in- charge as per IRC; 67: 2001, with required colours. </t>
  </si>
  <si>
    <t xml:space="preserve">Providing Retro-reflective regulatory sign board of size 900 mm dia meter made out of 2 mm thick aluminium sheet, face to be fully covered with high intensity encapsulated lens type retro-reflective sheeting as approved by Engineer-in-charge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 </t>
  </si>
  <si>
    <t>16.62</t>
  </si>
  <si>
    <t xml:space="preserve">P/A 2.5 mm thick road marking strips (rectro reflective) of specified shade/ colour using hot thermoplastic material by fully/ semi automatic thermo- plastic paint applicator machine. </t>
  </si>
  <si>
    <t xml:space="preserve">Providing and applying 2.5 mm thick road marking strips (retro-reflective)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 </t>
  </si>
  <si>
    <t>16.63</t>
  </si>
  <si>
    <t xml:space="preserve">P/L and making kerb channel 30 cm wide and 50 mm thick of CC 1:3:6 over 75 mm thick compacted bed of dry brick ballast of 40mm nominal size well rammed and consolidated and grouted with fine sand. </t>
  </si>
  <si>
    <t xml:space="preserve">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 </t>
  </si>
  <si>
    <t>16.64</t>
  </si>
  <si>
    <t xml:space="preserve">P/L 75 mm thick compacted bed of dry brick aggregate of 40mm nominal size i/c grouting with jamuna sand. </t>
  </si>
  <si>
    <t xml:space="preserve">Providing and laying 75 mm thick compacted bed of dry brick aggregate of 40 mm thick nominal size including spreading, well ramming, consolidating and grouting with jamuna sand, including finishing smooth etc. complete as per direction of Engineer-in-charge. </t>
  </si>
  <si>
    <t>16.65</t>
  </si>
  <si>
    <t xml:space="preserve">P/F post delineators (made of ABS body fitted with 2 Nos 100 mm dia.) reflective and reflectors are mounted on M.S pipe of 65 mm dia. </t>
  </si>
  <si>
    <t xml:space="preserve">Providing and fixing post delineators made of ABS round body fitted with 2 nos 100 mm dia high reflective reflectors and mounted on MS pipe of 65 mm dia duly powder coated anti-rust and anti theft steel to be installed as per direction of Engineer-in-charge. </t>
  </si>
  <si>
    <t>16.66</t>
  </si>
  <si>
    <t xml:space="preserve">Excavating holes upto 0.10 Cum i/c getting out the excavated soil then returing the soil as required in layer: </t>
  </si>
  <si>
    <t xml:space="preserve">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t>
  </si>
  <si>
    <t>16.66.1</t>
  </si>
  <si>
    <t xml:space="preserve">All kind of soil. </t>
  </si>
  <si>
    <t>16.67</t>
  </si>
  <si>
    <t xml:space="preserve">P/F at or near ground level factory made RCC pavement slab of M-30 grade of size 450x 450x 50 mm in footpath to the required level and line over a bed of 20mm ave CM 1: 3 C.sand. </t>
  </si>
  <si>
    <t xml:space="preserve">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 </t>
  </si>
  <si>
    <t>16.68</t>
  </si>
  <si>
    <t xml:space="preserve">P/F 60 mm thick factory made C.C interlocking paver block of M-30 grade made by block making machine over and i/c 50 mm thick bed of C. sand, filling the joints. </t>
  </si>
  <si>
    <t xml:space="preserve">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fine sand etc. all complete as per the direction of Engineer-in-charge. </t>
  </si>
  <si>
    <t>16.69</t>
  </si>
  <si>
    <t xml:space="preserve">P/L at or near ground level factory made kerb stone of M-25 grade cement. P/L at or near ground level factory made kerb stone of M-25 grade CC approved shape/pattern </t>
  </si>
  <si>
    <t xml:space="preserve">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for payment). (Precast C.C. kerb stone shall be approved by Engineer-in-charge). </t>
  </si>
  <si>
    <t>16.70</t>
  </si>
  <si>
    <t xml:space="preserve">P/F G.I. chain link fabric fencing of required width in mesh size 50x50 mm i/c stren- gthening with 2 mm dia. wire: </t>
  </si>
  <si>
    <t xml:space="preserve">Providing and fixing G.I. chain link fabric fencing of required width in mesh size 50x50 mm including strengthening with 2 mm dia wire or nuts, bolts and washers as required complete as per the direction of Engineer-in-charge. </t>
  </si>
  <si>
    <t>16.70.1</t>
  </si>
  <si>
    <t xml:space="preserve">Made of G.I. of dia. 4 mm. </t>
  </si>
  <si>
    <t xml:space="preserve">Made of G.I. wire of dia 4 mm </t>
  </si>
  <si>
    <t>16.70.2</t>
  </si>
  <si>
    <t xml:space="preserve">Made of GI of dia. 4 mm, PVC cMade of GI of dia. 4 mm, PVC coated in required thickness/colour and shade. </t>
  </si>
  <si>
    <t xml:space="preserve">Made of G.I. wire of dia. 4 mm, PVC coated to achieve outer dia not less than 5 mm in required colour and shade </t>
  </si>
  <si>
    <t>16.71</t>
  </si>
  <si>
    <t xml:space="preserve">P/F G.I. chain link fabric fencing of required width in mesh size 25 x 25 mm made of G.I. wire of dia. 3 mm i/c strengthening with 2 mm dia. wire. </t>
  </si>
  <si>
    <t xml:space="preserve">Providing and fixing G.I. chain link fabric fencing of required width in mesh size 25x25 mm made of G.I. wire of dia 3 mm including strengthening with 2 mm dia wire or nuts, bolts and washers as required complete as per the direction of Engineer-in-charge. </t>
  </si>
  <si>
    <t>16.72</t>
  </si>
  <si>
    <t xml:space="preserve">S/S stone (for stone pitching) 22.5 cm thick at site. </t>
  </si>
  <si>
    <t xml:space="preserve">Supplying and stacking of hard stone (for stone pitching) 22.5 cm thick at site. </t>
  </si>
  <si>
    <t>16.73</t>
  </si>
  <si>
    <t xml:space="preserve">Dry stone pitching 22.5 cm thick laid in required profile. </t>
  </si>
  <si>
    <t xml:space="preserve">Dry stone pitching 22.5 cm thick laid in courses and required profile with hammer dressed stones having no side less than 15 cm, with minimum depth of 20 cm including preparing the bedding surface etc. all complete. (Payment for Stone to be made separately). </t>
  </si>
  <si>
    <t>16.74</t>
  </si>
  <si>
    <t xml:space="preserve">75 mm thick back filling for pitching including supplying of required materials and consolidation etc. complete with : </t>
  </si>
  <si>
    <t>16.74.1</t>
  </si>
  <si>
    <t xml:space="preserve">Moorum </t>
  </si>
  <si>
    <t>16.74.2</t>
  </si>
  <si>
    <t xml:space="preserve">Stone agg. 20 mm n size. </t>
  </si>
  <si>
    <t xml:space="preserve">Stone aggregate 20mm nominal size </t>
  </si>
  <si>
    <t>16.74.3</t>
  </si>
  <si>
    <t xml:space="preserve">Stone agg. 40 mm n size. </t>
  </si>
  <si>
    <t xml:space="preserve">Stone aggregate 40mm nominal size </t>
  </si>
  <si>
    <t>16.75</t>
  </si>
  <si>
    <t xml:space="preserve">P/L C.C pavement of mix M-25 with ready mixed concrete from batching plant. concrete shall be laid and finished with screed board vibrator, vacuum dewatering process and finally finished by floating, brooming with wire brush etc complete. </t>
  </si>
  <si>
    <t xml:space="preserve">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 charge. (The panel shuttering work shall be paid for separately). (Note:- Cement content considered in this item is @ 330 kg/cum. Excess/less cement used as per design mix is payable/ recoverable separately). </t>
  </si>
  <si>
    <t>16.76</t>
  </si>
  <si>
    <t xml:space="preserve">Deduct for using of M-20 grade concrete instead of M-25 grade concrete in C.C. pavement. </t>
  </si>
  <si>
    <t>16.77</t>
  </si>
  <si>
    <t xml:space="preserve">Scarifying the existing bituminous road surface to a depth of 50 mm. </t>
  </si>
  <si>
    <t xml:space="preserve">Scarifying the existing bituminous road surface to a depth of 50 mm and disposal of scarified material within all lifts and lead upto 1km (by mechanical means). </t>
  </si>
  <si>
    <t>16.78</t>
  </si>
  <si>
    <t xml:space="preserve">C/o granular sub-base by providing close graded Material mixing in a mechanical mix plant at OMCspreading in uniform layers with motor grader and compacting with vibratory power roller.. </t>
  </si>
  <si>
    <t xml:space="preserve">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t>
  </si>
  <si>
    <t>16.78.1</t>
  </si>
  <si>
    <t xml:space="preserve">With material conforming to Grade-I (size range 75 mm to 0.075 mm ) having CBR Value-30. </t>
  </si>
  <si>
    <t xml:space="preserve">With material conforming to Grade-I (size range 75 mm to 0.075 mm) having CBR Value-30 </t>
  </si>
  <si>
    <t>16.78.2</t>
  </si>
  <si>
    <t xml:space="preserve">With material conforming to Grade-II (size range 53 mm to 0.075 mm ) having CBR Value-25. </t>
  </si>
  <si>
    <t xml:space="preserve">With material conforming to Grade-II (size range 53 mm to 0.075 mm) having CBR Value-25 </t>
  </si>
  <si>
    <t>16.78.3</t>
  </si>
  <si>
    <t xml:space="preserve">With material conforming to Grade-III (size range 26.5 mm to 0.075 mm ) having CBR Value-20. </t>
  </si>
  <si>
    <t xml:space="preserve">With material conforming to Grade-III(size range 26.5 mm to 0.075 mm) having CBR Value-20 </t>
  </si>
  <si>
    <t>16.79</t>
  </si>
  <si>
    <t xml:space="preserve">P/L spreading and compacting stone aggregate to wet mix macadam (WMM) i/c premixing the material with water at OMC in mechanical mix plant, laying with mechanical paver finisher in sub- base / base course and compacting with vibratory roller of 8 to 10T. </t>
  </si>
  <si>
    <t xml:space="preserve">Providing, laying, spreading and compacting graded stone aggregate (size range 53 mm to 0.075 mm ) to wet mix macadam (WMM) specification including premixing the material with water at OMC in for all leads &amp; lifts, laying in uniform layers with mechanical paver finisher in sub- base / base course on well prepared surface and compacting with vibratory roller of 8 to 10 tonne capacity to achieve the desired density, complete as per specifications and directions of Engineer-in-Charge. </t>
  </si>
  <si>
    <t>16.80</t>
  </si>
  <si>
    <t xml:space="preserve">Dry lean cement concrete sub base with coarse and fine aggregate cement content 150 Kg/cum, with OMC, concrete strength 10 Mpa at 7 days, mixed in a batching plant laid with a mechanical paver, compacting with 8-10T vibratory roller. </t>
  </si>
  <si>
    <t xml:space="preserve">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Engineer-in-charge. </t>
  </si>
  <si>
    <t>16.81</t>
  </si>
  <si>
    <t xml:space="preserve">P/E 2.00 metre high temporary barricading for traffic diversion during construction </t>
  </si>
  <si>
    <t xml:space="preserve">Providing and erecting 2.00 metre high temporary barricading at site; each panel of size 2.50m x 2.00m made of 40x40x6 mm angle iron or 50x50x3 mm hollow MS tube posts/ horizontal members/ bracings covered with 1.63 mm thick MS sheet. The sheet shall be fixed with 30x5 mm MS flat by suitable welding / riveting. The panels shall be made so that gap of 50 cm above the ground is available making over all height as 2.50m. MS channel ISLC 75 @ 5.70 kg/m, 50 cm long shall be provided at the bottom having oval shaped holes of size 50x25 mm at both ends with 50 cm long MS angle 40x40x6 mm bracing. </t>
  </si>
  <si>
    <t xml:space="preserve">Suitable arrangement shall be made to fix the barricading to avoid from overturning by providing 250 mm long expansion fasteners at both ends. </t>
  </si>
  <si>
    <t xml:space="preserve">The work shall be executed as per drawing/ direction of Engineer-in-Charge which includes writing and painting, arrangement for traffic diversion such as traffic signals during construction at site for day and night, glow lamps, reflective signs, marking, flags, caution tape as directed by the Engineer-in- Charge. The barricading provided shall be retained in position at site continuously i/c shifting of barricading from one location to another location as many times as required during the execution of the entire work till its completion. Rate include its maintenance for damages, painting, all incidentals, labour, materials, equipments and works required to execute the job. The barricading shall not be removed without prior approval of Engineer-in-Charge. </t>
  </si>
  <si>
    <t xml:space="preserve">(Note :- One time payment shall be made for providing barricading from start of work till completion of work i/c shifting. The barricading provided shall remain to be the property of the contractor on completion of the work). </t>
  </si>
  <si>
    <t>16.82</t>
  </si>
  <si>
    <t xml:space="preserve">Taking out existing kerb stones of all types from footpath/ central verge, </t>
  </si>
  <si>
    <t xml:space="preserve">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t>
  </si>
  <si>
    <t>16.83</t>
  </si>
  <si>
    <t xml:space="preserve">Taking out existing CC interlocking paver blocks from footpath/ central verge </t>
  </si>
  <si>
    <t xml:space="preserve">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t>
  </si>
  <si>
    <t>16.84</t>
  </si>
  <si>
    <t xml:space="preserve">Laying old cement concrete interlocking paver blocks of any design/shape. </t>
  </si>
  <si>
    <t xml:space="preserve">Laying old cement concrete interlocking paver blocks of any design/ shape laid in required line, level, curvature, colour and pattern over and including 50 mm thick compacted bed of coarse sand, filling the joints with fine sand etc. all complete as per the direction of Engineer in-charge. (Old CC paver blocks shall be supplied by the department free of cost). </t>
  </si>
  <si>
    <t>16.85</t>
  </si>
  <si>
    <t xml:space="preserve">Laying at or near ground level old kerb stones of all types in position to the required line, level and curvature, jointed with cement mortar 1:3 (1 cement : 3 coarse sand) </t>
  </si>
  <si>
    <t xml:space="preserve">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 -in-charge. (Length of finished kerb edging shall be measured for payment). (Old kerb stones shall be supplied by the department free of cost). </t>
  </si>
  <si>
    <t>16.86</t>
  </si>
  <si>
    <t xml:space="preserve">P/L gang saw cut 18 mm thick, mirror polished pre moulded and pre polished machine cut granite stone </t>
  </si>
  <si>
    <t xml:space="preserve">Providing and laying gang saw cut 18 mm thick, mirror polished pre-moulded and pre polished machine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 </t>
  </si>
  <si>
    <t>16.86.1</t>
  </si>
  <si>
    <t xml:space="preserve">Area less than 0.50 sqm </t>
  </si>
  <si>
    <t xml:space="preserve">With granite stone of area less than 0.50 sqm. </t>
  </si>
  <si>
    <t>16.87</t>
  </si>
  <si>
    <t xml:space="preserve">P/L gang saw cut 30 mm thick, mirror polished pre moulded and pre polished machine in foot path.. </t>
  </si>
  <si>
    <t xml:space="preserve">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 </t>
  </si>
  <si>
    <t>16.87.1</t>
  </si>
  <si>
    <t xml:space="preserve">With granite stone of colour black, cherry/ruby red of area less than 0.50 sqm </t>
  </si>
  <si>
    <t>16.87.2</t>
  </si>
  <si>
    <t xml:space="preserve">With granite stone of all colour except black, cherry/ruby red of area less than 0.50 sqm </t>
  </si>
  <si>
    <t>16.88</t>
  </si>
  <si>
    <t xml:space="preserve">P/L matt finished vitrified tile 100x100x16mm laid on 20mm base of CM 1:4 </t>
  </si>
  <si>
    <t xml:space="preserve">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&amp;patterns including grouting the joints with white cement mixed with matching pigments etc. complete as per direction of Engineer-in-Charge </t>
  </si>
  <si>
    <t>16.89</t>
  </si>
  <si>
    <t xml:space="preserve">P/L matt finished vitrified tile 300x300x9.8mm laid on 20mm base of CM 1:4 </t>
  </si>
  <si>
    <t xml:space="preserve">Providing and laying matt finished vitrified tile of size 300x300x9.8mm having water absorption less than 0.5% and conforming to IS: 15622 of approved make in all colours and shades in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t>
  </si>
  <si>
    <t>16.90</t>
  </si>
  <si>
    <t xml:space="preserve">P/L tactile tile - 300x300x9.8mm laid on 20mm base of CM 1:4 </t>
  </si>
  <si>
    <t xml:space="preserve">Providing and laying tactile tile (for vision impaired persons as per standards) of size 300x300x9.8mm having water absorption less than 0.5% and conforming to IS: 15622, of approved make in all colours and shades in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t>
  </si>
  <si>
    <t>16.91</t>
  </si>
  <si>
    <t xml:space="preserve">P/L coloured chamfered edge CC paver block - 60mm of M-35 grade. </t>
  </si>
  <si>
    <t xml:space="preserve">Providing and laying factory made chamfered edge Cement Concrete paver blocks In foot path, park &amp; lawns driveway or light &amp; traffic parking etc. of required strength, thickness &amp; size/ shape, made by table vibratory method using PU mould, laid in required colour &amp; pattern over 50mm thick compacted bed of course sand, compacting and proper embedding/ laying of inter locking paver blocks into the sand bedding layer through vibratory compaction by using plate vibrator, filling the joints with sand and cutting of paver blocks as per required size and pattern, finishing and sweeping extra sand, all complete as per manufacturer's specifications &amp; direction of Engineer in-Charge. </t>
  </si>
  <si>
    <t>16.91.1</t>
  </si>
  <si>
    <t xml:space="preserve">60mm thick Cement concrete paver block of M-35 grade with approved colour, design &amp; pattern </t>
  </si>
  <si>
    <t>16.91.2</t>
  </si>
  <si>
    <t xml:space="preserve">80mm thick Cement concrete paver block of M-30 grade with approved colour, design &amp; pattern. </t>
  </si>
  <si>
    <t>16.92</t>
  </si>
  <si>
    <t xml:space="preserve">P/F 10x10x7.50 cm Granite stone block - laid on 20mm CM 1:4 base </t>
  </si>
  <si>
    <t xml:space="preserve">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 </t>
  </si>
  <si>
    <t>16.93</t>
  </si>
  <si>
    <t xml:space="preserve">P/P in position 100mm thick factory made machine batched &amp; machine mixed Precast RCC Rectangular Covers on drains of M-25 grade RCC work. </t>
  </si>
  <si>
    <t xml:space="preserve">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 </t>
  </si>
  <si>
    <t>16.94</t>
  </si>
  <si>
    <t xml:space="preserve">Providing &amp; making Gabion structure with Mechanically Woven Double Twisted Hexagonal Shaped Wire mesh Gabion Boxes - filled with boulders of 200 mm. </t>
  </si>
  <si>
    <t xml:space="preserve">Providing &amp; making Gabion structure with Mechanically Woven Double Twisted Hexagonal Shaped Wire mesh Gabion Boxes as per IS 16014:2012, MORTH Clause 2500, of required size, Mesh Type 10x12 (D=100 mm with tolerance of ± 2%) zinc coated, Mesh wire diameter 3.0 mm, mechanically edged/ selvedged with partitions at every 1m interval and shall have minimum 10 numbers of openings per meter of mesh perpendicular to twist, tying with lacing wire of diameter 2.2mm, supplied @3% by weight of Gabion boxes, filled with boulders with least dimension of 200 mm, as per drawing, all complete as per direction of Engineer-in-charge. </t>
  </si>
  <si>
    <t>16.95</t>
  </si>
  <si>
    <t xml:space="preserve">Providing &amp; making Gabion structure with Mechanically Woven Double Twisted Hexagonal Shaped Wire mesh Gabion Boxes - filled with boulders with least dimension of 200 mm. </t>
  </si>
  <si>
    <t xml:space="preserve">Providing &amp; making Gabion structure with Mechanically Woven Double Twisted Hexagonal Shaped Wire mesh Gabion Boxes as per IS 16014:2012,MORTH Clause 2500, of required size, Mesh Type 10x12 (D=100 mm with tolerance of ± 2%) Zinc+ PVC coated, Mesh wire diameter 2.7/ 3.7mm, mechanically edged/ 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 charge. </t>
  </si>
  <si>
    <t>16.96</t>
  </si>
  <si>
    <t xml:space="preserve">Providing &amp; making Gabion structure with Mechanically Woven Double Twisted Hexagonal Shaped Wire mesh Gabion Boxes - filled with boulders with least dimension of 200 mm, as per drawing. </t>
  </si>
  <si>
    <t xml:space="preserve">Providing &amp; making Gabion structure with Mechanically Woven Double Twisted Hexagonal Shaped Wire mesh Gabion Boxes as per IS 16014:2012,MORTH Clause 2500, of required size, Mesh Type 10x12 (D=100 mm with tolerance of ±2%), Zinc+ 10% Al alloy+PVC coated, Mesh wire diameter 2.7/3.7mm (ID/OD),mechanically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 in charge. </t>
  </si>
  <si>
    <t xml:space="preserve">Total of the Sub-Head - Road Work :  </t>
  </si>
  <si>
    <t xml:space="preserve">        Sub-Head : Sanitary Installations</t>
  </si>
  <si>
    <t>17.1</t>
  </si>
  <si>
    <t xml:space="preserve">Providing and fixing water closet squatting pan (Indian type W.C.pan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t>
  </si>
  <si>
    <t>17.1.1</t>
  </si>
  <si>
    <t xml:space="preserve">White vitreous china orissa WC pan size 580 x 440 mm </t>
  </si>
  <si>
    <t xml:space="preserve">White Vitreous china Orissa pattern W.C. pan of size 580x440 mm with integral type foot rests </t>
  </si>
  <si>
    <t>17.1.2</t>
  </si>
  <si>
    <t xml:space="preserve">SS Orissa pattern WC pan size 585 x 480 mm </t>
  </si>
  <si>
    <t xml:space="preserve">Stainless Steel AISI-304(18/8) Orissa pattern W.C. pan of size 585x480 mm with flush pipe and integrated type foot rests </t>
  </si>
  <si>
    <t>17.2</t>
  </si>
  <si>
    <t xml:space="preserve">P/F white vitreous china pede- stal type WC (European type) 10 lt low level PVC flushing cistern </t>
  </si>
  <si>
    <t xml:space="preserve">Providing and fixing white vitreous china pedestal type water closet (European type W.C. pan) with seat and lid, 10 litre low level white P.V.C. flushing cistern, including flush pipe, with manually controlled device (handle lever), conforming to IS : 7231, with all fittings andfixtures complete, including cutting and making good the walls and floors wherever required : </t>
  </si>
  <si>
    <t>17.2.1</t>
  </si>
  <si>
    <t xml:space="preserve">WC pan with white solid plastic seat and lid </t>
  </si>
  <si>
    <t xml:space="preserve">W.C. pan with ISI marked white solid plastic seat and lid </t>
  </si>
  <si>
    <t>17.2.2</t>
  </si>
  <si>
    <t xml:space="preserve">WC pan with black solid plastic seat and lid </t>
  </si>
  <si>
    <t xml:space="preserve">W.C. pan with ISI marked black solid plastic seat and lid </t>
  </si>
  <si>
    <t>17.3</t>
  </si>
  <si>
    <t xml:space="preserve">P/F white vitreous china pedestal type WC with 10 lt low level china flushing cistern </t>
  </si>
  <si>
    <t xml:space="preserve">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t>
  </si>
  <si>
    <t>17.3.1</t>
  </si>
  <si>
    <t>17.3.2</t>
  </si>
  <si>
    <t xml:space="preserve">WC pan black solid plastic seat and lid, with white vitreous china cistern </t>
  </si>
  <si>
    <t>17.4</t>
  </si>
  <si>
    <t xml:space="preserve">P/F white Vitreous china lip- ped urinal with PVC automatic flushing cistern etc </t>
  </si>
  <si>
    <t xml:space="preserve">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t>
  </si>
  <si>
    <t>17.4.1</t>
  </si>
  <si>
    <t xml:space="preserve">One urinal with 5 lt PVC cistern </t>
  </si>
  <si>
    <t xml:space="preserve">One urinal basin with 5 litre white P.V.C. automatic flushing cistern </t>
  </si>
  <si>
    <t>17.4.2</t>
  </si>
  <si>
    <t xml:space="preserve">Range of 2 with 5 lt PVC cistern </t>
  </si>
  <si>
    <t xml:space="preserve">Range of two urinal basins with 5 litre white P.V.C. automatic flushing cistern </t>
  </si>
  <si>
    <t>17.4.3</t>
  </si>
  <si>
    <t xml:space="preserve">Range of 3 with 10 lt PVC cistern </t>
  </si>
  <si>
    <t xml:space="preserve">Range of three urinal basins with 10litre white P.V.C. automatic flushing cistern </t>
  </si>
  <si>
    <t>17.4.4</t>
  </si>
  <si>
    <t xml:space="preserve">Range of 4 urinal basins with 10 lt PVC cistern </t>
  </si>
  <si>
    <t xml:space="preserve">Range of four urinal basins with 10 litre white P.V.C. automatic flushing cistern </t>
  </si>
  <si>
    <t>17.5</t>
  </si>
  <si>
    <t xml:space="preserve">P/F white vitreous china flat back half stall urinal with white PVC automatic flushing cistern etc </t>
  </si>
  <si>
    <t xml:space="preserve">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t>
  </si>
  <si>
    <t>17.5.1</t>
  </si>
  <si>
    <t xml:space="preserve">Single half stall with 5 lt PVC cistern </t>
  </si>
  <si>
    <t xml:space="preserve">Single half stall urinal with 5 litre P.V.C. automatic flushing cistern </t>
  </si>
  <si>
    <t>17.5.2</t>
  </si>
  <si>
    <t xml:space="preserve">Range of 2 half stall with 5 lt PVC cistern </t>
  </si>
  <si>
    <t xml:space="preserve">Range of two half stall urinals with 5 litre P.V.C. automatic flushing cistern </t>
  </si>
  <si>
    <t>17.5.3</t>
  </si>
  <si>
    <t xml:space="preserve">Range of 3 half stall with 10 lt PVC cistern </t>
  </si>
  <si>
    <t xml:space="preserve">Range of three half stall urinals with 10 litre P.V.C. automatic flushing cistern </t>
  </si>
  <si>
    <t>17.5.4</t>
  </si>
  <si>
    <t xml:space="preserve">Range of 4 stall with 10 lt PVC cistern </t>
  </si>
  <si>
    <t xml:space="preserve">Range of four half stall urinals with 10 litre P.V.C. automatic flushing cistern </t>
  </si>
  <si>
    <t>17.6</t>
  </si>
  <si>
    <t xml:space="preserve">P/F one piece white vitreous china squatting plate </t>
  </si>
  <si>
    <t xml:space="preserve">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t>
  </si>
  <si>
    <t>17.6.1</t>
  </si>
  <si>
    <t xml:space="preserve">Single squatting plate with 5 lt PVC cistern </t>
  </si>
  <si>
    <t xml:space="preserve">Single squatting plate with 5 litre P.V.C. automatic flushing cistern </t>
  </si>
  <si>
    <t>17.6.2</t>
  </si>
  <si>
    <t xml:space="preserve">Range of 2 squatting plates with 5 lt PVC cistern </t>
  </si>
  <si>
    <t xml:space="preserve">Range of two squatting plates with 5 litre P.V.C. automatic flushing cistern </t>
  </si>
  <si>
    <t>17.6.3</t>
  </si>
  <si>
    <t xml:space="preserve">Range of 3 squatting plates with 10 lt PVC cistern </t>
  </si>
  <si>
    <t xml:space="preserve">Range of three squatting plates with 10 litre P.V.C. automatic flushing cistern </t>
  </si>
  <si>
    <t>17.6.4</t>
  </si>
  <si>
    <t xml:space="preserve">Range of 4 squatting plate with 10 lt PVC cistern </t>
  </si>
  <si>
    <t xml:space="preserve">Range of four squatting plates with 10 litre P.V.C. automatic flushing cistern </t>
  </si>
  <si>
    <t>17.7</t>
  </si>
  <si>
    <t xml:space="preserve">P/F wash basin with all fittings </t>
  </si>
  <si>
    <t xml:space="preserve">Providing and fixing wash basin with C.I. brackets, 15 mm C.P. brass pillar taps, 32 mm C.P. brass waste of standard pattern, including painting of fittings and brackets, cutting and making good the walls wherever require: </t>
  </si>
  <si>
    <t>17.7.1</t>
  </si>
  <si>
    <t xml:space="preserve">White vitreous china Wash basin 630x450mm with a pair of 15mm CP brass pillar taps </t>
  </si>
  <si>
    <t xml:space="preserve">White Vitreous China Wash basin size 630x450 mm with a pair of 15 mm C.P. brass pillar taps </t>
  </si>
  <si>
    <t>17.7.2</t>
  </si>
  <si>
    <t xml:space="preserve">White vitreous china Wash basin 630x450mm with a single 15mm CP brass pillar tap </t>
  </si>
  <si>
    <t xml:space="preserve">White Vitreous China Wash basin size 630x450 mm with a single 15 mm C.P. brass pillar tap </t>
  </si>
  <si>
    <t>17.7.3</t>
  </si>
  <si>
    <t xml:space="preserve">White vitreous china Wash basin 550x400mm with a pair of 15mm CP brass pillar taps </t>
  </si>
  <si>
    <t xml:space="preserve">White Vitreous China Wash basin size 550x400 mm with a pair of 15 mm C.P. brass pillar taps </t>
  </si>
  <si>
    <t>17.7.4</t>
  </si>
  <si>
    <t xml:space="preserve">White vitreous china Wash basin 550x400mm with a single 15mm CP brass pillar tap </t>
  </si>
  <si>
    <t xml:space="preserve">White Vitreous China Flat back wash basin size 550x 400 mm with single 15 mm C.P. brass pillar tap </t>
  </si>
  <si>
    <t>17.7.5</t>
  </si>
  <si>
    <t xml:space="preserve">White vitreous china angle back 600x480mm with single 15mm CP brass pillar tap </t>
  </si>
  <si>
    <t xml:space="preserve">White Vitreous China Angle back wash basin size 600 x 480 mm with single 15mm C.P. brass pillar tap </t>
  </si>
  <si>
    <t>17.7.6</t>
  </si>
  <si>
    <t xml:space="preserve">White vitreous china angle back 400x400mm with single 15mm CP brass pillar tap </t>
  </si>
  <si>
    <t xml:space="preserve">White Vitreous China Angle back wash basin size 400 x 400 mm with single 15 mm C.P. brass pillar tap </t>
  </si>
  <si>
    <t>17.7.7</t>
  </si>
  <si>
    <t xml:space="preserve">White vitreous china Flat back wash basin 450x300mm </t>
  </si>
  <si>
    <t xml:space="preserve">White Vitreous China Flat back wash basin size 450x 300 mm with single 15mm C.P. brass pillar tap </t>
  </si>
  <si>
    <t>17.7.8</t>
  </si>
  <si>
    <t xml:space="preserve">White vitreous china Surgeon type wash basin of 660x460mm </t>
  </si>
  <si>
    <t xml:space="preserve">White Vitreous China Surgeon type wash basin of size 660x460 mm with a pair of 15 mm C.P. brass pillar taps with elbow including operated levers </t>
  </si>
  <si>
    <t>17.7.9</t>
  </si>
  <si>
    <t xml:space="preserve">White Vitreous China Surgeon type wash basin of size 660x460 mm with single 15 mm C.P. brass pillar taps with elbow operated levers ISI Marked </t>
  </si>
  <si>
    <t>17.7.10</t>
  </si>
  <si>
    <t xml:space="preserve">SS round basin 405x355mm with single 15 mm CP brass pillar tap </t>
  </si>
  <si>
    <t xml:space="preserve">Stainless Steel AISI-304(18/8) Round basin 405x355 mm with single 15 mm C.P. brass pillar tap </t>
  </si>
  <si>
    <t>17.7.11</t>
  </si>
  <si>
    <t xml:space="preserve">SS wash basin 530x345 mm with single 15 mm CP brass pillar tap </t>
  </si>
  <si>
    <t xml:space="preserve">Stainless Steel AISI-304(18/8) Wash basin 530x345 mm with single 15 mm C.P. brass pillar tap </t>
  </si>
  <si>
    <t>17.7A</t>
  </si>
  <si>
    <t xml:space="preserve">Providing and fixing wash basin : White Vitreous China Wash basin size 550x400 mm with a 15 mm CP Brass single hole basin mixer. </t>
  </si>
  <si>
    <t xml:space="preserve">Providing and fixing wash basin with C.I. brackets, 15 mm dia CP Brass single hole basin mixer of approved quality and make, including painting of fittings and brackets, cutting and making good the walls wherever required:- </t>
  </si>
  <si>
    <t xml:space="preserve">(a) White Vitreous China Wash basin size 550x400 mm with a 15 mm CP Brass single hole basin mixer. </t>
  </si>
  <si>
    <t>17.7B</t>
  </si>
  <si>
    <t xml:space="preserve">P/F wash basin with C.I. brackets, 15 mm PTMT pillar cock, 32 mm PTMT waste coupling. White Vitreous China Flat back wash basin size 550x400 mm with single 15 mm PTMT pillar cock. </t>
  </si>
  <si>
    <t xml:space="preserve">Providing and fixing wash basin with C.I. brackets, 15 mm PTMT pillar cock, 32 mm PTMT waste coupling of standard pattern, including painting of fittings and brackets, cutting and making good the walls wherever required. White Vitreous China Flat back wash basin size 550x400 mm with single 15 mm PTMT pillar cock. </t>
  </si>
  <si>
    <t>17.8</t>
  </si>
  <si>
    <t xml:space="preserve">P/F white vitreous china pedestal for wash basin </t>
  </si>
  <si>
    <t xml:space="preserve">Providing and fixing white vitreous china pedestal for wash basin completely recessed at the back for the reception of pipes and fittings. </t>
  </si>
  <si>
    <t>17.9</t>
  </si>
  <si>
    <t xml:space="preserve">P/F kitchen sink with fittings </t>
  </si>
  <si>
    <t xml:space="preserve">Providing and fixing kitchen sink with C.I. brackets, C.P. brass chain with rubber plug, 40 mm C.P. brass waste complete, including painting the fittings and brackets, cutting and making good the walls wherever required: </t>
  </si>
  <si>
    <t>17.9.1</t>
  </si>
  <si>
    <t xml:space="preserve">White glazed fire clay sink 600x450x250mm </t>
  </si>
  <si>
    <t xml:space="preserve">White glazed fire clay kitchen sink of size 600x450x 250 mm </t>
  </si>
  <si>
    <t>17.10</t>
  </si>
  <si>
    <t xml:space="preserve">P/F stainless steel kitchen sink with fittings </t>
  </si>
  <si>
    <t xml:space="preserve">Providing and fixing Stainless Steel A ISI 304 (18/8) kitchen sink as per IS:13983 with C.I. brackets and stainless steel plug 40 mm, including painting of fittings and brackets, cutting and making good the walls wherever required : </t>
  </si>
  <si>
    <t>17.10.1</t>
  </si>
  <si>
    <t xml:space="preserve">with drain board </t>
  </si>
  <si>
    <t xml:space="preserve">Kitchen sink with drain board </t>
  </si>
  <si>
    <t>17.10.1.1</t>
  </si>
  <si>
    <t xml:space="preserve">510x1040 bowl depth 250mm </t>
  </si>
  <si>
    <t xml:space="preserve">510x1040 mm bowl depth 250 mm. </t>
  </si>
  <si>
    <t>17.10.1.2</t>
  </si>
  <si>
    <t xml:space="preserve">510x1040 bowl depth 225mm </t>
  </si>
  <si>
    <t xml:space="preserve">510x1040 mm bowl depth 225 mm. </t>
  </si>
  <si>
    <t>17.10.1.3</t>
  </si>
  <si>
    <t xml:space="preserve">510x1040 bowl depth 200mm </t>
  </si>
  <si>
    <t xml:space="preserve">510x1040 mm bowl depth 200 mm. </t>
  </si>
  <si>
    <t>17.10.1.4</t>
  </si>
  <si>
    <t xml:space="preserve">400x915 bowl depth 178mm </t>
  </si>
  <si>
    <t xml:space="preserve">510x1040 mm bowl depth 178 mm. </t>
  </si>
  <si>
    <t>17.10.2</t>
  </si>
  <si>
    <t xml:space="preserve">Without drain board : </t>
  </si>
  <si>
    <t xml:space="preserve">Kitchen sink without drain board </t>
  </si>
  <si>
    <t>17.10.2.1</t>
  </si>
  <si>
    <t xml:space="preserve">610x510 bowl depth 200mm </t>
  </si>
  <si>
    <t xml:space="preserve">610x510 mm bowl depth 200 mm. </t>
  </si>
  <si>
    <t>17.10.2.2</t>
  </si>
  <si>
    <t xml:space="preserve">610x460 bowl depth 200mm </t>
  </si>
  <si>
    <t xml:space="preserve">610x460 mm bowl depth 200 mm. </t>
  </si>
  <si>
    <t>17.10.2.3</t>
  </si>
  <si>
    <t xml:space="preserve">470x420 bowl depth 178mm </t>
  </si>
  <si>
    <t xml:space="preserve">470x420 mm bowl depth 178 mm. </t>
  </si>
  <si>
    <t>17.11</t>
  </si>
  <si>
    <t xml:space="preserve">P/F white vitreous china laboratory sink : </t>
  </si>
  <si>
    <t xml:space="preserve">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 </t>
  </si>
  <si>
    <t>17.11.1</t>
  </si>
  <si>
    <t xml:space="preserve">450 x 300 x 150 mm. </t>
  </si>
  <si>
    <t xml:space="preserve">Size 450x300x150 mm </t>
  </si>
  <si>
    <t>17.11.2</t>
  </si>
  <si>
    <t xml:space="preserve">600 x 450 x 200 mm. </t>
  </si>
  <si>
    <t xml:space="preserve">Size 600x450x200 mm </t>
  </si>
  <si>
    <t>17.12</t>
  </si>
  <si>
    <t xml:space="preserve">P/F draining board with CI brackets </t>
  </si>
  <si>
    <t xml:space="preserve">Providing and fixing draining board with C.I. brackets including painting of brackets, cutting and making good the walls wherever required : </t>
  </si>
  <si>
    <t>17.12.1</t>
  </si>
  <si>
    <t xml:space="preserve">White glazed fire clay drai- ning board 600x450x25mm </t>
  </si>
  <si>
    <t xml:space="preserve">White glazed fire clay draining board of size 600x450x 25 mm </t>
  </si>
  <si>
    <t>17.13</t>
  </si>
  <si>
    <t xml:space="preserve">P/F white vitreous china WC pan </t>
  </si>
  <si>
    <t xml:space="preserve">Providing and fixing white vitreous china water closet squatting pan (Indian type) : </t>
  </si>
  <si>
    <t>17.13.1</t>
  </si>
  <si>
    <t xml:space="preserve">Long pattern WC 580mm </t>
  </si>
  <si>
    <t xml:space="preserve">Long pattern W.C. pan of size 580 mm </t>
  </si>
  <si>
    <t>17.13.2</t>
  </si>
  <si>
    <t xml:space="preserve">Orissa WC Pan 580x440mm </t>
  </si>
  <si>
    <t xml:space="preserve">Orissa pattern W.C. pan of size 580x440 mm </t>
  </si>
  <si>
    <t>17.14</t>
  </si>
  <si>
    <t xml:space="preserve">Extra for using coloured WC pan instead of white WC pan </t>
  </si>
  <si>
    <t xml:space="preserve">Extra for using colored W.C. pan instead of white W.C. pan </t>
  </si>
  <si>
    <t>17.14.1</t>
  </si>
  <si>
    <t xml:space="preserve">Orissa pattern WC pan 580 x 440 mm </t>
  </si>
  <si>
    <t xml:space="preserve">Orissa pattern W.C. pan 580x440 mm </t>
  </si>
  <si>
    <t>17.15</t>
  </si>
  <si>
    <t xml:space="preserve">P/F pedstal type WC pan </t>
  </si>
  <si>
    <t xml:space="preserve">Providing and fixing white vitreous china pedestal type (European type/ wash down type) water closet pan. </t>
  </si>
  <si>
    <t>17.16</t>
  </si>
  <si>
    <t xml:space="preserve">Extra for using coloured pedestal type WC pan with low level instead of white vitreous china WC pan and cistern </t>
  </si>
  <si>
    <t xml:space="preserve">Extra for using coloured pedestal type W.C pan (European type) with low level cistern of same colour instead of white vitreous china W.C pan and cistern. </t>
  </si>
  <si>
    <t>17.16A</t>
  </si>
  <si>
    <t xml:space="preserve">Providing and fixing 8 mm dia C.P. / S.S. Jet with flexible tube upto 1 metre long with S.S. triangular plate to Eureopean type W.C. of quality and make as approved by Engineer - in - charge. </t>
  </si>
  <si>
    <t>17.17</t>
  </si>
  <si>
    <t xml:space="preserve">P/F a pair of foot rests : </t>
  </si>
  <si>
    <t xml:space="preserve">Providing and fixing a pair of white vitreous china foot rests of standard pattern for squatting pan water closet : </t>
  </si>
  <si>
    <t>17.17.1</t>
  </si>
  <si>
    <t xml:space="preserve">250 x 130 x 30 mm. </t>
  </si>
  <si>
    <t xml:space="preserve">250x130x30 mm </t>
  </si>
  <si>
    <t xml:space="preserve">One Pair                                  </t>
  </si>
  <si>
    <t>17.17.2</t>
  </si>
  <si>
    <t xml:space="preserve">250 x 125 x 25 mm. </t>
  </si>
  <si>
    <t xml:space="preserve">250x125x25 mm </t>
  </si>
  <si>
    <t>17.18</t>
  </si>
  <si>
    <t xml:space="preserve">P/F 10 lt low level PVC cistern with (handle lever) complete </t>
  </si>
  <si>
    <t xml:space="preserve">Providing and fixing P.V.C. low level flushing cistern with manually controlled device (handle lever) conforming to IS : 7231, with all fittings and fixtures complete. </t>
  </si>
  <si>
    <t>17.18.1</t>
  </si>
  <si>
    <t xml:space="preserve">10 lt capacity - white </t>
  </si>
  <si>
    <t xml:space="preserve">10 litre capacity - White </t>
  </si>
  <si>
    <t>17.18.2</t>
  </si>
  <si>
    <t xml:space="preserve">10 lt capacity - coloured </t>
  </si>
  <si>
    <t xml:space="preserve">10 litre capacity - coloured </t>
  </si>
  <si>
    <t>17.19</t>
  </si>
  <si>
    <t xml:space="preserve">P/F controlled flush,low level cistern made of vitreous china with all fittings </t>
  </si>
  <si>
    <t xml:space="preserve">Providing and fixing controlled flush, low level cistern made of vitreous china with all fittings complete. </t>
  </si>
  <si>
    <t>17.19.1</t>
  </si>
  <si>
    <t xml:space="preserve">10 lt (full flush) capacity - white </t>
  </si>
  <si>
    <t xml:space="preserve">10 litre (full flush) capacity-white </t>
  </si>
  <si>
    <t>17.19.2</t>
  </si>
  <si>
    <t xml:space="preserve">10 lt (full flush) capacity - coloured </t>
  </si>
  <si>
    <t xml:space="preserve">10 litre (full flush) capacity-coloured </t>
  </si>
  <si>
    <t>17.20</t>
  </si>
  <si>
    <t xml:space="preserve">P/F solid plastic seat with lid for pedestal type WC pan complete </t>
  </si>
  <si>
    <t xml:space="preserve">Providing and fixing solid plastic seat with lid for pedestal type W.C. pan complete : </t>
  </si>
  <si>
    <t>17.20.1</t>
  </si>
  <si>
    <t xml:space="preserve">White solid plastic seat with lid </t>
  </si>
  <si>
    <t>17.20.2</t>
  </si>
  <si>
    <t xml:space="preserve">Black solid plastic seat with lid </t>
  </si>
  <si>
    <t>17.20.3</t>
  </si>
  <si>
    <t xml:space="preserve">Coloured (other than black &amp; white) solid plastic seat with lid </t>
  </si>
  <si>
    <t>17.22</t>
  </si>
  <si>
    <t xml:space="preserve">P/F GI inlet connection for flush pipe </t>
  </si>
  <si>
    <t xml:space="preserve">Providing and fixing G.I. inlet connection for flush pipe connecting with W.C. pan. </t>
  </si>
  <si>
    <t>17.22A</t>
  </si>
  <si>
    <t xml:space="preserve">Providing and fixing CP Brass 32mm size Bottle Trap of approved quality &amp; make and as per the direction of Engineer-in-charge. </t>
  </si>
  <si>
    <t>17.23</t>
  </si>
  <si>
    <t xml:space="preserve">P/F white vitreous china flat back or lipped urinal </t>
  </si>
  <si>
    <t xml:space="preserve">Providing and fixing white vitreous china flat back or wall corner type lipped front urinal basin of 430x260x350 mm or 340x410x265 mm sizes respectively. </t>
  </si>
  <si>
    <t>17.24</t>
  </si>
  <si>
    <t xml:space="preserve">P/F white vitreous china squatting plate urinal. </t>
  </si>
  <si>
    <t xml:space="preserve">Providing and fixing white vitreous china squatting plate urinal with integral rim longitudinal flush pipe. </t>
  </si>
  <si>
    <t>17.25</t>
  </si>
  <si>
    <t xml:space="preserve">P/F white vitreous china wash basin : </t>
  </si>
  <si>
    <t xml:space="preserve">Providing and fixing white vitreous china wash basin including making all connections but excluding the cost of fittings : </t>
  </si>
  <si>
    <t>17.25.1</t>
  </si>
  <si>
    <t xml:space="preserve">Flat back W/B 630 x 450 mm. </t>
  </si>
  <si>
    <t xml:space="preserve">Flat back wash basin of size 630x450 mm. </t>
  </si>
  <si>
    <t>17.25.2</t>
  </si>
  <si>
    <t xml:space="preserve">Flat back W/B 550 x 400 mm. </t>
  </si>
  <si>
    <t xml:space="preserve">Flat back wash basin of size 550x400 mm. </t>
  </si>
  <si>
    <t>17.25.3</t>
  </si>
  <si>
    <t xml:space="preserve">Angle back wash basin 600 x 480 mm. </t>
  </si>
  <si>
    <t xml:space="preserve">Angle back wash basin of size 600x480 mm. </t>
  </si>
  <si>
    <t>17.25.4</t>
  </si>
  <si>
    <t xml:space="preserve">Angle back wash basin 400 x 400 mm. </t>
  </si>
  <si>
    <t xml:space="preserve">Angle back wash basin of size 400x400mm. </t>
  </si>
  <si>
    <t>17.25.5</t>
  </si>
  <si>
    <t xml:space="preserve">Flat back wash basin 450 x 300 mm. </t>
  </si>
  <si>
    <t xml:space="preserve">Flat back wash basin of size 450x300 mm. </t>
  </si>
  <si>
    <t>17.25.6</t>
  </si>
  <si>
    <t xml:space="preserve">Surgeon type wash basin 660 x 460 mm. </t>
  </si>
  <si>
    <t xml:space="preserve">Surgeon type wash basin of size 660x460 mm. </t>
  </si>
  <si>
    <t>17.26</t>
  </si>
  <si>
    <t xml:space="preserve">Providing and fixing kitchen sink including making all connections excluding cost of fittings. </t>
  </si>
  <si>
    <t>17.26.1</t>
  </si>
  <si>
    <t xml:space="preserve">White glazed fire clay sink of size 600x450x250 mm. </t>
  </si>
  <si>
    <t>17.27</t>
  </si>
  <si>
    <t xml:space="preserve">Providing and fixing white vitreous china laboratory sink including making all connections excluding cost of fittings: </t>
  </si>
  <si>
    <t>17.27.1</t>
  </si>
  <si>
    <t xml:space="preserve">Size 450x300x150 mm. </t>
  </si>
  <si>
    <t>17.27.2</t>
  </si>
  <si>
    <t xml:space="preserve">Size 600x450x200 mm. </t>
  </si>
  <si>
    <t>17.28</t>
  </si>
  <si>
    <t xml:space="preserve">P/F PVC waste pipe </t>
  </si>
  <si>
    <t xml:space="preserve">Providing and fixing P.V.C. waste pipe for sink or wash basin including P.V.C. waste fittings complete. </t>
  </si>
  <si>
    <t>17.28.1</t>
  </si>
  <si>
    <t xml:space="preserve">Semi rigid pipe </t>
  </si>
  <si>
    <t>17.28.1.1</t>
  </si>
  <si>
    <t xml:space="preserve">32 mm dia </t>
  </si>
  <si>
    <t>17.28.1.2</t>
  </si>
  <si>
    <t xml:space="preserve">40 mm dia </t>
  </si>
  <si>
    <t>17.28.2</t>
  </si>
  <si>
    <t xml:space="preserve">Flexible pipe : </t>
  </si>
  <si>
    <t xml:space="preserve">Flexible pipe </t>
  </si>
  <si>
    <t>17.28.2.1</t>
  </si>
  <si>
    <t>17.28.2.2</t>
  </si>
  <si>
    <t>17.29</t>
  </si>
  <si>
    <t xml:space="preserve">P/F 100 mm SCI grating for gully, floor or Nahani trap </t>
  </si>
  <si>
    <t xml:space="preserve">Providing and fixing 100 mm sand cast Iron grating for gully trap. </t>
  </si>
  <si>
    <t>17.30</t>
  </si>
  <si>
    <t xml:space="preserve">P/F 25 mm dia mosquito proof coupling </t>
  </si>
  <si>
    <t xml:space="preserve">Providing and fixing in position 25mm diameter mosquito proof coupling of approved municipal design. </t>
  </si>
  <si>
    <t>17.31</t>
  </si>
  <si>
    <t xml:space="preserve">P/F 600 x 450 mm bevelled edge mirror . </t>
  </si>
  <si>
    <t xml:space="preserve">Providing and fixing 600x450 mm beveled edge mirror of superior glass (of approved quality) complete with 6 mm thick hard board ground fixed to wooden cleats with C.P. brass screws and washers complete. </t>
  </si>
  <si>
    <t>17.32</t>
  </si>
  <si>
    <t xml:space="preserve">P/F mirror of superior glass with plastic moulded frame: </t>
  </si>
  <si>
    <t xml:space="preserve">Providing and fixing mirror of superior glass (of approved quality) and of required shape and size with plastic moulded frame of approved make and shade with 6 mm thick hard board backing : </t>
  </si>
  <si>
    <t>17.32.1</t>
  </si>
  <si>
    <t xml:space="preserve">Circular 450 mm dia. </t>
  </si>
  <si>
    <t xml:space="preserve">Circular shape 450 mm dia. </t>
  </si>
  <si>
    <t>17.32.2</t>
  </si>
  <si>
    <t xml:space="preserve">Rectangular 453 x 357 mm. </t>
  </si>
  <si>
    <t xml:space="preserve">Rectangular shape 453x357 mm </t>
  </si>
  <si>
    <t>17.32.3</t>
  </si>
  <si>
    <t xml:space="preserve">Oval 450 x 350 mm </t>
  </si>
  <si>
    <t xml:space="preserve">Oval shape 450x350 mm (outer dimensions) </t>
  </si>
  <si>
    <t>17.32.4</t>
  </si>
  <si>
    <t xml:space="preserve">Rectangular 1500 x 450 mm. </t>
  </si>
  <si>
    <t xml:space="preserve">Rectangular shape 1500x450 mm </t>
  </si>
  <si>
    <t>17.33</t>
  </si>
  <si>
    <t xml:space="preserve">P/F 600x120x5mm glass shelf </t>
  </si>
  <si>
    <t xml:space="preserve">Providing and fixing 600x120x5 mm glass shelf with edges round off, supported on anodised aluminium angle frame with C.P. brass brackets and guard rail complete fixed with 40 mm long screws, rawl plugs etc., complete. </t>
  </si>
  <si>
    <t>17.34</t>
  </si>
  <si>
    <t xml:space="preserve">P/F toilet paper holder </t>
  </si>
  <si>
    <t xml:space="preserve">Providing and fixing toilet paper holder : </t>
  </si>
  <si>
    <t>17.34.1</t>
  </si>
  <si>
    <t xml:space="preserve">CP brass </t>
  </si>
  <si>
    <t xml:space="preserve">C.P. brass </t>
  </si>
  <si>
    <t>17.34.2</t>
  </si>
  <si>
    <t xml:space="preserve">Vitreous china. </t>
  </si>
  <si>
    <t xml:space="preserve">Vitreous china </t>
  </si>
  <si>
    <t>17.35</t>
  </si>
  <si>
    <t xml:space="preserve">P/F soil pipes : </t>
  </si>
  <si>
    <t xml:space="preserve">Providing and fixing soil, waste and vent pipes : </t>
  </si>
  <si>
    <t>17.35.1</t>
  </si>
  <si>
    <t xml:space="preserve">100 mm : </t>
  </si>
  <si>
    <t xml:space="preserve">100 mm dia. </t>
  </si>
  <si>
    <t>17.35.1.1</t>
  </si>
  <si>
    <t xml:space="preserve">SCI S&amp;S </t>
  </si>
  <si>
    <t xml:space="preserve">Sand cast iron S&amp;S pipe as per IS: 1729. </t>
  </si>
  <si>
    <t>17.35.1.2</t>
  </si>
  <si>
    <t xml:space="preserve">Centrifugally cast (spun) iron socketed pipe </t>
  </si>
  <si>
    <t xml:space="preserve">Centrifugally cast (spun) iron socket &amp; spigot (S&amp;S) pipe as per IS: 3989. </t>
  </si>
  <si>
    <t>17.35.1.3</t>
  </si>
  <si>
    <t xml:space="preserve">Hubless centrifugally cast (spun) iron pipes epoxy coated inside &amp; outside IS:15905 </t>
  </si>
  <si>
    <t>17.35.2</t>
  </si>
  <si>
    <t xml:space="preserve">75 mm : </t>
  </si>
  <si>
    <t xml:space="preserve">75 mm diameter : </t>
  </si>
  <si>
    <t>17.35.2.1</t>
  </si>
  <si>
    <t xml:space="preserve">SCI S &amp; S </t>
  </si>
  <si>
    <t>17.35.2.2</t>
  </si>
  <si>
    <t xml:space="preserve">Centrifugally cast (spun) iron socketed pipe as per IS: 3989. </t>
  </si>
  <si>
    <t>17.35.2.3</t>
  </si>
  <si>
    <t>17.36</t>
  </si>
  <si>
    <t xml:space="preserve">P/F the joints with spun yarn cement slurry &amp; cement mortar 1 : 2 </t>
  </si>
  <si>
    <t xml:space="preserve">Providing and filling the joints with spun yarn, cement slurry and cement mortar 1:2 ( 1 cement : 2 fine sand) in S.C.I./ C.I. Pipes : </t>
  </si>
  <si>
    <t>17.36.1</t>
  </si>
  <si>
    <t xml:space="preserve">75 mm dia pipe </t>
  </si>
  <si>
    <t>17.36.2</t>
  </si>
  <si>
    <t>17.37</t>
  </si>
  <si>
    <t xml:space="preserve">P/F MS holder bat clamps </t>
  </si>
  <si>
    <t xml:space="preserve">Providing and fixing M.S. holder-bat clamps of approved design to Sand Cast iron/cast iron (spun) pipe embedded in and includingcement concrete blocks 10x10x10 cm of 1:2:4 mix (1 cement : 2coarse sand : 4 graded stone aggregate 20 mm nominal size), including cost of cutting holes and making good the walls etc. : </t>
  </si>
  <si>
    <t>17.37.1</t>
  </si>
  <si>
    <t xml:space="preserve">For 100 mm dia. Pipe </t>
  </si>
  <si>
    <t>17.37.2</t>
  </si>
  <si>
    <t xml:space="preserve">For 75 mm dia. Pipe </t>
  </si>
  <si>
    <t>17.38</t>
  </si>
  <si>
    <t xml:space="preserve">P/F SCI bend with access door </t>
  </si>
  <si>
    <t xml:space="preserve">Providing and fixing bend of required degree with access door, insertion rubber washer 3 mm thick, bolts and nuts complete. </t>
  </si>
  <si>
    <t>17.38.1</t>
  </si>
  <si>
    <t xml:space="preserve">100 mm dia </t>
  </si>
  <si>
    <t>17.38.1.1</t>
  </si>
  <si>
    <t xml:space="preserve">Sand cast iron S&amp;S as per IS - 1729 </t>
  </si>
  <si>
    <t>17.38.1.2</t>
  </si>
  <si>
    <t xml:space="preserve">Sand cast iron S&amp;S as per IS - 3989 </t>
  </si>
  <si>
    <t>17.38.1.3</t>
  </si>
  <si>
    <t xml:space="preserve">Hubless centrifugally cast (spun) iron epoxy coated inside &amp; outside as per IS:15905 </t>
  </si>
  <si>
    <t>17.38.2</t>
  </si>
  <si>
    <t xml:space="preserve">75 mm dia. : </t>
  </si>
  <si>
    <t xml:space="preserve">75 mm dia </t>
  </si>
  <si>
    <t>17.38.2.1</t>
  </si>
  <si>
    <t xml:space="preserve">SCI S &amp; S as per IS: 1729. </t>
  </si>
  <si>
    <t>17.38.2.2</t>
  </si>
  <si>
    <t xml:space="preserve">Sand cast iron S &amp; S as per IS: 3989. </t>
  </si>
  <si>
    <t xml:space="preserve">Sand cast iron S&amp;S as per IS- 3989 </t>
  </si>
  <si>
    <t>17.38.2.3</t>
  </si>
  <si>
    <t>17.39</t>
  </si>
  <si>
    <t xml:space="preserve">P/F S.C.I plain bend : </t>
  </si>
  <si>
    <t xml:space="preserve">Providing and fixing plain bend of required degree. </t>
  </si>
  <si>
    <t>17.39.1</t>
  </si>
  <si>
    <t xml:space="preserve">100 mm dia. : </t>
  </si>
  <si>
    <t>17.39.1.1</t>
  </si>
  <si>
    <t xml:space="preserve">S.C.I S&amp;S as per IS: 1729. </t>
  </si>
  <si>
    <t>17.39.1.2</t>
  </si>
  <si>
    <t xml:space="preserve">Sand cast iron S&amp;S as per IS : 3989 </t>
  </si>
  <si>
    <t>17.39.1.3</t>
  </si>
  <si>
    <t xml:space="preserve">Hubless centrifugally cast (spun) iron pipes epoxy coated inside &amp; outside as per IS:15905 </t>
  </si>
  <si>
    <t>17.39.2</t>
  </si>
  <si>
    <t>17.39.2.1</t>
  </si>
  <si>
    <t xml:space="preserve">Sand cast iron S&amp;S as per IS -1729 </t>
  </si>
  <si>
    <t>17.39.2.2</t>
  </si>
  <si>
    <t xml:space="preserve">SCI S&amp;S as per IS: 3989. </t>
  </si>
  <si>
    <t>17.39.2.3</t>
  </si>
  <si>
    <t>17.40</t>
  </si>
  <si>
    <t xml:space="preserve">P/F S.C.I heel rest bend : </t>
  </si>
  <si>
    <t xml:space="preserve">Providing and fixing heel rest sanitary bend </t>
  </si>
  <si>
    <t>17.40.1</t>
  </si>
  <si>
    <t>17.40.1.1</t>
  </si>
  <si>
    <t>17.40.1.2</t>
  </si>
  <si>
    <t xml:space="preserve">SCI S &amp; S as per IS: 3989. </t>
  </si>
  <si>
    <t>17.40.2</t>
  </si>
  <si>
    <t>17.40.2.1</t>
  </si>
  <si>
    <t>17.40.2.2</t>
  </si>
  <si>
    <t>17.41</t>
  </si>
  <si>
    <t xml:space="preserve">P/F double equal junction : </t>
  </si>
  <si>
    <t xml:space="preserve">Providing and fixing double equal junction of required degree with access door, insertion rubber washer 3 mm thick, bolts and nuts complete : </t>
  </si>
  <si>
    <t>17.41.1</t>
  </si>
  <si>
    <t xml:space="preserve">100 x 100 x 100 x 100 mm : </t>
  </si>
  <si>
    <t xml:space="preserve">100x100x100x100 mm </t>
  </si>
  <si>
    <t>17.41.1.1</t>
  </si>
  <si>
    <t>17.41.1.2</t>
  </si>
  <si>
    <t>17.41.2</t>
  </si>
  <si>
    <t xml:space="preserve">75 x 75 x 75 x 75 mm : </t>
  </si>
  <si>
    <t xml:space="preserve">75x75x75x75 mm </t>
  </si>
  <si>
    <t>17.41.2.1</t>
  </si>
  <si>
    <t>17.41.2.2</t>
  </si>
  <si>
    <t>17.42</t>
  </si>
  <si>
    <t xml:space="preserve">P/f double equal plain junc- tion of required degree : </t>
  </si>
  <si>
    <t xml:space="preserve">Providing and fixing double equal plain junction of required degree. </t>
  </si>
  <si>
    <t>17.42.1</t>
  </si>
  <si>
    <t>17.42.1.1</t>
  </si>
  <si>
    <t>17.42.1.2</t>
  </si>
  <si>
    <t xml:space="preserve">S.C.I S&amp;S as per IS: 3989. </t>
  </si>
  <si>
    <t>17.42.1.3</t>
  </si>
  <si>
    <t>17.42.2</t>
  </si>
  <si>
    <t>17.42.2.1</t>
  </si>
  <si>
    <t>17.42.2.2</t>
  </si>
  <si>
    <t>17.42.2.3</t>
  </si>
  <si>
    <t>17.43</t>
  </si>
  <si>
    <t xml:space="preserve">P/F SCI junction with access door : </t>
  </si>
  <si>
    <t xml:space="preserve">Providing and fixing single equal plain junction of required degree with access door, insertion rubber washer 3 mm thick, bolts and nuts complete. </t>
  </si>
  <si>
    <t>17.43.1</t>
  </si>
  <si>
    <t xml:space="preserve">100 x 100 x 100 mm : </t>
  </si>
  <si>
    <t xml:space="preserve">100x100x100 mm </t>
  </si>
  <si>
    <t>17.43.1.1</t>
  </si>
  <si>
    <t>17.43.1.2</t>
  </si>
  <si>
    <t>17.43.2</t>
  </si>
  <si>
    <t xml:space="preserve">75 x 75 x 75 mm : </t>
  </si>
  <si>
    <t>17.43.2.1</t>
  </si>
  <si>
    <t>17.43.2.2</t>
  </si>
  <si>
    <t>17.44</t>
  </si>
  <si>
    <t xml:space="preserve">P/F single equal plain junc- tion of required degree : </t>
  </si>
  <si>
    <t xml:space="preserve">Providing and fixing single equal plain junction of required degree : </t>
  </si>
  <si>
    <t>17.44.1</t>
  </si>
  <si>
    <t>17.44.1.1</t>
  </si>
  <si>
    <t>17.44.1.2</t>
  </si>
  <si>
    <t>17.44.1.3</t>
  </si>
  <si>
    <t>17.44.2</t>
  </si>
  <si>
    <t>17.44.2.1</t>
  </si>
  <si>
    <t>17.44.2.2</t>
  </si>
  <si>
    <t>17.44.2.3</t>
  </si>
  <si>
    <t>17.45</t>
  </si>
  <si>
    <t xml:space="preserve">P/F double unequal junction of required degree with access door : </t>
  </si>
  <si>
    <t xml:space="preserve">Providing and fixing double unequal junction of required degree with access door, insertion rubber washer 3 mm thick, bolts and nuts complete : </t>
  </si>
  <si>
    <t>17.45.1</t>
  </si>
  <si>
    <t xml:space="preserve">100 x 100 x 75 x 75 mm : </t>
  </si>
  <si>
    <t xml:space="preserve">100x100x75x75 mm </t>
  </si>
  <si>
    <t>17.45.1.1</t>
  </si>
  <si>
    <t>17.45.1.2</t>
  </si>
  <si>
    <t>17.46</t>
  </si>
  <si>
    <t xml:space="preserve">P/F double unequal plain jun- ction of required degree : </t>
  </si>
  <si>
    <t xml:space="preserve">Providing and fixing double unequal plain junction of required degree: </t>
  </si>
  <si>
    <t>17.46.1</t>
  </si>
  <si>
    <t>17.46.1.1</t>
  </si>
  <si>
    <t>17.46.1.2</t>
  </si>
  <si>
    <t>17.46.1.3</t>
  </si>
  <si>
    <t>17.47</t>
  </si>
  <si>
    <t xml:space="preserve">P/F SCI unequal junction with access door : </t>
  </si>
  <si>
    <t xml:space="preserve">Providing and fixing single unequal junction of required degree with access door, insertion rubber washer 3 mm thick, bolts and nuts complete : </t>
  </si>
  <si>
    <t>17.47.1</t>
  </si>
  <si>
    <t xml:space="preserve">100 x 100 x 75 mm : </t>
  </si>
  <si>
    <t xml:space="preserve">100x100x75 mm </t>
  </si>
  <si>
    <t>17.47.1.1</t>
  </si>
  <si>
    <t>17.47.1.2</t>
  </si>
  <si>
    <t>17.48</t>
  </si>
  <si>
    <t xml:space="preserve">P/F single unequal plain jun- ction of required degree : </t>
  </si>
  <si>
    <t xml:space="preserve">Providing and fixing single unequal plain junction of required degree : </t>
  </si>
  <si>
    <t>17.48.1</t>
  </si>
  <si>
    <t>17.48.1.1</t>
  </si>
  <si>
    <t>17.48.1.2</t>
  </si>
  <si>
    <t>17.48.1.3</t>
  </si>
  <si>
    <t>17.49</t>
  </si>
  <si>
    <t xml:space="preserve">P/F double equal plain invert branch of required degree : </t>
  </si>
  <si>
    <t xml:space="preserve">Providing and fixing double equal plain invert branch of required degree: </t>
  </si>
  <si>
    <t>17.49.1</t>
  </si>
  <si>
    <t>17.49.1.1</t>
  </si>
  <si>
    <t>17.49.1.2</t>
  </si>
  <si>
    <t xml:space="preserve">Sand cast iron S&amp;S as per IS 3989 </t>
  </si>
  <si>
    <t>17.49.1.3</t>
  </si>
  <si>
    <t>17.49.2</t>
  </si>
  <si>
    <t>17.49.2.1</t>
  </si>
  <si>
    <t>17.49.2.2</t>
  </si>
  <si>
    <t>17.50</t>
  </si>
  <si>
    <t xml:space="preserve">P/F single equal plain invert branch of required degree : </t>
  </si>
  <si>
    <t xml:space="preserve">Providing and fixing single equal plain invert branch of required degree: </t>
  </si>
  <si>
    <t>17.50.1</t>
  </si>
  <si>
    <t>17.50.1.1</t>
  </si>
  <si>
    <t xml:space="preserve">Sand cast iron S&amp;S as per IS 1729 </t>
  </si>
  <si>
    <t>17.50.1.2</t>
  </si>
  <si>
    <t>17.50.1.3</t>
  </si>
  <si>
    <t>17.50.2</t>
  </si>
  <si>
    <t>17.50.2.1</t>
  </si>
  <si>
    <t>17.50.2.2</t>
  </si>
  <si>
    <t>17.50.2.3</t>
  </si>
  <si>
    <t>17.51</t>
  </si>
  <si>
    <t xml:space="preserve">P/F double unequal invert branch of required degree : </t>
  </si>
  <si>
    <t xml:space="preserve">Providing and fixing double unequal invert branch of required degree : </t>
  </si>
  <si>
    <t>17.51.1</t>
  </si>
  <si>
    <t>17.51.1.1</t>
  </si>
  <si>
    <t>17.51.1.2</t>
  </si>
  <si>
    <t>17.52</t>
  </si>
  <si>
    <t xml:space="preserve">P/F single unequal plain invert branch of required degree : </t>
  </si>
  <si>
    <t xml:space="preserve">Providing and fixing single unequal plain invert branch of required degree : </t>
  </si>
  <si>
    <t>17.52.1</t>
  </si>
  <si>
    <t>17.52.1.1</t>
  </si>
  <si>
    <t>17.52.1.2</t>
  </si>
  <si>
    <t>17.52.1.3</t>
  </si>
  <si>
    <t>17.53</t>
  </si>
  <si>
    <t xml:space="preserve">P/F sand cast iron S &amp; S off sets as per IS: 1729: </t>
  </si>
  <si>
    <t xml:space="preserve">Providing and fixing sand cast iron S&amp;S off sets as per IS: 1729 </t>
  </si>
  <si>
    <t>17.53.1</t>
  </si>
  <si>
    <t xml:space="preserve">76 mm off sets : </t>
  </si>
  <si>
    <t xml:space="preserve">76 mm off sets </t>
  </si>
  <si>
    <t>17.53.1.1</t>
  </si>
  <si>
    <t xml:space="preserve">With 75 mm dia. pipe. </t>
  </si>
  <si>
    <t xml:space="preserve">With 75 mm dia pipe </t>
  </si>
  <si>
    <t>17.53.1.2</t>
  </si>
  <si>
    <t xml:space="preserve">With 100 mm dia. pipe. </t>
  </si>
  <si>
    <t xml:space="preserve">With 100 mm dia pipe </t>
  </si>
  <si>
    <t>17.53.2</t>
  </si>
  <si>
    <t xml:space="preserve">114 mm off sets : </t>
  </si>
  <si>
    <t xml:space="preserve">114 mm off sets </t>
  </si>
  <si>
    <t>17.53.2.1</t>
  </si>
  <si>
    <t>17.53.2.2</t>
  </si>
  <si>
    <t xml:space="preserve">With 100 mm dia Pipe </t>
  </si>
  <si>
    <t>17.53.3</t>
  </si>
  <si>
    <t xml:space="preserve">152 mm off sets : </t>
  </si>
  <si>
    <t xml:space="preserve">152 mm off sets </t>
  </si>
  <si>
    <t>17.53.3.1</t>
  </si>
  <si>
    <t xml:space="preserve">With 75 mm dia Pipe </t>
  </si>
  <si>
    <t>17.53.3.2</t>
  </si>
  <si>
    <t>17.53A</t>
  </si>
  <si>
    <t xml:space="preserve">Providing and fixing Hubless centrifugally cast iron offsets epoxy coated inside &amp; outside as per IS:15905 </t>
  </si>
  <si>
    <t>17.53A.1</t>
  </si>
  <si>
    <t xml:space="preserve">65 mm offsets </t>
  </si>
  <si>
    <t>17.53A.1.1</t>
  </si>
  <si>
    <t>17.53A.1.2</t>
  </si>
  <si>
    <t>17.54</t>
  </si>
  <si>
    <t xml:space="preserve">P/F SCI S &amp; S off sets as per IS: 3989: </t>
  </si>
  <si>
    <t xml:space="preserve">Providing and fixing sand cast iron S&amp;S off sets as per IS: 3989. </t>
  </si>
  <si>
    <t>17.54.1</t>
  </si>
  <si>
    <t xml:space="preserve">75 mm off sets : </t>
  </si>
  <si>
    <t xml:space="preserve">75 mm off sets </t>
  </si>
  <si>
    <t>17.54.1.1</t>
  </si>
  <si>
    <t>17.54.2</t>
  </si>
  <si>
    <t xml:space="preserve">150 mm off sets : </t>
  </si>
  <si>
    <t xml:space="preserve">150 mm off sets </t>
  </si>
  <si>
    <t>17.54.2.1</t>
  </si>
  <si>
    <t>17.54.2.2</t>
  </si>
  <si>
    <t>17.54A</t>
  </si>
  <si>
    <t>17.54A.1</t>
  </si>
  <si>
    <t xml:space="preserve">130 mm offsets </t>
  </si>
  <si>
    <t>17.54A.1.1</t>
  </si>
  <si>
    <t xml:space="preserve">With 100 mm dia </t>
  </si>
  <si>
    <t>17.54A.1.2</t>
  </si>
  <si>
    <t xml:space="preserve">With 75 mm dia </t>
  </si>
  <si>
    <t>17.55</t>
  </si>
  <si>
    <t xml:space="preserve">P/F door piece, insertion rubber washer 3 mm thick, bolts and nuts complete : </t>
  </si>
  <si>
    <t xml:space="preserve">Providing and fixing door piece, insertion rubber washer 3mm thick, bolts &amp; nuts complete : </t>
  </si>
  <si>
    <t>17.55.1</t>
  </si>
  <si>
    <t>17.55.1.1</t>
  </si>
  <si>
    <t>17.55.1.2</t>
  </si>
  <si>
    <t>17.55.2</t>
  </si>
  <si>
    <t>17.55.2.1</t>
  </si>
  <si>
    <t>17.55.2.2</t>
  </si>
  <si>
    <t>17.56</t>
  </si>
  <si>
    <t xml:space="preserve">P/F terminal guard : </t>
  </si>
  <si>
    <t xml:space="preserve">Providing and fixing terminal guard: </t>
  </si>
  <si>
    <t>17.56.1</t>
  </si>
  <si>
    <t>17.56.1.1</t>
  </si>
  <si>
    <t xml:space="preserve">S.C.I S &amp; S as per IS: 1729. </t>
  </si>
  <si>
    <t>17.56.1.2</t>
  </si>
  <si>
    <t>17.56.1.3</t>
  </si>
  <si>
    <t>17.56.2</t>
  </si>
  <si>
    <t>17.56.2.1</t>
  </si>
  <si>
    <t>17.56.2.2</t>
  </si>
  <si>
    <t>17.57</t>
  </si>
  <si>
    <t xml:space="preserve">P/F collar : </t>
  </si>
  <si>
    <t xml:space="preserve">Providing and fixing collar: </t>
  </si>
  <si>
    <t>17.57.1</t>
  </si>
  <si>
    <t>17.57.1.1</t>
  </si>
  <si>
    <t>17.57.1.2</t>
  </si>
  <si>
    <t>17.57.2</t>
  </si>
  <si>
    <t>17.57.2.1</t>
  </si>
  <si>
    <t>17.57.2.2</t>
  </si>
  <si>
    <t>17.57A</t>
  </si>
  <si>
    <t xml:space="preserve">Providing and fixing shielded coupling for Hubless centrifugally cast iron pipe </t>
  </si>
  <si>
    <t>17.57A.1</t>
  </si>
  <si>
    <t>17.57A.1.1</t>
  </si>
  <si>
    <t xml:space="preserve">SS 304 grade coupling with EPDM rubber gasket </t>
  </si>
  <si>
    <t>17.57A.2</t>
  </si>
  <si>
    <t>17.57A.2.1</t>
  </si>
  <si>
    <t>17.58</t>
  </si>
  <si>
    <t xml:space="preserve">Poviding lead caulked joints </t>
  </si>
  <si>
    <t xml:space="preserve">Providing lead caulked joints to sand cast iron/centrifugally cast (spun) iron pipes and fittings of diameter: </t>
  </si>
  <si>
    <t>17.58.1</t>
  </si>
  <si>
    <t>17.58.2</t>
  </si>
  <si>
    <t>17.58.3</t>
  </si>
  <si>
    <t>17.59</t>
  </si>
  <si>
    <t xml:space="preserve">P/F MS stays and clamps : </t>
  </si>
  <si>
    <t xml:space="preserve">Providing and fixing M.S. stays and clamps for sand cast iron/centrifugally cast (spun) iron pipes of diameter : </t>
  </si>
  <si>
    <t>17.59.1</t>
  </si>
  <si>
    <t>17.59.2</t>
  </si>
  <si>
    <t>17.59.3</t>
  </si>
  <si>
    <t>17.60</t>
  </si>
  <si>
    <t xml:space="preserve">P/F SCI trap of self cleaning design </t>
  </si>
  <si>
    <t xml:space="preserve">Providing and fixing trap of self cleansing design with screwed down or hinged grating with or without vent arm complete, including cost of cutting and making good the walls and floors : </t>
  </si>
  <si>
    <t>17.60.1</t>
  </si>
  <si>
    <t xml:space="preserve">100mm inlet and 100mm outlet </t>
  </si>
  <si>
    <t xml:space="preserve">100 mm inlet and 100 mm outlet </t>
  </si>
  <si>
    <t>17.60.1.1</t>
  </si>
  <si>
    <t xml:space="preserve">Sand cast iron S&amp;S as per IS: 3989. </t>
  </si>
  <si>
    <t>17.60.1.2</t>
  </si>
  <si>
    <t xml:space="preserve">Sand Cast Iron S&amp;S as per IS: 1729. </t>
  </si>
  <si>
    <t>17.60.1.3</t>
  </si>
  <si>
    <t>17.60.2</t>
  </si>
  <si>
    <t xml:space="preserve">100mm inlet and 75mm outlet </t>
  </si>
  <si>
    <t xml:space="preserve">100 mm inlet and 75 mm outlet </t>
  </si>
  <si>
    <t>17.60.2.1</t>
  </si>
  <si>
    <t>17.60.2.2</t>
  </si>
  <si>
    <t xml:space="preserve">Sand Cast Iron S&amp;S as per IS- 1729. </t>
  </si>
  <si>
    <t>17.60.2.3</t>
  </si>
  <si>
    <t>17.61</t>
  </si>
  <si>
    <t xml:space="preserve">Cutting chases in brick mason- ry walls for sand cast iron/ centrifugally cast (spun) iron pipes </t>
  </si>
  <si>
    <t xml:space="preserve">Cutting chases in brick masonry walls for following diameter sand cast iron/centrifugally cast (spun) iron pipes and making good the same with cement concrete 1:3:6 ( 1 cement : 3 coarse sand :6graded stone aggregate 12.5 mm nominal size), including necessary plaster and pointing in cement mortar 1:4 (1 cement : 4 coarse sand) : </t>
  </si>
  <si>
    <t>17.61.1</t>
  </si>
  <si>
    <t>17.61.2</t>
  </si>
  <si>
    <t xml:space="preserve">75 mm dia. </t>
  </si>
  <si>
    <t>17.61.3</t>
  </si>
  <si>
    <t xml:space="preserve">50 mm dia. </t>
  </si>
  <si>
    <t>17.62</t>
  </si>
  <si>
    <t xml:space="preserve">Painting CI cistern for with bitumastic paint new work . </t>
  </si>
  <si>
    <t xml:space="preserve">Painting C.I. cistern with bitumastic or any other anti-corrosive paint inside and white paint over a coat of zinc chromate yellow primer (of approved quality ) on the outside surface of the cistern, flush pipe, other fittings, etc. complete for new work. </t>
  </si>
  <si>
    <t>17.63</t>
  </si>
  <si>
    <t xml:space="preserve">Re-painting CI cistern with bitumastic </t>
  </si>
  <si>
    <t xml:space="preserve">Re-painting C.I. cistern with bitumastic or any other anti-corrosive paint inside and white paint on the outside surface of the cistern, flush pipe, other fittings, etc. complete, including polishing of wooden seat and lid and cleaning of W.C. pan with acid wherever necessary.. </t>
  </si>
  <si>
    <t>17.64</t>
  </si>
  <si>
    <t xml:space="preserve">Repainting CI cistern with synthetic enamel paint on the outside surface of cistern </t>
  </si>
  <si>
    <t xml:space="preserve">Repainting C.I. cistern with synthetic enamel paint of approved colour, brand and manufacture on the outside surface of cistern, flush pipe, other fittings etc. complete. </t>
  </si>
  <si>
    <t>17.65</t>
  </si>
  <si>
    <t xml:space="preserve">Painting pipes with paint over a coat of primer for new work </t>
  </si>
  <si>
    <t xml:space="preserve">Painting sand cast iron/ centrifugally cast (spun) iron soil, waste vent pipes and fittings with two coats of synthetic enamel paint of any colour such as chocolate grey, or buff etc. over a coat of primer (of approved quality) for new work : </t>
  </si>
  <si>
    <t>17.65.1</t>
  </si>
  <si>
    <t xml:space="preserve">100 mm dia pipe. </t>
  </si>
  <si>
    <t xml:space="preserve">100 mm diameter pipe </t>
  </si>
  <si>
    <t>17.65.2</t>
  </si>
  <si>
    <t xml:space="preserve">75 mm dia pipe. </t>
  </si>
  <si>
    <t xml:space="preserve">75 mm diameter pipe </t>
  </si>
  <si>
    <t>17.66</t>
  </si>
  <si>
    <t xml:space="preserve">Repainting sand cast iron/ centrifugally cast iron (spun) iron, soil, waste, vent pipes: </t>
  </si>
  <si>
    <t xml:space="preserve">Repainting sand cast iron/ centrifugally cast iron (spun) iron, soil, waste, vent pipes and fittings with one coat of synthetic enamel paint of any colour such as chocolate, grey or buff etc : </t>
  </si>
  <si>
    <t>17.66.1</t>
  </si>
  <si>
    <t xml:space="preserve">100 mm diameter pipe. </t>
  </si>
  <si>
    <t>17.66.2</t>
  </si>
  <si>
    <t xml:space="preserve">75 mm diameter pipe. </t>
  </si>
  <si>
    <t>17.67</t>
  </si>
  <si>
    <t xml:space="preserve">Repainting bath tub of size 1700 x 730 x 430 mm with enamel paint. </t>
  </si>
  <si>
    <t xml:space="preserve">Repainting bath tub of size 1700x730x430 mm with enamel paint. </t>
  </si>
  <si>
    <t>17.68</t>
  </si>
  <si>
    <t xml:space="preserve">P/F vitreous china dual purpo- se closet suitable for use as squatting pan or European type water closet (Anglo Indian WC pan) : </t>
  </si>
  <si>
    <t xml:space="preserve">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 </t>
  </si>
  <si>
    <t>17.68.1</t>
  </si>
  <si>
    <t xml:space="preserve">White vitreous china dual purpose WC pan with white solid plastic seat and lid. </t>
  </si>
  <si>
    <t xml:space="preserve">White vitreous china dual purpose WC pan with white solid plastic seat and lid with white vitreous china flushing cistern and C.P. flush bend. </t>
  </si>
  <si>
    <t>17.69</t>
  </si>
  <si>
    <t xml:space="preserve">P/F P.T.M.T waste coupling for wash basin and sink : </t>
  </si>
  <si>
    <t xml:space="preserve">Providing and fixing PTMT Waste Coupling for wash basin and sink, of approved quality and colour. </t>
  </si>
  <si>
    <t>17.69.1</t>
  </si>
  <si>
    <t xml:space="preserve">Waste coupling 31 mmof 79 mm length and 62mm breadth wei- ghing not less than 45 gms. </t>
  </si>
  <si>
    <t xml:space="preserve">Waste coupling 31 mm dia of 79 mm length and 62 mm breadth weighing not less than 45 gms. </t>
  </si>
  <si>
    <t>17.69.2</t>
  </si>
  <si>
    <t xml:space="preserve">Waste coupling 38 mmof 83 mm length and 77mm breadth wei- ghing not less than 60 gms. </t>
  </si>
  <si>
    <t xml:space="preserve">Waste coupling 38 mm dia of 83 mm length and 77 mm breadth, weighing not less than 60 gms. </t>
  </si>
  <si>
    <t>17.70</t>
  </si>
  <si>
    <t xml:space="preserve">P/F P.T.M.T bottle trap : </t>
  </si>
  <si>
    <t xml:space="preserve">Providing and fixing PTMT Bottle Trap for Wash basin and sink. </t>
  </si>
  <si>
    <t>17.70.1</t>
  </si>
  <si>
    <t xml:space="preserve">Bottle trap 31 mm single of size 270 x 260 x 77 mm weighing not less than 260 grams. </t>
  </si>
  <si>
    <t xml:space="preserve">Bottle trap 31mm single piece moulded with height of 270 mm, effective length of tail pipe 260 mm from the centre of the waste coupling, 77 mm breadth with 25 mm minimum water seal, weighing not less than 260 gms </t>
  </si>
  <si>
    <t>17.70.2</t>
  </si>
  <si>
    <t xml:space="preserve">Bottle trap 38 mm single of size 270 x 260 x 77 mm weighing not less than 263 grams. </t>
  </si>
  <si>
    <t xml:space="preserve">Bottle trap 38 mm single piece moulded with height of 270 mm, effective length of tail pipe 260 mm from the centre of the waste coupling, 77 mm breadth with 25 mm minimum water seal, weighing not less than 263 gms </t>
  </si>
  <si>
    <t>17.71</t>
  </si>
  <si>
    <t xml:space="preserve">P/F PTMT liquid soap container 109 mm wide, 125 mm high and 112 mm distance from wall of weighing not less than 105gms. </t>
  </si>
  <si>
    <t xml:space="preserve">Providing and fixing PTMT liquid soap container 109 mm wide, 125 mm high and 112 mm distance from wall of standard shape with bracket of the same materials with snap fittings of approved quality and colour, weighing not less than 105 gms. </t>
  </si>
  <si>
    <t>17.72</t>
  </si>
  <si>
    <t xml:space="preserve">P/F PTMT towel ring trapezoi- dal shape 215 mm long, 200 mm wide of approved quality, weighing not less than 88gms. </t>
  </si>
  <si>
    <t xml:space="preserve">Providing and fixing PTMT towel ring trapezoidal shape 215 mm long, 200 mm wide with minimum distances of 37 mm from wall face with concealed fittings arrangement of approved quality and colour, weighing not less than 88 gms. </t>
  </si>
  <si>
    <t>17.73</t>
  </si>
  <si>
    <t xml:space="preserve">P/F PTMT towel rail complete with brackets with concealed fittings of approved quality and colour: </t>
  </si>
  <si>
    <t xml:space="preserve">Providing and fixing PTMT towel rail complete with brackets fixed to wooden cleats with CP brass screws with concealed fittings arrangement of approved quality and colour. </t>
  </si>
  <si>
    <t>17.73.1</t>
  </si>
  <si>
    <t xml:space="preserve">450 mm long towel rail with length of 495 mm,78 mm wide and height of 88mm, weighing not less than 170 grams. </t>
  </si>
  <si>
    <t xml:space="preserve">450 mm long towel rail with total length of 495 mm, 78 mm wide and effective height of 88 mm, weighing not less than 170 gms. </t>
  </si>
  <si>
    <t>17.73.2</t>
  </si>
  <si>
    <t xml:space="preserve">600 mm long towel rail with length of 645 mm,78 mm wide and height of 88mm, weighing not less than 190 grams. </t>
  </si>
  <si>
    <t xml:space="preserve">600 mm long towel rail with total length of 645 mm, width 78 mm and effective height of 88 mm, weighing not less than 190 gms. </t>
  </si>
  <si>
    <t>17.74</t>
  </si>
  <si>
    <t xml:space="preserve">P/F PTMT shelf 440 mm long, 124 mm width and 36mm height approved colour and make weighing not less than 300g. </t>
  </si>
  <si>
    <t xml:space="preserve">Providing and fixing PTMT shelf 440 mm long, 124 mm width and 36 mm height of approved quality and colour, weighing not less than 300 gms. </t>
  </si>
  <si>
    <t>17.75</t>
  </si>
  <si>
    <t xml:space="preserve">P/F PTMT 15 mm urinal spreader size 95x69x100 mm with 15 mm BSP thread &amp; shapes weighing not less than 60 grams. </t>
  </si>
  <si>
    <t xml:space="preserve">Providing and fixing PTMT 15 mm Urinal spreader size 95x69x100 mm with 1/2" BSP thread and shapes, weighing not less than 60 gms. </t>
  </si>
  <si>
    <t>17.76</t>
  </si>
  <si>
    <t xml:space="preserve">P/F P.T.M.T urinal coak: </t>
  </si>
  <si>
    <t xml:space="preserve">Providing and fixing PTMT urinal cock of approved quality and colour. </t>
  </si>
  <si>
    <t>17.76.1</t>
  </si>
  <si>
    <t xml:space="preserve">15 mm n/s 80mm long,44mm high and 30mm wide with BSP female threads weighing not less than 48 grams. </t>
  </si>
  <si>
    <t xml:space="preserve">15 mm nominal bore, 80 mm long. 42 mm high and 30 mm wide with BSP female threads weighing not less than 48 gms. </t>
  </si>
  <si>
    <t>17.77</t>
  </si>
  <si>
    <t xml:space="preserve">P/F M.S holder bat clamps to SCI pipe comprising of M.S. flat brackets made of 50x5 mm flat of specified shape: </t>
  </si>
  <si>
    <t xml:space="preserve">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t>
  </si>
  <si>
    <t>17.77.1</t>
  </si>
  <si>
    <t xml:space="preserve">Total bracket length 580 mm of approved shape and design (For single 100mm dia pipe). </t>
  </si>
  <si>
    <t xml:space="preserve">Total bracket length 580 mm of approved shape and design (for single 100 mm dia pipe). </t>
  </si>
  <si>
    <t>17.77.2</t>
  </si>
  <si>
    <t xml:space="preserve">Total bracket length 580 mm of approved shape and design (For two 100mm dia pipe). </t>
  </si>
  <si>
    <t xml:space="preserve">Total bracket length 810 mm of approved shape and design (for two 100 mm dia pipes). </t>
  </si>
  <si>
    <t>17.77.3</t>
  </si>
  <si>
    <t xml:space="preserve">Total bracket length 580 mm of approved shape and design (For three 100mm dia pipe). </t>
  </si>
  <si>
    <t xml:space="preserve">Total bracket length 1040 mm of approved shape and design (for three 100 mm dia pipes). </t>
  </si>
  <si>
    <t>17.78</t>
  </si>
  <si>
    <t xml:space="preserve">P/F white vitreous china extended wall mounting water closet of size 780x370x690 mm - white vitreous china cistern with dual flush flushing capacity 3 litre/ 6 litre, including seat cover, and cistern fittings etc </t>
  </si>
  <si>
    <t xml:space="preserve">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 </t>
  </si>
  <si>
    <t>17.79</t>
  </si>
  <si>
    <t xml:space="preserve">Providing &amp; fixing white vitreous china water less urinal of size 600 x 330 x 315 mm having antibacterial /germs free ceramic surface, fixed with cartridge having debris catcher and hygiene seal. </t>
  </si>
  <si>
    <t>17.80</t>
  </si>
  <si>
    <t xml:space="preserve">P/F vitreous colour washbasin(oval shape) of size 630x450mm............ </t>
  </si>
  <si>
    <t xml:space="preserve">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 </t>
  </si>
  <si>
    <t>17.81</t>
  </si>
  <si>
    <t xml:space="preserve">P/F floor mounted, white vitreous china single piece, double traps syphonic water closet integrated white vitreous china cistern of capacity 10 litres with dual flushing system.. </t>
  </si>
  <si>
    <t xml:space="preserve">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t>
  </si>
  <si>
    <t xml:space="preserve">Total of the Sub-Head - Sanitary Installations :  </t>
  </si>
  <si>
    <t xml:space="preserve">        Sub-Head : Water Supply</t>
  </si>
  <si>
    <t>18.1</t>
  </si>
  <si>
    <t xml:space="preserve">P/F (PE - AL - PE) composite pressure pipes conforming to IS: 15450 U.V. stablist with carbon black for hot and cold water including all special fittings of composite material e.g. elbows, tees, reducers, couplers and connectors etc. with clamps (Internal work exposed on wall): </t>
  </si>
  <si>
    <t xml:space="preserve">Providing and fixing Polyethelene-Aluminium- Polyethelene PE-AL-PE Composite Pressure Pipes conforming to IS - 15450, U.V. stabilized with carbon black having thermal stability for hot &amp; coldwater supply, capable to withstand temperature up to 80°C, including all special fittings of composite material (engineering plastic blend and brass inserts wherever required) e.g. elbows, tees, reducers, couplers &amp; connectors etc., with clamps at 1.00 metre spacing.This includes testing of joints complete as per direction of the Engineer-in-charge. INTERNAL WORK - EXPOSED ON WALL </t>
  </si>
  <si>
    <t>18.1.1</t>
  </si>
  <si>
    <t xml:space="preserve">1216 (16 mm O/D.) pipe. </t>
  </si>
  <si>
    <t xml:space="preserve">1216 (16 mm OD) pipe </t>
  </si>
  <si>
    <t>18.1.2</t>
  </si>
  <si>
    <t xml:space="preserve">1620 (20 mm O/D) pipe. </t>
  </si>
  <si>
    <t xml:space="preserve">1620 (20 mm OD) pipe </t>
  </si>
  <si>
    <t>18.1.3</t>
  </si>
  <si>
    <t xml:space="preserve">2025 (25 mm O/D) pipe. </t>
  </si>
  <si>
    <t xml:space="preserve">2025 (25 mm OD) pipe </t>
  </si>
  <si>
    <t>18.1.4</t>
  </si>
  <si>
    <t xml:space="preserve">2532 (32 mm O/D) pipe. </t>
  </si>
  <si>
    <t xml:space="preserve">2532 (32 mm OD) pipe </t>
  </si>
  <si>
    <t>18.1.5</t>
  </si>
  <si>
    <t xml:space="preserve">3240 (40 mm O/D) pipe. </t>
  </si>
  <si>
    <t xml:space="preserve">3240 (40 mm OD) pipe </t>
  </si>
  <si>
    <t>18.1.6</t>
  </si>
  <si>
    <t xml:space="preserve">4050 (50 mm O/D) pipe. </t>
  </si>
  <si>
    <t xml:space="preserve">4050 (50 mm OD) pipe </t>
  </si>
  <si>
    <t>18.2</t>
  </si>
  <si>
    <t xml:space="preserve">P/F (PE - AL - PE) composite pressure pipes conforming to IS: 15450 U.V. stablist with carbon black for hot and cold water including all special fittings of composite material e.g. elbows, tees, reducers, couplers and connectors etc. with clamps (Internal work exposed on wall): (concealed work i/c cutting chases and making good the walls etc.) </t>
  </si>
  <si>
    <t xml:space="preserve">Providing and fixing Polyethylene- Aluminium -Polyethylene (PE-AL-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t>
  </si>
  <si>
    <t>18.2.1</t>
  </si>
  <si>
    <t xml:space="preserve">1216 (16 mm O/D) pipe. </t>
  </si>
  <si>
    <t xml:space="preserve">1216 (16mm OD) pipe </t>
  </si>
  <si>
    <t>18.2.2</t>
  </si>
  <si>
    <t>18.2.3</t>
  </si>
  <si>
    <t>18.2.4</t>
  </si>
  <si>
    <t>18.3</t>
  </si>
  <si>
    <t xml:space="preserve">P/F (PE - AL - PE) composite pressure pipes conforming to IS: 15450 U.V. stablist with carbon black for hot and cold water including all special fittings of composite material e.g. elbows, tees, reducers, couplers and connectors etc. trenching and refilling. (External work): </t>
  </si>
  <si>
    <t xml:space="preserve">Providing and fixing Polyethylene- Aluminium- Polyethylene (PE-AL- 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 e.g. elbows, tees, reducers, couplers &amp; connectors etc. with trenching, refilling and testing of joints complete as per direction of the engineer in charge : External work </t>
  </si>
  <si>
    <t>18.3.1</t>
  </si>
  <si>
    <t>18.3.2</t>
  </si>
  <si>
    <t xml:space="preserve">1620 (20 mm OD ) pipe. </t>
  </si>
  <si>
    <t>18.3.3</t>
  </si>
  <si>
    <t xml:space="preserve">2025 (25 mm OD ) pipe. </t>
  </si>
  <si>
    <t>18.3.4</t>
  </si>
  <si>
    <t xml:space="preserve">2532 (32 mm OD ) pipe. </t>
  </si>
  <si>
    <t>18.3.5</t>
  </si>
  <si>
    <t xml:space="preserve">3240 (40 mm OD ) pipe. </t>
  </si>
  <si>
    <t>18.3.6</t>
  </si>
  <si>
    <t xml:space="preserve">4050 (50 mm OD ) pipe. </t>
  </si>
  <si>
    <t>18.4</t>
  </si>
  <si>
    <t xml:space="preserve">P?F 3 layer PP-R (Polypropy- lene Random copolymer) pipes SDR 7.4 U.V. stablized and anti-microbial fusion welded, i/c all PP- R plain and brass threaded polypropylene random fittings, clamps at one meter spacing. (Internal work - Exposed on wall): </t>
  </si>
  <si>
    <t xml:space="preserve">Providing and fixing 3 layer PP-R (Poly propylene Random copolymer) pipes confirming to IS 15801, UV stabilized &amp; anti- microbial fusion welded, having thermal stability for hot &amp; cold water supply, including all PP - R plain &amp; brass threadedpolypropylene random fittings, i/c fixing the pipe with clamps at 1.00 m spacing. This includes testing of joints complete as per direction of Engineer-in-Charge.Internal Exposed on walls. </t>
  </si>
  <si>
    <t>18.4.1</t>
  </si>
  <si>
    <t xml:space="preserve">PN - 16 Pipe, 16 mm O/D. </t>
  </si>
  <si>
    <t xml:space="preserve">PN - 16 Pipe, 20mm OD (SDR-7.4) </t>
  </si>
  <si>
    <t>18.4.2</t>
  </si>
  <si>
    <t xml:space="preserve">PN - 16 Pipe, 20 mm O/D. </t>
  </si>
  <si>
    <t xml:space="preserve">PN - 16 Pipe, 25mm OD (SDR-7.4) </t>
  </si>
  <si>
    <t>18.4.3</t>
  </si>
  <si>
    <t xml:space="preserve">PN - 16 Pipe, 25 mm O/D. </t>
  </si>
  <si>
    <t xml:space="preserve">PN - 16 Pipe, 32mm OD (SDR-7.4) </t>
  </si>
  <si>
    <t>18.4.4</t>
  </si>
  <si>
    <t xml:space="preserve">PN - 16 Pipe, 32 mm O/D. </t>
  </si>
  <si>
    <t xml:space="preserve">PN - 16 Pipe, 40mm OD (SDR-7.4) </t>
  </si>
  <si>
    <t>18.4.5</t>
  </si>
  <si>
    <t xml:space="preserve">PN - 16 Pipe, 40 mm O/D. </t>
  </si>
  <si>
    <t xml:space="preserve">PN - 10 Pipe, 50mm OD (SDR-11) </t>
  </si>
  <si>
    <t>18.5</t>
  </si>
  <si>
    <t xml:space="preserve">P/F 3 layer PP-R (Polypropy- lene Random copolymer) pipes SDR 7.4 U.V. stablized and anti-microbial fusion welded, i/c all PP- R plain and brass threaded polypropylene random fittings, clamps at one meter spacing. i/c cutting chases and making the same.: </t>
  </si>
  <si>
    <t xml:space="preserve">Providing and fixing 3 layer PP-R (Poly propylene Random copolymer) pipes confirming to IS:15801, UV stabilized &amp; anti- microbial fusion welded, having thermal stability for hot &amp; cold water supply, including all PP - R plain &amp; brass threadedpolypropylene random fittings, i/c fixing the pipe with clamps at 1.00 m spacing. This includes the cost of cutting chases andmaking good the same including testing of joints complete as per direction of Engineer-in-Charge.Concealed work,including cutting chases and making good the wall etc. </t>
  </si>
  <si>
    <t>18.5.1</t>
  </si>
  <si>
    <t>18.5.2</t>
  </si>
  <si>
    <t>18.5.3</t>
  </si>
  <si>
    <t>18.6</t>
  </si>
  <si>
    <t xml:space="preserve">P/F 3 layer PP-R (Polypropy- lene Random copolymer) pipes UV stablized and anti-micro- bial fusion welded, i/c all PP-R plain and brass threaded polypropylene random fittings, including trenchin, refilling &amp; testing (External work): </t>
  </si>
  <si>
    <t xml:space="preserve">Providing and fixing 3 layer PP-R (Poly propylene Random copolymer) pipes confirming to IS:15801 UV stabilized &amp; anti -microbial fusion welded, having thermal stability for hot &amp; cold water supply, including all PP - R plain &amp; brass threadedpolypropylene random fittings, including trenching, refilling &amp; testing of joints complete as per direction of Engineer-in-Charge.External work </t>
  </si>
  <si>
    <t>18.6.1</t>
  </si>
  <si>
    <t xml:space="preserve">PN - 16 Pipe, 15 mm OD (SDR-7.4). </t>
  </si>
  <si>
    <t>18.6.2</t>
  </si>
  <si>
    <t xml:space="preserve">PN - 16 Pipe, 20 mm OD (SDR-7.4). </t>
  </si>
  <si>
    <t xml:space="preserve">PN - 16 Pipe, 25 mm OD (SDR-7.4) </t>
  </si>
  <si>
    <t>18.6.3</t>
  </si>
  <si>
    <t xml:space="preserve">PN - 16 Pipe, 25 mm OD (SDR-7.4). </t>
  </si>
  <si>
    <t xml:space="preserve">PN - 16 Pipe, 32 mm OD (SDR-7.4) </t>
  </si>
  <si>
    <t>18.6.4</t>
  </si>
  <si>
    <t xml:space="preserve">PN - 16 Pipe, 32 mm OD (SDR-7.4). </t>
  </si>
  <si>
    <t xml:space="preserve">PN - 16 Pipe, 40 mm OD (SDR-7.4) </t>
  </si>
  <si>
    <t>18.6.5</t>
  </si>
  <si>
    <t xml:space="preserve">PN - 16 Pipe, 40 mm OD (SDR-7.4). </t>
  </si>
  <si>
    <t xml:space="preserve">PN - 10 Pipe, 50 mm OD (SDR-11) </t>
  </si>
  <si>
    <t>18.6.6</t>
  </si>
  <si>
    <t xml:space="preserve">PN - 16 Pipe, 50 mm OD (SDR-7.4). </t>
  </si>
  <si>
    <t xml:space="preserve">PN - 10 Pipe, 63 mm OD (SDR-11) </t>
  </si>
  <si>
    <t>18.6.7</t>
  </si>
  <si>
    <t xml:space="preserve">PN - 16 Pipe, 63 mm OD (SDR-7.4). </t>
  </si>
  <si>
    <t xml:space="preserve">PN - 10 Pipe, 75 mm OD (SDR-11) </t>
  </si>
  <si>
    <t>18.6.8</t>
  </si>
  <si>
    <t xml:space="preserve">PN - 16 Pipe, 75 mm OD (SDR-7.4). </t>
  </si>
  <si>
    <t xml:space="preserve">PN - 10 Pipe, 90 mm OD (SDR-11) </t>
  </si>
  <si>
    <t>18.6.9</t>
  </si>
  <si>
    <t xml:space="preserve">PN - 16 Pipe, 90 mm OD (SDR-7.4). </t>
  </si>
  <si>
    <t xml:space="preserve">PN - 10 Pipe, 110 mm OD (SDR-11) </t>
  </si>
  <si>
    <t>18.6.10</t>
  </si>
  <si>
    <t xml:space="preserve">PN - 10 Pipe, 110 mm OD (SDR-11). </t>
  </si>
  <si>
    <t xml:space="preserve">PN - 10 Pipe, 160 mm OD (SDR-11) </t>
  </si>
  <si>
    <t>18.6A</t>
  </si>
  <si>
    <t xml:space="preserve">Providing and fixing PPR Unions </t>
  </si>
  <si>
    <t>18.6A.1</t>
  </si>
  <si>
    <t xml:space="preserve">PPR Union 20 mm </t>
  </si>
  <si>
    <t>18.6A.2</t>
  </si>
  <si>
    <t xml:space="preserve">PPR Union 25 mm </t>
  </si>
  <si>
    <t>18.6A.3</t>
  </si>
  <si>
    <t xml:space="preserve">PPR Union 32 mm </t>
  </si>
  <si>
    <t>18.6A.4</t>
  </si>
  <si>
    <t xml:space="preserve">PPR Union 40 mm </t>
  </si>
  <si>
    <t>18.6A.5</t>
  </si>
  <si>
    <t xml:space="preserve">PPR Union 50 mm </t>
  </si>
  <si>
    <t>18.6A.6</t>
  </si>
  <si>
    <t xml:space="preserve">PPR Union 63 mm </t>
  </si>
  <si>
    <t>18.6A.7</t>
  </si>
  <si>
    <t xml:space="preserve">PPR Union 75 mm </t>
  </si>
  <si>
    <t>18.7</t>
  </si>
  <si>
    <t xml:space="preserve">P/F CPVC pipes, having thermal stability for hot and cold water supply i/c CPVC plain &amp; brass threaded fittings: (Internal work - Exposed on wall). </t>
  </si>
  <si>
    <t xml:space="preserve">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 Internal work - Exposed on wall </t>
  </si>
  <si>
    <t>18.7.1</t>
  </si>
  <si>
    <t xml:space="preserve">15 mm nominal OD pipes. </t>
  </si>
  <si>
    <t xml:space="preserve">15 mm nominal outer dia. Pipes. </t>
  </si>
  <si>
    <t>18.7.2</t>
  </si>
  <si>
    <t xml:space="preserve">20 mm nominal OD pipes. </t>
  </si>
  <si>
    <t xml:space="preserve">20 mm nominal outer dia. Pipes. </t>
  </si>
  <si>
    <t>18.7.3</t>
  </si>
  <si>
    <t xml:space="preserve">25 mm nominal OD pipes. </t>
  </si>
  <si>
    <t xml:space="preserve">25 mm nominal outer dia .Pipes. </t>
  </si>
  <si>
    <t>18.7.4</t>
  </si>
  <si>
    <t xml:space="preserve">32 mm nominal OD pipes. </t>
  </si>
  <si>
    <t xml:space="preserve">32 mm nominal outer dia. Pipes. </t>
  </si>
  <si>
    <t>18.7.5</t>
  </si>
  <si>
    <t xml:space="preserve">40 mm nominal OD pipes. </t>
  </si>
  <si>
    <t xml:space="preserve">40 mm nominal outer dia. Pipes. </t>
  </si>
  <si>
    <t>18.7.6</t>
  </si>
  <si>
    <t xml:space="preserve">50 mm nominal OD pipes. </t>
  </si>
  <si>
    <t xml:space="preserve">50 mm nominal outer dia. Pipes. </t>
  </si>
  <si>
    <t>18.8</t>
  </si>
  <si>
    <t xml:space="preserve">P/F CPVC pipes, having thermal stability for hot and cold water supply i/c CPVC plain &amp; brass threaded fittings: (Concealed work i/c cutting chases and making good the walls etc.): </t>
  </si>
  <si>
    <t xml:space="preserve">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t>
  </si>
  <si>
    <t>18.8.1</t>
  </si>
  <si>
    <t xml:space="preserve">15 mm nominal outer dia .Pipes. </t>
  </si>
  <si>
    <t>18.8.2</t>
  </si>
  <si>
    <t xml:space="preserve">20 mm nominal outer dia .Pipes. </t>
  </si>
  <si>
    <t>18.8.3</t>
  </si>
  <si>
    <t>18.8.4</t>
  </si>
  <si>
    <t xml:space="preserve">32 mm nominal outer dia .Pipes. </t>
  </si>
  <si>
    <t>18.9</t>
  </si>
  <si>
    <t xml:space="preserve">P/F CPVC pipes, having thermal stability for hot and cold water supply i/c CPVC plain &amp; brass threaded fittings i/c trenching, refilling: (External wak): </t>
  </si>
  <si>
    <t xml:space="preserve">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 External work </t>
  </si>
  <si>
    <t>18.9.1</t>
  </si>
  <si>
    <t>18.9.2</t>
  </si>
  <si>
    <t>18.9.3</t>
  </si>
  <si>
    <t xml:space="preserve">25 mm nominal outer dia. Pipes. </t>
  </si>
  <si>
    <t>18.9.4</t>
  </si>
  <si>
    <t>18.9.5</t>
  </si>
  <si>
    <t>18.9.6</t>
  </si>
  <si>
    <t>18.9.7</t>
  </si>
  <si>
    <t xml:space="preserve">62.5 mm nominal OD pipes. </t>
  </si>
  <si>
    <t xml:space="preserve">62.50 mm nominal inner dia. Pipes. </t>
  </si>
  <si>
    <t>18.9.8</t>
  </si>
  <si>
    <t xml:space="preserve">75 mm nominal OD pipes. </t>
  </si>
  <si>
    <t xml:space="preserve">75 mm nominal inner dia. Pipes. </t>
  </si>
  <si>
    <t>18.9.9</t>
  </si>
  <si>
    <t xml:space="preserve">100 mm nominal OD pipes. </t>
  </si>
  <si>
    <t xml:space="preserve">100mm nominal inner dia. Pipes. </t>
  </si>
  <si>
    <t>18.9.10</t>
  </si>
  <si>
    <t xml:space="preserve">150 mm nominal OD pipes. </t>
  </si>
  <si>
    <t xml:space="preserve">150 mm nominal inner dia. Pipes. </t>
  </si>
  <si>
    <t>18.10</t>
  </si>
  <si>
    <t xml:space="preserve">P/F GI pipes with fittings - internal work exposed on walls </t>
  </si>
  <si>
    <t xml:space="preserve">Providing and fixing G.I. pipes complete with G.I. fittings and clamps, i/c cutting and making good the walls etc. : Internal work – Exposed on wall. </t>
  </si>
  <si>
    <t>18.10.1</t>
  </si>
  <si>
    <t xml:space="preserve">15 mm dia. nominal bore. </t>
  </si>
  <si>
    <t xml:space="preserve">15 mm dia. nominal bore </t>
  </si>
  <si>
    <t>18.10.2</t>
  </si>
  <si>
    <t xml:space="preserve">20 mm dia. nominal bore. </t>
  </si>
  <si>
    <t xml:space="preserve">20 mm dia. nominal bore </t>
  </si>
  <si>
    <t>18.10.3</t>
  </si>
  <si>
    <t xml:space="preserve">25 mm dia. nominal bore. </t>
  </si>
  <si>
    <t xml:space="preserve">25 mm dia. nominal bore </t>
  </si>
  <si>
    <t>18.10.4</t>
  </si>
  <si>
    <t xml:space="preserve">32 mm dia. nominal bore. </t>
  </si>
  <si>
    <t xml:space="preserve">32 mm dia. nominal bore </t>
  </si>
  <si>
    <t>18.10.5</t>
  </si>
  <si>
    <t xml:space="preserve">40 mm dia. nominal bore. </t>
  </si>
  <si>
    <t xml:space="preserve">40 mm dia. nominal bore </t>
  </si>
  <si>
    <t>18.10.6</t>
  </si>
  <si>
    <t xml:space="preserve">50 mm dia. nominal bore. </t>
  </si>
  <si>
    <t xml:space="preserve">50 mm dia. nominal bore </t>
  </si>
  <si>
    <t>18.11</t>
  </si>
  <si>
    <t xml:space="preserve">P/F GI pipes with fittings internal work concealed pipe </t>
  </si>
  <si>
    <t xml:space="preserve">Providing and fixing G.I. Pipes complete with G.I. fittings and clamps, i/c making good the walls etc. concealed pipe, including painting with anticorrosive bitumastic paint, cutting chases and making good the wall: </t>
  </si>
  <si>
    <t>18.11.1</t>
  </si>
  <si>
    <t>18.11.2</t>
  </si>
  <si>
    <t>18.12</t>
  </si>
  <si>
    <t xml:space="preserve">P/F GI pipes (external work):- </t>
  </si>
  <si>
    <t xml:space="preserve">Providing and fixing G.I. pipes complete with G.I. fittings including trenching and refilling etc. : External work </t>
  </si>
  <si>
    <t>18.12.1</t>
  </si>
  <si>
    <t>18.12.2</t>
  </si>
  <si>
    <t>18.12.3</t>
  </si>
  <si>
    <t>18.12.4</t>
  </si>
  <si>
    <t>18.12.5</t>
  </si>
  <si>
    <t>18.12.6</t>
  </si>
  <si>
    <t>18.12.7</t>
  </si>
  <si>
    <t xml:space="preserve">65 mm dia. nominal bore. </t>
  </si>
  <si>
    <t xml:space="preserve">65 mm dia. nominal bore </t>
  </si>
  <si>
    <t>18.12.8</t>
  </si>
  <si>
    <t xml:space="preserve">80 mm dia. nominal bore. </t>
  </si>
  <si>
    <t xml:space="preserve">80 mm dia. nominal bore </t>
  </si>
  <si>
    <t>18.13</t>
  </si>
  <si>
    <t xml:space="preserve">Making connection of GI distribution branch </t>
  </si>
  <si>
    <t xml:space="preserve">Making connection of G.I. distribution branch with G.I. main of following sizes by providing and fixing tee, including cutting and threading the pipe etc. complete : </t>
  </si>
  <si>
    <t>18.13.1</t>
  </si>
  <si>
    <t xml:space="preserve">25 to 40 mm nominal bore . </t>
  </si>
  <si>
    <t xml:space="preserve">25 to 40 mm nominal bore </t>
  </si>
  <si>
    <t>18.13.2</t>
  </si>
  <si>
    <t xml:space="preserve">50 to 80 mm nominal bore . </t>
  </si>
  <si>
    <t xml:space="preserve">50 to 80 mm nominal bore </t>
  </si>
  <si>
    <t>18.14</t>
  </si>
  <si>
    <t xml:space="preserve">Fixing water meter and stop cock in GI pipe line </t>
  </si>
  <si>
    <t xml:space="preserve">Fixing water meter and stop cock in G.I. pipe line including cutting and threading the pipe and making long screws etc. complete (cost of water meter and stop cock to be paid separately). </t>
  </si>
  <si>
    <t>18.15</t>
  </si>
  <si>
    <t xml:space="preserve">P/F brass bib cock : </t>
  </si>
  <si>
    <t xml:space="preserve">Providing and fixing brass bib cock of approved quality : </t>
  </si>
  <si>
    <t>18.15.1</t>
  </si>
  <si>
    <t xml:space="preserve">15 mm nominal bore. </t>
  </si>
  <si>
    <t xml:space="preserve">15 mm nominal bore </t>
  </si>
  <si>
    <t>18.15.2</t>
  </si>
  <si>
    <t xml:space="preserve">20 mm nominal bore. </t>
  </si>
  <si>
    <t xml:space="preserve">20 mm nominal bore </t>
  </si>
  <si>
    <t>18.16</t>
  </si>
  <si>
    <t xml:space="preserve">P/F brass stop cock : </t>
  </si>
  <si>
    <t xml:space="preserve">Providing and fixing brass stop cock of approved quality : </t>
  </si>
  <si>
    <t>18.16.1</t>
  </si>
  <si>
    <t>18.16.2</t>
  </si>
  <si>
    <t>18.17</t>
  </si>
  <si>
    <t xml:space="preserve">P/F brass gate valve : </t>
  </si>
  <si>
    <t xml:space="preserve">Providing and fixing gun metal gate valve with C.I. wheel of approved quality (screwed end) : </t>
  </si>
  <si>
    <t>18.17.1</t>
  </si>
  <si>
    <t xml:space="preserve">25 mm nominal bore. </t>
  </si>
  <si>
    <t xml:space="preserve">25 mm nominal bore </t>
  </si>
  <si>
    <t>18.17.1A</t>
  </si>
  <si>
    <t>18.17.2</t>
  </si>
  <si>
    <t xml:space="preserve">32 mm nominal bore. </t>
  </si>
  <si>
    <t>18.17.3</t>
  </si>
  <si>
    <t xml:space="preserve">40 mm nominal bore. </t>
  </si>
  <si>
    <t xml:space="preserve">40 mm nominal bore </t>
  </si>
  <si>
    <t>18.17.4</t>
  </si>
  <si>
    <t xml:space="preserve">50 mm nominal bore. </t>
  </si>
  <si>
    <t xml:space="preserve">50 mm nominal bore </t>
  </si>
  <si>
    <t>18.17.5</t>
  </si>
  <si>
    <t xml:space="preserve">65 mm nominal bore. </t>
  </si>
  <si>
    <t xml:space="preserve">65 mm nominal bore </t>
  </si>
  <si>
    <t>18.17.6</t>
  </si>
  <si>
    <t xml:space="preserve">80 mm nominal bore. </t>
  </si>
  <si>
    <t xml:space="preserve">80 mm nominal bore </t>
  </si>
  <si>
    <t>18.18</t>
  </si>
  <si>
    <t xml:space="preserve">P/F ball valve (brass) </t>
  </si>
  <si>
    <t xml:space="preserve">Providing and fixing ball valve (brass) of approved quality, High or low pressure, with plastic floats complete : </t>
  </si>
  <si>
    <t>18.18.1</t>
  </si>
  <si>
    <t>18.18.2</t>
  </si>
  <si>
    <t>18.18.3</t>
  </si>
  <si>
    <t>18.19</t>
  </si>
  <si>
    <t xml:space="preserve">P/F gun metal non-return valve (screwed end) </t>
  </si>
  <si>
    <t xml:space="preserve">Providing and fixing gun metal non- return valve of approved quality (screwed end) : </t>
  </si>
  <si>
    <t>18.19.1</t>
  </si>
  <si>
    <t xml:space="preserve">25 mm nominal bore : </t>
  </si>
  <si>
    <t>18.19.1.1</t>
  </si>
  <si>
    <t xml:space="preserve">Horizontal. </t>
  </si>
  <si>
    <t xml:space="preserve">Horizontal </t>
  </si>
  <si>
    <t>18.19.1.2</t>
  </si>
  <si>
    <t xml:space="preserve">Vertical. </t>
  </si>
  <si>
    <t xml:space="preserve">Vertical </t>
  </si>
  <si>
    <t>18.19.2</t>
  </si>
  <si>
    <t xml:space="preserve">32 mm nominal bore : </t>
  </si>
  <si>
    <t xml:space="preserve">32 mm nominal bore </t>
  </si>
  <si>
    <t>18.19.2.1</t>
  </si>
  <si>
    <t>18.19.2.2</t>
  </si>
  <si>
    <t>18.19.3</t>
  </si>
  <si>
    <t xml:space="preserve">40 mm nominal bore : </t>
  </si>
  <si>
    <t>18.19.3.1</t>
  </si>
  <si>
    <t>18.19.3.2</t>
  </si>
  <si>
    <t>18.19.4</t>
  </si>
  <si>
    <t xml:space="preserve">50 mm nominal bore : </t>
  </si>
  <si>
    <t>18.19.4.1</t>
  </si>
  <si>
    <t>18.19.4.2</t>
  </si>
  <si>
    <t>18.19.5</t>
  </si>
  <si>
    <t xml:space="preserve">65 mm nominal bore : </t>
  </si>
  <si>
    <t>18.19.5.1</t>
  </si>
  <si>
    <t>18.19.5.2</t>
  </si>
  <si>
    <t>18.19.6</t>
  </si>
  <si>
    <t xml:space="preserve">80 mm nominal bore : </t>
  </si>
  <si>
    <t>18.19.6.1</t>
  </si>
  <si>
    <t>18.19.6.2</t>
  </si>
  <si>
    <t>18.20</t>
  </si>
  <si>
    <t xml:space="preserve">P/F brass ferrule :- </t>
  </si>
  <si>
    <t xml:space="preserve">Providing and fixing brass ferrule with C.I. mouth cover including boring and tapping the main : </t>
  </si>
  <si>
    <t>18.20.1</t>
  </si>
  <si>
    <t>18.20.2</t>
  </si>
  <si>
    <t>18.20.3</t>
  </si>
  <si>
    <t>18.21</t>
  </si>
  <si>
    <t xml:space="preserve">P/F P.V.C connection pipe :- </t>
  </si>
  <si>
    <t xml:space="preserve">Providing and fixing uplasticised PVC connection pipe with brass unions : </t>
  </si>
  <si>
    <t>18.21.1</t>
  </si>
  <si>
    <t xml:space="preserve">30 cm length </t>
  </si>
  <si>
    <t>18.21.1.1</t>
  </si>
  <si>
    <t>18.21.1.2</t>
  </si>
  <si>
    <t>18.21.2</t>
  </si>
  <si>
    <t xml:space="preserve">45 cm length :- </t>
  </si>
  <si>
    <t xml:space="preserve">45 cm length </t>
  </si>
  <si>
    <t>18.21.2.1</t>
  </si>
  <si>
    <t>18.21.2.2</t>
  </si>
  <si>
    <t>18.22</t>
  </si>
  <si>
    <t xml:space="preserve">P/F CP brass shower rose :- </t>
  </si>
  <si>
    <t xml:space="preserve">Providing and fixing C.P. brass shower rose with 15 or 20 mm inlet : </t>
  </si>
  <si>
    <t>18.22.1</t>
  </si>
  <si>
    <t>18.22.2</t>
  </si>
  <si>
    <t xml:space="preserve">150 mm dia. </t>
  </si>
  <si>
    <t>18.23</t>
  </si>
  <si>
    <t xml:space="preserve">Laying centrifugally cast (spun) iron S &amp; S or flanged pipes. </t>
  </si>
  <si>
    <t xml:space="preserve">Laying in position centrifugally cast (spun) iron S&amp;S or flanged pipes (excluding cost of pipe) </t>
  </si>
  <si>
    <t>18.24</t>
  </si>
  <si>
    <t xml:space="preserve">Laying S &amp; S or flanged C.I. special such as tees, bends, collars, tapers and caps etc. </t>
  </si>
  <si>
    <t xml:space="preserve">Laying in position S&amp;S or flanged C.I. special such as tees, bends, collars, tapers and caps etc.(excluding cost of specials). </t>
  </si>
  <si>
    <t>18.25</t>
  </si>
  <si>
    <t xml:space="preserve">P/L S&amp;S C.I. standard specials such as tees, bends, collars, tapers, caps etc. (Heavy class) :- </t>
  </si>
  <si>
    <t xml:space="preserve">Providing and laying S&amp;S C.I. standard specials such as tees, bends, collars, tapers, caps etc. (Heavy class) : </t>
  </si>
  <si>
    <t>18.25.1</t>
  </si>
  <si>
    <t xml:space="preserve">Upto 300 mm dia. </t>
  </si>
  <si>
    <t xml:space="preserve">Up to 300 mm dia. </t>
  </si>
  <si>
    <t>18.25.2</t>
  </si>
  <si>
    <t xml:space="preserve">Over 300 mm dia. </t>
  </si>
  <si>
    <t>18.26</t>
  </si>
  <si>
    <t xml:space="preserve">P/L flanged C.I. standard specials such as tees, bends, collars, tapers, caps etc.: </t>
  </si>
  <si>
    <t xml:space="preserve">Providing and laying flanged C.I. standard specials such as tees, bends, collars, tapers, caps etc., suitable for flanged jointing as per IS : 1538 : </t>
  </si>
  <si>
    <t>18.26.1</t>
  </si>
  <si>
    <t>18.26.2</t>
  </si>
  <si>
    <t>18.27</t>
  </si>
  <si>
    <t xml:space="preserve">P/L S &amp; S centrifugally cast (spun) iron pipes (Class LA): </t>
  </si>
  <si>
    <t xml:space="preserve">Providing and laying S&amp;S centrifugally cast (spun) iron pipes (Class LA) conforming to IS - 1536 : </t>
  </si>
  <si>
    <t>18.27.1</t>
  </si>
  <si>
    <t xml:space="preserve">100 mm dia. pipe </t>
  </si>
  <si>
    <t>18.27.2</t>
  </si>
  <si>
    <t xml:space="preserve">125 mm dia. pipe. </t>
  </si>
  <si>
    <t xml:space="preserve">125 mm dia. pipe </t>
  </si>
  <si>
    <t>18.27.3</t>
  </si>
  <si>
    <t xml:space="preserve">150 mm dia. pipe </t>
  </si>
  <si>
    <t>18.27.4</t>
  </si>
  <si>
    <t xml:space="preserve">200 mm dia. pipe. </t>
  </si>
  <si>
    <t xml:space="preserve">200 mm dia. pipe </t>
  </si>
  <si>
    <t>18.27.5</t>
  </si>
  <si>
    <t xml:space="preserve">250 mm dia. pipe. </t>
  </si>
  <si>
    <t xml:space="preserve">250 mm dia. pipe </t>
  </si>
  <si>
    <t>18.27.6</t>
  </si>
  <si>
    <t xml:space="preserve">300 mm dia. pipe. </t>
  </si>
  <si>
    <t xml:space="preserve">300 mm dia. pipe </t>
  </si>
  <si>
    <t>18.27.7</t>
  </si>
  <si>
    <t xml:space="preserve">350 mm dia. pipe. </t>
  </si>
  <si>
    <t xml:space="preserve">350 mm dia. pipe </t>
  </si>
  <si>
    <t>18.27.8</t>
  </si>
  <si>
    <t xml:space="preserve">400 mm dia. pipe. </t>
  </si>
  <si>
    <t xml:space="preserve">400 mm dia. pipe </t>
  </si>
  <si>
    <t>18.27.9</t>
  </si>
  <si>
    <t xml:space="preserve">450 mm dia. pipe. </t>
  </si>
  <si>
    <t xml:space="preserve">450 mm dia. pipe </t>
  </si>
  <si>
    <t>18.27.10</t>
  </si>
  <si>
    <t xml:space="preserve">500 mm dia. pipe. </t>
  </si>
  <si>
    <t xml:space="preserve">500 mm dia. pipe </t>
  </si>
  <si>
    <t>18.27.11</t>
  </si>
  <si>
    <t xml:space="preserve">600 mm dia. pipe. </t>
  </si>
  <si>
    <t xml:space="preserve">600 mm dia. pipe </t>
  </si>
  <si>
    <t>18.28</t>
  </si>
  <si>
    <t xml:space="preserve">Providing lead caulked joints to spun iron or CI pipes but (excluding the cost of pig lead) : </t>
  </si>
  <si>
    <t xml:space="preserve">Providing lead caulked joints to spun iron or C.I. pipes and specials, including testing of joints but excluding the cost of pig lead : </t>
  </si>
  <si>
    <t>18.28.1</t>
  </si>
  <si>
    <t>18.28.2</t>
  </si>
  <si>
    <t xml:space="preserve">125 mm diameter pipe. </t>
  </si>
  <si>
    <t xml:space="preserve">125 mm diameter pipe </t>
  </si>
  <si>
    <t>18.28.3</t>
  </si>
  <si>
    <t xml:space="preserve">150 mm diameter pipe. </t>
  </si>
  <si>
    <t xml:space="preserve">150 mm diameter pipe </t>
  </si>
  <si>
    <t>18.28.4</t>
  </si>
  <si>
    <t xml:space="preserve">200 mm diameter pipe </t>
  </si>
  <si>
    <t>18.28.5</t>
  </si>
  <si>
    <t xml:space="preserve">250 mm diameter pipe. </t>
  </si>
  <si>
    <t xml:space="preserve">250 mm diameter pipe </t>
  </si>
  <si>
    <t>18.28.6</t>
  </si>
  <si>
    <t xml:space="preserve">300 mm diameter pipe. </t>
  </si>
  <si>
    <t xml:space="preserve">300 mm diameter pipe </t>
  </si>
  <si>
    <t>18.28.7</t>
  </si>
  <si>
    <t xml:space="preserve">350 mm diameter pipe. </t>
  </si>
  <si>
    <t xml:space="preserve">350 mm diameter pipe </t>
  </si>
  <si>
    <t>18.28.8</t>
  </si>
  <si>
    <t xml:space="preserve">400 mm diameter pipe. </t>
  </si>
  <si>
    <t xml:space="preserve">400 mm diameter pipe </t>
  </si>
  <si>
    <t>18.28.9</t>
  </si>
  <si>
    <t xml:space="preserve">450 mm diameter pipe. </t>
  </si>
  <si>
    <t xml:space="preserve">450 mm diameter pipe </t>
  </si>
  <si>
    <t>18.28.10</t>
  </si>
  <si>
    <t xml:space="preserve">500 mm diameter pipe. </t>
  </si>
  <si>
    <t xml:space="preserve">500 mm diameter pipe </t>
  </si>
  <si>
    <t>18.28.11</t>
  </si>
  <si>
    <t xml:space="preserve">600 mm diameter pipe. </t>
  </si>
  <si>
    <t xml:space="preserve">600 mm diameter pipe </t>
  </si>
  <si>
    <t>18.29</t>
  </si>
  <si>
    <t xml:space="preserve">Supplying pig lead at site. </t>
  </si>
  <si>
    <t xml:space="preserve">Supplying pig lead at site of work. </t>
  </si>
  <si>
    <t>18.30</t>
  </si>
  <si>
    <t xml:space="preserve">Providing flanged joints to double flanged CI pipes:- </t>
  </si>
  <si>
    <t xml:space="preserve">Providing flanged joints to double flanged C.I./ D.I. pipes and specials, including testing of joints : </t>
  </si>
  <si>
    <t>18.30.1</t>
  </si>
  <si>
    <t xml:space="preserve">80 mm diameter pipe. </t>
  </si>
  <si>
    <t xml:space="preserve">80 mm diameter pipe </t>
  </si>
  <si>
    <t>18.30.2</t>
  </si>
  <si>
    <t>18.30.3</t>
  </si>
  <si>
    <t>18.30.4</t>
  </si>
  <si>
    <t>18.30.5</t>
  </si>
  <si>
    <t xml:space="preserve">200 mm diameter pipe. </t>
  </si>
  <si>
    <t>18.30.6</t>
  </si>
  <si>
    <t>18.30.7</t>
  </si>
  <si>
    <t>18.30.8</t>
  </si>
  <si>
    <t>18.30.9</t>
  </si>
  <si>
    <t>18.30.10</t>
  </si>
  <si>
    <t>18.30.11</t>
  </si>
  <si>
    <t>18.30.12</t>
  </si>
  <si>
    <t>18.31</t>
  </si>
  <si>
    <t xml:space="preserve">P/F C.I. sluice valves (with cap) complete with bolts, nuts, rubber insertions : </t>
  </si>
  <si>
    <t xml:space="preserve">Providing and fixing C.I. sluice valves (with cap) complete with bolts, nuts, rubber insertions etc. (the tail pieces if required will be paid separately) : </t>
  </si>
  <si>
    <t>18.31.1</t>
  </si>
  <si>
    <t xml:space="preserve">100 mm diameter : </t>
  </si>
  <si>
    <t>18.31.1.1</t>
  </si>
  <si>
    <t xml:space="preserve">Class I. </t>
  </si>
  <si>
    <t xml:space="preserve">Class I </t>
  </si>
  <si>
    <t>18.31.1.2</t>
  </si>
  <si>
    <t xml:space="preserve">Class II. </t>
  </si>
  <si>
    <t xml:space="preserve">Class II </t>
  </si>
  <si>
    <t>18.31.2</t>
  </si>
  <si>
    <t xml:space="preserve">125 mm diameter : </t>
  </si>
  <si>
    <t xml:space="preserve">125 mm diameter </t>
  </si>
  <si>
    <t>18.31.2.1</t>
  </si>
  <si>
    <t>18.31.2.2</t>
  </si>
  <si>
    <t>18.31.3</t>
  </si>
  <si>
    <t xml:space="preserve">150 mm diameter : </t>
  </si>
  <si>
    <t>18.31.3.1</t>
  </si>
  <si>
    <t>18.31.3.2</t>
  </si>
  <si>
    <t>18.31.4</t>
  </si>
  <si>
    <t xml:space="preserve">200 mm diameter : </t>
  </si>
  <si>
    <t xml:space="preserve">200 mm diameter </t>
  </si>
  <si>
    <t>18.31.4.1</t>
  </si>
  <si>
    <t>18.31.4.2</t>
  </si>
  <si>
    <t>18.31.5</t>
  </si>
  <si>
    <t xml:space="preserve">250 mm diameter : </t>
  </si>
  <si>
    <t xml:space="preserve">250 mm diameter </t>
  </si>
  <si>
    <t>18.31.5.1</t>
  </si>
  <si>
    <t>18.31.5.2</t>
  </si>
  <si>
    <t>18.31.6</t>
  </si>
  <si>
    <t xml:space="preserve">300 mm diameter : </t>
  </si>
  <si>
    <t xml:space="preserve">300 mm diameter </t>
  </si>
  <si>
    <t>18.31.6.1</t>
  </si>
  <si>
    <t>18.31.6.2</t>
  </si>
  <si>
    <t>18.32</t>
  </si>
  <si>
    <t xml:space="preserve">Constructing masonry Chamber 30x30x50 cm inside, in brick work in cement mortar 1:4 (1 cement : 4 coarse sand) for stop cock, with C. I. surface box 100x100 x75 mm (inside) with hinged cover fixed in reinforced cement concrete slab 1:1.5:3 mix (1 cement 1.5 coarse sand : 3 graded stone aggregate 20 mm nominal size), i/c necessary excavation, foundation concrete 1:5:10 (1 cement: 5 fine sand : 10 graded stone aggregate 40mm nominal size) and inside plastering with cement mortar 1:3 (1 cement: 3 coarse sand) 12mm thick, finished with a floating coat of neat cement complete as per standard design : </t>
  </si>
  <si>
    <t>18.32.1</t>
  </si>
  <si>
    <t>18.33</t>
  </si>
  <si>
    <t xml:space="preserve">Constructing masonry Chamber 60x60x75 cm inside, in brick work in cement mortar 1:4 (1 cement : 4 coarse sand) for sluice valve, with C.l. surface box 100mm top diameter, 160 mm bottom diameter and 180 mm deep (inside) with chained lid and RCC top slab 1:1.5:3 mix (1 cement : 1.5 coarse sand : 3 graded stone aggregate 20mm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</si>
  <si>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18.33.1</t>
  </si>
  <si>
    <t>18.34</t>
  </si>
  <si>
    <t xml:space="preserve">Constructing masonry Chamber 90x90x100 cm inside, in brick work in cement mortar 1:4 (1 cement : 4 coarse sand) for sluice valve, with C.l. surface box 100mm top diameter, 160 mm bottom diameter and 180 mm deep (inside) with chained lid and RCC top slab 1:1.5:3 mix (1 cement : 1.5 coarse sand : 3 graded stone aggregate 20mm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</si>
  <si>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18.34.1</t>
  </si>
  <si>
    <t>18.35</t>
  </si>
  <si>
    <t xml:space="preserve">Constructing masonry Chamber 120x120x100 cm inside, in brick work in cement mortar 1:4 (1 cement : 4 coarse sand) for sluice valve, with C.l. surface box 100mm top diameter, 160 mm bottom diameter and 180 mm deep (inside) with chained lid and RCC top slab 1:1.5:3 mix (1 cement : 1.5 coarse sand : 3 graded stone aggregate 20mm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t>
  </si>
  <si>
    <t>18.35.1</t>
  </si>
  <si>
    <t>18.36</t>
  </si>
  <si>
    <t xml:space="preserve">Constructing masonry Chamber 60x60x75 cm, inside in brick work in cement mortar 1:4 (1 cement : 4 coarse sand) for fire hydrants, with C.l. surface box 350x350 mm top and 165 mm deep (inside) with chained lid and RCC top slab 1:1.5:3 mix (1 cement : 1.5 coarse sand 3 graded stone aggregate 20 mm nominal size) , i/c necessary excavation, foundation concrete 1:5:10 (1 cement: 5 fine sand:10 graded stone aggregate 40 mm nominal size) and inside plastering with cement mortar 1:3 (1 cement: 3 coarse sand) 12 mm thick, finished with a floating coat of neat cement complete as per standard design: </t>
  </si>
  <si>
    <t>18.36.1</t>
  </si>
  <si>
    <t>18.37</t>
  </si>
  <si>
    <t xml:space="preserve">Constructing masonry Chamber 60x45x50 cm inside, in brick work in cement mortar 1:4 (1 cement : 4 coarse sand) for water meter complete with C.l. double flap surface box 400x200x200 mm (inside) with locking arrangement and RCC top slab 1:1.5:3 mix (1 cement : 1.5 coarse sand : 3 graded stone aggregate 20 mm nominal size) , i/c necessary excavation, foundation concrete 1:5:10 ( 1 cement : 5 fine sand : 10 graded stone aggregate 40 mm nominal size) and inside plastering with cement mortar 1:3 (1 cement : 3 coarse sand) 12 mm thick, finished with a floating coat of neat cement complete as per standard design : </t>
  </si>
  <si>
    <t>18.37.1</t>
  </si>
  <si>
    <t>18.38</t>
  </si>
  <si>
    <t xml:space="preserve">Painting GI pipes with white paint for new work :- </t>
  </si>
  <si>
    <t xml:space="preserve">Painting G.I. pipes and fittings with synthetic enamel white paint with two coats over a ready mixed priming coat, both of approved quality for new work : </t>
  </si>
  <si>
    <t>18.38.1</t>
  </si>
  <si>
    <t xml:space="preserve">15 mm dia pipe. </t>
  </si>
  <si>
    <t xml:space="preserve">15 mm diameter pipe. </t>
  </si>
  <si>
    <t>18.38.2</t>
  </si>
  <si>
    <t xml:space="preserve">20 mm dia pipe. </t>
  </si>
  <si>
    <t xml:space="preserve">20 mm diameter pipe. </t>
  </si>
  <si>
    <t>18.38.3</t>
  </si>
  <si>
    <t xml:space="preserve">25 mm dia pipe. </t>
  </si>
  <si>
    <t xml:space="preserve">25 mm diameter pipe. </t>
  </si>
  <si>
    <t>18.38.4</t>
  </si>
  <si>
    <t xml:space="preserve">32 mm dia pipe. </t>
  </si>
  <si>
    <t xml:space="preserve">32 mm diameter pipe. </t>
  </si>
  <si>
    <t>18.38.5</t>
  </si>
  <si>
    <t xml:space="preserve">40 mm dia pipe. </t>
  </si>
  <si>
    <t xml:space="preserve">40 mm diameter pipe. </t>
  </si>
  <si>
    <t>18.38.6</t>
  </si>
  <si>
    <t xml:space="preserve">50 mm dia pipe. </t>
  </si>
  <si>
    <t xml:space="preserve">50 mm diameter pipe. </t>
  </si>
  <si>
    <t>18.39</t>
  </si>
  <si>
    <t xml:space="preserve">Repainting GI pipes with white paint :- </t>
  </si>
  <si>
    <t xml:space="preserve">Repainting G.I. pipes and fittings with synthetic enamel white paint with one coat of approved quality : </t>
  </si>
  <si>
    <t>18.39.1</t>
  </si>
  <si>
    <t>18.39.2</t>
  </si>
  <si>
    <t>18.39.3</t>
  </si>
  <si>
    <t xml:space="preserve">25 mm diameter pipe </t>
  </si>
  <si>
    <t>18.39.4</t>
  </si>
  <si>
    <t xml:space="preserve">32 mm diameter pipe </t>
  </si>
  <si>
    <t>18.39.5</t>
  </si>
  <si>
    <t xml:space="preserve">40 mm diameter pipe </t>
  </si>
  <si>
    <t>18.39.6</t>
  </si>
  <si>
    <t xml:space="preserve">50 mm diameter pipe </t>
  </si>
  <si>
    <t>18.39.7</t>
  </si>
  <si>
    <t xml:space="preserve">65 mm diameter pipe </t>
  </si>
  <si>
    <t>18.39.8</t>
  </si>
  <si>
    <t>18.40</t>
  </si>
  <si>
    <t xml:space="preserve">Painting GI pipes with anti- corrosive bitumastic paint </t>
  </si>
  <si>
    <t xml:space="preserve">Painting G.I. pipes and fittings with two coats of anti-corrosive bitumastic paint of approved quality : </t>
  </si>
  <si>
    <t>18.40.1</t>
  </si>
  <si>
    <t xml:space="preserve">15 mm diameter pipe </t>
  </si>
  <si>
    <t>18.40.2</t>
  </si>
  <si>
    <t xml:space="preserve">20 mm diameter pipe </t>
  </si>
  <si>
    <t>18.40.3</t>
  </si>
  <si>
    <t>18.40.4</t>
  </si>
  <si>
    <t>18.40.5</t>
  </si>
  <si>
    <t>18.40.6</t>
  </si>
  <si>
    <t>18.40.7</t>
  </si>
  <si>
    <t xml:space="preserve">65 mm dia pipe. </t>
  </si>
  <si>
    <t>18.40.8</t>
  </si>
  <si>
    <t xml:space="preserve">80 mm dia pipe. </t>
  </si>
  <si>
    <t>18.41</t>
  </si>
  <si>
    <t xml:space="preserve">P/F sand alround GI pipes </t>
  </si>
  <si>
    <t xml:space="preserve">Providing and filling sand of grading zone V or coarser grade all- round the G.I. pipes in external work. </t>
  </si>
  <si>
    <t>18.41.1</t>
  </si>
  <si>
    <t>18.41.2</t>
  </si>
  <si>
    <t>18.41.3</t>
  </si>
  <si>
    <t>18.41.4</t>
  </si>
  <si>
    <t>18.41.5</t>
  </si>
  <si>
    <t>18.41.6</t>
  </si>
  <si>
    <t>18.41.7</t>
  </si>
  <si>
    <t>18.41.8</t>
  </si>
  <si>
    <t>18.41.9</t>
  </si>
  <si>
    <t>18.41.10</t>
  </si>
  <si>
    <t xml:space="preserve">150 mm dia pipe. </t>
  </si>
  <si>
    <t>18.42</t>
  </si>
  <si>
    <t xml:space="preserve">Boring 100 mm dia casing pipe for hand pump /tube well in all soils </t>
  </si>
  <si>
    <t xml:space="preserve">Boring with 100 mm diameter casing pipe for hand pump / tube well, in all soils except ordinary hard rocks requiring blasting, including removing the casing pipe after the hand pump / tube well is lowered and tested : </t>
  </si>
  <si>
    <t>18.42.1</t>
  </si>
  <si>
    <t xml:space="preserve">Upto 6 m depth. </t>
  </si>
  <si>
    <t xml:space="preserve">Up to 6 metres depth. </t>
  </si>
  <si>
    <t>18.42.2</t>
  </si>
  <si>
    <t xml:space="preserve">Beyond 6 to 12 m depth. </t>
  </si>
  <si>
    <t xml:space="preserve">Beyond 6 m and up to 12 m depth. </t>
  </si>
  <si>
    <t>18.42.3</t>
  </si>
  <si>
    <t xml:space="preserve">Beyond 12 to 18 m depth. </t>
  </si>
  <si>
    <t xml:space="preserve">Beyond 12 m and up to 18 m depth. </t>
  </si>
  <si>
    <t>18.43</t>
  </si>
  <si>
    <t xml:space="preserve">P/P in position filter of 40 mm dia. </t>
  </si>
  <si>
    <t xml:space="preserve">Providing and placing in position filters of 40 mm diameter G.I. pipe with brass strainer of approved quality. </t>
  </si>
  <si>
    <t>18.44</t>
  </si>
  <si>
    <t xml:space="preserve">P/F to filter 40 mm dia GI pipe for tube well. </t>
  </si>
  <si>
    <t xml:space="preserve">Providing and fixing to filter and lowering to proper levels 40 mm G.I. pipe for tube well including cleaning and priming the tube well. </t>
  </si>
  <si>
    <t>18.45</t>
  </si>
  <si>
    <t xml:space="preserve">P/P in position hand pump for 40 mm dia. </t>
  </si>
  <si>
    <t xml:space="preserve">Providing and placing in position hand pump of approved quality for 40 mm diameter G.I. pipe complete with all accessories. </t>
  </si>
  <si>
    <t>18.46</t>
  </si>
  <si>
    <t xml:space="preserve">P/F GI union in GI pipes :- </t>
  </si>
  <si>
    <t xml:space="preserve">Providing and fixing G.I. Union in G.I. pipe including cutting and threading the pipe and making long screws etc. complete (New work) </t>
  </si>
  <si>
    <t>18.46.1</t>
  </si>
  <si>
    <t>18.46.2</t>
  </si>
  <si>
    <t>18.46.3</t>
  </si>
  <si>
    <t>18.46.4</t>
  </si>
  <si>
    <t xml:space="preserve">32 mm nominal </t>
  </si>
  <si>
    <t>18.46.5</t>
  </si>
  <si>
    <t>18.46.6</t>
  </si>
  <si>
    <t xml:space="preserve">50mm nominal bore </t>
  </si>
  <si>
    <t>18.46.7</t>
  </si>
  <si>
    <t xml:space="preserve">65mm nominal bore </t>
  </si>
  <si>
    <t>18.46.8</t>
  </si>
  <si>
    <t>18.47</t>
  </si>
  <si>
    <t xml:space="preserve">P/F GI Union in existing GI pipe line </t>
  </si>
  <si>
    <t xml:space="preserve">Providing and fixing G.I. Union in existing G.I. pipe line, cutting and threading the pipe and making long screws including excavation, refilling the earth or cutting of wall and making good the same complete wherever required : </t>
  </si>
  <si>
    <t>18.47.1</t>
  </si>
  <si>
    <t>18.47.2</t>
  </si>
  <si>
    <t>18.47.3</t>
  </si>
  <si>
    <t>18.47.4</t>
  </si>
  <si>
    <t>18.47.5</t>
  </si>
  <si>
    <t>18.47.6</t>
  </si>
  <si>
    <t>18.47.7</t>
  </si>
  <si>
    <t>18.47.8</t>
  </si>
  <si>
    <t>18.48</t>
  </si>
  <si>
    <t xml:space="preserve">P/P on terrace polythylene water storage tanks. </t>
  </si>
  <si>
    <t xml:space="preserve">Providing and placing on terrace (at all floor levels) polyethylene water storage tank, IS : 12701 marked, with cover and suitable locking arrangement and making necessary holes for inlet, outlet and overflow pipes but without fittings and the base support for tank. </t>
  </si>
  <si>
    <t>18.48A</t>
  </si>
  <si>
    <t xml:space="preserve">Providing and fixing rectangular high density polyethylene water storage loft tank with cover, conforming to ISI : 12701, colour of opaque white or as approved by Engineer-in-charge. The rate includesmaking necessary holes for inlet, outlet &amp; over flow pipes. The base support i/c fittings &amp; fixtures for tank shall be paid separately. </t>
  </si>
  <si>
    <t>18.49</t>
  </si>
  <si>
    <t xml:space="preserve">P/F CP brass bib cock </t>
  </si>
  <si>
    <t xml:space="preserve">Providing and fixing C.P. brass bib cock of approved quality conforming to IS:8931: </t>
  </si>
  <si>
    <t>18.49.1</t>
  </si>
  <si>
    <t>18.50</t>
  </si>
  <si>
    <t xml:space="preserve">P/F CP brass long nose bib cock </t>
  </si>
  <si>
    <t xml:space="preserve">Providing and fixing C.P. brass long nose bib cock of approved quality conforming to IS standards and weighing not less than 810 gms. </t>
  </si>
  <si>
    <t>18.50.1</t>
  </si>
  <si>
    <t>18.51</t>
  </si>
  <si>
    <t xml:space="preserve">P/F CP brass long body bib cock weight 690 grams </t>
  </si>
  <si>
    <t xml:space="preserve">Providing and fixing C.P. brass long body bib cock of approved quality conforming to IS standards and weighing not less than 690 gms. </t>
  </si>
  <si>
    <t>18.51.1</t>
  </si>
  <si>
    <t>18.52</t>
  </si>
  <si>
    <t xml:space="preserve">P/F C.P brass stop cock (Concealed) :- </t>
  </si>
  <si>
    <t xml:space="preserve">Providing and fixing C.P. brass stop cock (concealed) of standard design and of approved make conforming to IS:8931. </t>
  </si>
  <si>
    <t>18.52.1</t>
  </si>
  <si>
    <t>18.53</t>
  </si>
  <si>
    <t xml:space="preserve">P/F CP brass angle valve for basin mixer </t>
  </si>
  <si>
    <t xml:space="preserve">Providing and fixing C.P. brass angle valve for basin mixer and geyser points of approved quality conforming to IS:8931 : </t>
  </si>
  <si>
    <t>18.53.1</t>
  </si>
  <si>
    <t xml:space="preserve">15mm nominal bore </t>
  </si>
  <si>
    <t>18.53A</t>
  </si>
  <si>
    <t xml:space="preserve">Providing and fixing C.P. Brass extension nipple (size 15mmx50mm) of approved make and quality as per direction of Engineer-in-charge. </t>
  </si>
  <si>
    <t>18.54</t>
  </si>
  <si>
    <t xml:space="preserve">P/F P.T.M.T bib cock: </t>
  </si>
  <si>
    <t xml:space="preserve">Providing and fixing PTMT bib cock of approved quality and colour. </t>
  </si>
  <si>
    <t>18.54.1</t>
  </si>
  <si>
    <t xml:space="preserve">15 mm nominal bore 86mm long weight 88 grams. </t>
  </si>
  <si>
    <t xml:space="preserve">15mm nominal bore, 86 mm long. Weighing not less than 88 gms. </t>
  </si>
  <si>
    <t>18.54.2</t>
  </si>
  <si>
    <t xml:space="preserve">15mm nominal bore 122mm long weight 99 grams. </t>
  </si>
  <si>
    <t xml:space="preserve">15 mm nominal bore, 122 mm long. Weighing not less than 99 gms. </t>
  </si>
  <si>
    <t>18.54.3</t>
  </si>
  <si>
    <t xml:space="preserve">15mm nominal bore 165mm long weight 110 grams. </t>
  </si>
  <si>
    <t xml:space="preserve">15 mm nominal bore, 165 mm long. Weighing not less than 110 gms. </t>
  </si>
  <si>
    <t>18.54.4</t>
  </si>
  <si>
    <t xml:space="preserve">15mm nominal bore 90 mm long weight 93 grams. </t>
  </si>
  <si>
    <t xml:space="preserve">15mm nominal bore, 90 mm long. Weighing not less than 93 gms. </t>
  </si>
  <si>
    <t>18.55</t>
  </si>
  <si>
    <t xml:space="preserve">P/F P.T.M.T stop cock : </t>
  </si>
  <si>
    <t xml:space="preserve">Providing and fixing PTMT stop cock of approved quality and colour. </t>
  </si>
  <si>
    <t>18.55.1</t>
  </si>
  <si>
    <t xml:space="preserve">15mm nominal bore 86 mm long weight 88 grams. </t>
  </si>
  <si>
    <t xml:space="preserve">15 mm nominal bore, 86 mm long. Weighing not less than 88 gms. </t>
  </si>
  <si>
    <t>18.55.2</t>
  </si>
  <si>
    <t xml:space="preserve">20mm nominal bore 86 mm long weight 88 grams. </t>
  </si>
  <si>
    <t xml:space="preserve">20mm nominal bore, 89 mm long. Weighing not less than 88 gms. </t>
  </si>
  <si>
    <t>18.55.3</t>
  </si>
  <si>
    <t xml:space="preserve">Concealed stop cock 15 mm n/b 108 mm long, weight not less than 108 grams. </t>
  </si>
  <si>
    <t xml:space="preserve">Concealed stop cock, 15 mm nominal bore, 108mm long. Weighing not less than 108 gms. </t>
  </si>
  <si>
    <t>18.56</t>
  </si>
  <si>
    <t xml:space="preserve">P/F P.T.M.T piller cock : </t>
  </si>
  <si>
    <t xml:space="preserve">Providing and fixing PTMT pillar cock of approved quality and colour . </t>
  </si>
  <si>
    <t>18.56.1</t>
  </si>
  <si>
    <t xml:space="preserve">15mm nominal bore 107mm long weight 110 grams. </t>
  </si>
  <si>
    <t xml:space="preserve">15mm nominal bore, 107 mm long. Weighing not less than 110 gms. </t>
  </si>
  <si>
    <t>18.56.2</t>
  </si>
  <si>
    <t xml:space="preserve">15mm nominal bore 125mm long foam flow weight 120 grams. </t>
  </si>
  <si>
    <t xml:space="preserve">15mm nominal bore, 125 mm long foam flow. Weighing not less than 120 gms. </t>
  </si>
  <si>
    <t>18.57</t>
  </si>
  <si>
    <t xml:space="preserve">P/F P.T.M.T Push cock : </t>
  </si>
  <si>
    <t xml:space="preserve">Providing and fixing PTMT, push cock of approved quality and colour. </t>
  </si>
  <si>
    <t>18.57.1</t>
  </si>
  <si>
    <t xml:space="preserve">15mm nominal bore 107mm long weight 75 grams. </t>
  </si>
  <si>
    <t xml:space="preserve">15 mm nominal bore, 98 mm long. Weighing not less than 75 gms. </t>
  </si>
  <si>
    <t>18.57.2</t>
  </si>
  <si>
    <t xml:space="preserve">15mm nominal bore 80mm long weight 46 grams. </t>
  </si>
  <si>
    <t xml:space="preserve">15 mm nominal bore, 80 mm long. Weighing not less than 46 gms. </t>
  </si>
  <si>
    <t>18.58</t>
  </si>
  <si>
    <t xml:space="preserve">P/F P.T.M.T grating : </t>
  </si>
  <si>
    <t xml:space="preserve">Providing and fixing PTMT grating of approved quality and colour. </t>
  </si>
  <si>
    <t>18.58.1</t>
  </si>
  <si>
    <t xml:space="preserve">Circular type : </t>
  </si>
  <si>
    <t xml:space="preserve">Circular type. </t>
  </si>
  <si>
    <t>18.58.1.1</t>
  </si>
  <si>
    <t xml:space="preserve">100 mm nominal dia. </t>
  </si>
  <si>
    <t>18.58.1.2</t>
  </si>
  <si>
    <t xml:space="preserve">125mm dia. 25mm waste hole. </t>
  </si>
  <si>
    <t xml:space="preserve">125 mm nominal dia with 25 mm waste hole. </t>
  </si>
  <si>
    <t>18.58.2</t>
  </si>
  <si>
    <t xml:space="preserve">Rectangular type with open- able circular lid : </t>
  </si>
  <si>
    <t xml:space="preserve">Rectangular type with openable circular lid. </t>
  </si>
  <si>
    <t>18.58.2.1</t>
  </si>
  <si>
    <t xml:space="preserve">150 mm nominal size square, 100 mm dia. inner hinged round grating. </t>
  </si>
  <si>
    <t xml:space="preserve">150 mm nominal size square 100 mm diameter of the inner hinged round grating. </t>
  </si>
  <si>
    <t>18.59</t>
  </si>
  <si>
    <t xml:space="preserve">P/F C.I. double acting air valve of approved quality : </t>
  </si>
  <si>
    <t xml:space="preserve">Providing and fixing C.I. double acting air valve of approved quality with bolts, nuts, rubber insertions etc. complete (The tail pieces, tapers etc if required will be paid separately) : </t>
  </si>
  <si>
    <t>18.59.1</t>
  </si>
  <si>
    <t xml:space="preserve">50 mm dia </t>
  </si>
  <si>
    <t>18.59.2</t>
  </si>
  <si>
    <t xml:space="preserve">80 mm dia. </t>
  </si>
  <si>
    <t xml:space="preserve">80 mm dia </t>
  </si>
  <si>
    <t>18.59.3</t>
  </si>
  <si>
    <t>18.60</t>
  </si>
  <si>
    <t xml:space="preserve">P/F enclosed type water meter (bulk type) conforming to IS: 2373 and tested by MB : </t>
  </si>
  <si>
    <t xml:space="preserve">Providing and fixing enclosed type water meter (bulk type) conforming to IS : 2373 and tested by Municipal Board complete with bolts, nuts, rubber insertions etc. (The tail pieces if required will be paid separately) : </t>
  </si>
  <si>
    <t>18.60.1</t>
  </si>
  <si>
    <t xml:space="preserve">80 mm dia nominal bore. </t>
  </si>
  <si>
    <t xml:space="preserve">80 mm dia nominal bore </t>
  </si>
  <si>
    <t>18.60.2</t>
  </si>
  <si>
    <t xml:space="preserve">100 mm dia nominal bore. </t>
  </si>
  <si>
    <t xml:space="preserve">100 mm dia nominal bore </t>
  </si>
  <si>
    <t>18.60.3</t>
  </si>
  <si>
    <t xml:space="preserve">150 mm dia nominal bore. </t>
  </si>
  <si>
    <t xml:space="preserve">150 mm dia nominal bore </t>
  </si>
  <si>
    <t>18.60.4</t>
  </si>
  <si>
    <t xml:space="preserve">200 mm dia nominal bore. </t>
  </si>
  <si>
    <t xml:space="preserve">200 mm dia nominal bore </t>
  </si>
  <si>
    <t>18.61</t>
  </si>
  <si>
    <t xml:space="preserve">P/F CI dirt box strainer for bulk type water conforming to IS : 2373 : </t>
  </si>
  <si>
    <t xml:space="preserve">Providing and fixing C.I. dirt box strainer for bulk type water meter with nuts, bolts, rubber insertions etc. complete conforming to IS : 2373 : </t>
  </si>
  <si>
    <t>18.61.1</t>
  </si>
  <si>
    <t>18.61.2</t>
  </si>
  <si>
    <t>18.61.3</t>
  </si>
  <si>
    <t xml:space="preserve">150 mm dia </t>
  </si>
  <si>
    <t>18.61.4</t>
  </si>
  <si>
    <t xml:space="preserve">200 mm dia. </t>
  </si>
  <si>
    <t xml:space="preserve">200 mm dia </t>
  </si>
  <si>
    <t>18.62</t>
  </si>
  <si>
    <t xml:space="preserve">P/F P.T.M.T ball cock : </t>
  </si>
  <si>
    <t xml:space="preserve">Providing and fixing PTMT Ball cock of approved quality, colour and make complete with Epoxy coated aluminium rod with L.P./ H.P.H.D. plastic ball. </t>
  </si>
  <si>
    <t>18.62.1</t>
  </si>
  <si>
    <t xml:space="preserve">15 mm nominal bore, 105 mm long, weighing 138 Grams. </t>
  </si>
  <si>
    <t xml:space="preserve">15 mm nominal bore, 105 mm long. Weighing not less than 138 gms. </t>
  </si>
  <si>
    <t>18.62.2</t>
  </si>
  <si>
    <t xml:space="preserve">20 mm nominal bore, 120 mm long, weighing 198 Grams. </t>
  </si>
  <si>
    <t xml:space="preserve">20 mm nominal bore, 120 mm long. Weighing not less than 198 gms. </t>
  </si>
  <si>
    <t>18.62.3</t>
  </si>
  <si>
    <t xml:space="preserve">25 mm nominal bore, 152 mm long, weighing 440 Grams. </t>
  </si>
  <si>
    <t xml:space="preserve">25 mm nominal bore, 152 mm long. Weighing not less than 440 gms. </t>
  </si>
  <si>
    <t>18.62.4</t>
  </si>
  <si>
    <t xml:space="preserve">40 mm nominal bore, 206 mm long, weighing 690 Grams. </t>
  </si>
  <si>
    <t xml:space="preserve">40mm nominal bore, 206mm long. Weighing not less than 690 gms. </t>
  </si>
  <si>
    <t>18.62.5</t>
  </si>
  <si>
    <t xml:space="preserve">50 mm nominal bore, 242 mm long, weighing 1240 Grams. </t>
  </si>
  <si>
    <t xml:space="preserve">50mm nominal bore, 242 mm long. Weighing not less than 1240 gms. </t>
  </si>
  <si>
    <t>18.63</t>
  </si>
  <si>
    <t xml:space="preserve">P/F P.T.M.T angle stop cock 15 mm nominal bore weigh- ing not less than 85 gms. </t>
  </si>
  <si>
    <t xml:space="preserve">Providing and fixing PTMT angle stop cock 15 mm nominal bore. Weighing not less than 85 gms. </t>
  </si>
  <si>
    <t>18.64</t>
  </si>
  <si>
    <t xml:space="preserve">P/F P.T.M.T swivlling shower, 15 mm nominal bore weighing not less than 40 gms. </t>
  </si>
  <si>
    <t xml:space="preserve">Providing and fixing PTMT swivelling shower, 15mm nominal bore. Weighing not less than 40 gms. </t>
  </si>
  <si>
    <t>18.65</t>
  </si>
  <si>
    <t xml:space="preserve">P/F P.T.M.T Soap dish holder having length 138 mm breadth 102 mm, height of 75 mm with concealed fitting arrangement weighing not less than 106gms </t>
  </si>
  <si>
    <t xml:space="preserve">Providing and fixing PTMT soap Dish Holder having length of 138 mm, breadth 102 mm, height of 75 mm with concealed fitting arrangements. Weighing not less than 106 gms. </t>
  </si>
  <si>
    <t>18.66</t>
  </si>
  <si>
    <t xml:space="preserve">P/L S&amp;S C.I.standard specials such as teea, bends, collars, tapers and caps etc. suitable as per IS : 1538: </t>
  </si>
  <si>
    <t xml:space="preserve">Providing and laying S&amp;S C.I. Standard specials such as tees, bends, collars tapers and caps etc, suitable for flanged jointing as per IS :1538: </t>
  </si>
  <si>
    <t>18.66.1</t>
  </si>
  <si>
    <t xml:space="preserve">Upto 300 mm diametre. </t>
  </si>
  <si>
    <t xml:space="preserve">Up to 300 mm dia </t>
  </si>
  <si>
    <t>18.66.2</t>
  </si>
  <si>
    <t xml:space="preserve">Above 300 mm diametre. </t>
  </si>
  <si>
    <t xml:space="preserve">Above 300 mm dia </t>
  </si>
  <si>
    <t>18.67</t>
  </si>
  <si>
    <t xml:space="preserve">P/L S&amp;S C.I. standard specials suitable for mechanical joint- ing as per IS : 13382: </t>
  </si>
  <si>
    <t xml:space="preserve">Providing and laying S&amp;S C.I. Standard specials suitable for mechanical jointing as per IS : 13382 : </t>
  </si>
  <si>
    <t>18.67.1</t>
  </si>
  <si>
    <t>18.67.2</t>
  </si>
  <si>
    <t>18.68</t>
  </si>
  <si>
    <t xml:space="preserve">P/L S&amp;S C.I standard specials suitable for push on jointing as per IS : 9523: </t>
  </si>
  <si>
    <t xml:space="preserve">Providing and laying D.I. specials of class K-12 suitable for push-on jointing as per IS : 9523 : </t>
  </si>
  <si>
    <t>18.68.1</t>
  </si>
  <si>
    <t xml:space="preserve">Upto 600 mm diametre. </t>
  </si>
  <si>
    <t xml:space="preserve">Up to 600 mm dia </t>
  </si>
  <si>
    <t>18.68.2</t>
  </si>
  <si>
    <t xml:space="preserve">Above 600 mm diametre. </t>
  </si>
  <si>
    <t xml:space="preserve">Above 600 mm dia </t>
  </si>
  <si>
    <t>18.68A</t>
  </si>
  <si>
    <t xml:space="preserve">Providing and laying Class K-12 Ductile Iron double chamber restrained joint (bolt less) specials such as tees, bends, collars, tapers and caps etc. conforming to IS 9523 including testing of joints all complete </t>
  </si>
  <si>
    <t xml:space="preserve">Providing and laying Class K-12 Ductile Iron double chamber restrained joint (bolt less) specials such as tees, bends, collars, tapers and caps etc. conforming to IS 9523 including testing of joints all complete : </t>
  </si>
  <si>
    <t>18.68A.1</t>
  </si>
  <si>
    <t>18.68A.2</t>
  </si>
  <si>
    <t>18.69</t>
  </si>
  <si>
    <t xml:space="preserve">P/L D.I. specials class K-12 suitable for jointing as per IS : 9523: </t>
  </si>
  <si>
    <t xml:space="preserve">Providing and laying D.I. Specials of Class K - 12 suitable for mechanical jointing as per IS : 9523 : </t>
  </si>
  <si>
    <t>18.69.1</t>
  </si>
  <si>
    <t>18.69.2</t>
  </si>
  <si>
    <t>18.70</t>
  </si>
  <si>
    <t xml:space="preserve">Providing push-on-joits to Centrifugally (Spun) C.I. pipes or Ductile iron pipes including the cost of rubber gasket : </t>
  </si>
  <si>
    <t xml:space="preserve">Providing push-on-joints to Centrifugally (Spun) Cast Iron Pipes or Ductile Iron Pipes including testing of joints and the cost of rubber gasket : </t>
  </si>
  <si>
    <t>18.70.1</t>
  </si>
  <si>
    <t xml:space="preserve">100 mm diametre pipes. </t>
  </si>
  <si>
    <t xml:space="preserve">100 mm dia pipes </t>
  </si>
  <si>
    <t>joint</t>
  </si>
  <si>
    <t xml:space="preserve">One Joint                                 </t>
  </si>
  <si>
    <t>18.70.2</t>
  </si>
  <si>
    <t xml:space="preserve">150 mm diametre pipes. </t>
  </si>
  <si>
    <t xml:space="preserve">150 mm dia pipes </t>
  </si>
  <si>
    <t>18.70.3</t>
  </si>
  <si>
    <t xml:space="preserve">200 mm diametre pipes. </t>
  </si>
  <si>
    <t xml:space="preserve">200 mm dia pipes </t>
  </si>
  <si>
    <t>18.70.4</t>
  </si>
  <si>
    <t xml:space="preserve">250 mm diametre pipes. </t>
  </si>
  <si>
    <t xml:space="preserve">250 mm dia pipes </t>
  </si>
  <si>
    <t>18.70.5</t>
  </si>
  <si>
    <t xml:space="preserve">300 mm diametre pipes. </t>
  </si>
  <si>
    <t xml:space="preserve">300 mm dia pipes </t>
  </si>
  <si>
    <t>18.70.6</t>
  </si>
  <si>
    <t xml:space="preserve">350 mm diametre pipes. </t>
  </si>
  <si>
    <t xml:space="preserve">350 mm dia pipes </t>
  </si>
  <si>
    <t>18.70.7</t>
  </si>
  <si>
    <t xml:space="preserve">400 mm diametre pipes. </t>
  </si>
  <si>
    <t xml:space="preserve">400 mm dia pipes </t>
  </si>
  <si>
    <t>18.70.8</t>
  </si>
  <si>
    <t xml:space="preserve">450 mm diametre pipes. </t>
  </si>
  <si>
    <t xml:space="preserve">450 mm dia pipes </t>
  </si>
  <si>
    <t>18.70.9</t>
  </si>
  <si>
    <t xml:space="preserve">500 mm diametre pipes. </t>
  </si>
  <si>
    <t xml:space="preserve">500 mm dia pipes </t>
  </si>
  <si>
    <t>18.70.10</t>
  </si>
  <si>
    <t xml:space="preserve">600 mm diametre pipes. </t>
  </si>
  <si>
    <t xml:space="preserve">600 mm dia pipes </t>
  </si>
  <si>
    <t>18.70.11</t>
  </si>
  <si>
    <t xml:space="preserve">650 mm diametre pipes. </t>
  </si>
  <si>
    <t xml:space="preserve">700 mm dia pipes </t>
  </si>
  <si>
    <t>18.70.12</t>
  </si>
  <si>
    <t xml:space="preserve">700 mm diametre pipes. </t>
  </si>
  <si>
    <t xml:space="preserve">750 mm dia pipes </t>
  </si>
  <si>
    <t>18.70.13</t>
  </si>
  <si>
    <t xml:space="preserve">800 mm diametre pipes. </t>
  </si>
  <si>
    <t xml:space="preserve">800 mm dia a pipes </t>
  </si>
  <si>
    <t>18.70.14</t>
  </si>
  <si>
    <t xml:space="preserve">900 mm diametre pipes. </t>
  </si>
  <si>
    <t xml:space="preserve">900 mm dia pipes </t>
  </si>
  <si>
    <t>18.70.15</t>
  </si>
  <si>
    <t xml:space="preserve">1000 mm diametre pipes. </t>
  </si>
  <si>
    <t xml:space="preserve">1000 mm dia pipes </t>
  </si>
  <si>
    <t>18.71</t>
  </si>
  <si>
    <t xml:space="preserve">Providing laying double flanged (Screwed/welded) Centrifugally (Spun) C.I. pipes class B (IS : 1536): </t>
  </si>
  <si>
    <t xml:space="preserve">Providing and laying Double Flanged (screwed/ welded) Centrifugally (Spun) Cast Iron, Class B (IS : 1536) : </t>
  </si>
  <si>
    <t>18.71.1</t>
  </si>
  <si>
    <t xml:space="preserve">100 mm diametre C.I. Double flanged Pipe. </t>
  </si>
  <si>
    <t xml:space="preserve">100 mm dia C.I. Double Flanged Pipe </t>
  </si>
  <si>
    <t>18.71.2</t>
  </si>
  <si>
    <t xml:space="preserve">150 mm diametre C.I. Double flanged Pipe. </t>
  </si>
  <si>
    <t xml:space="preserve">150 mm dia C.I. Double Flanged Pipe </t>
  </si>
  <si>
    <t>18.71.3</t>
  </si>
  <si>
    <t xml:space="preserve">200 mm diametre C.I. Double flanged Pipe. </t>
  </si>
  <si>
    <t xml:space="preserve">200 mm dia C.I. Double Flanged Pipe </t>
  </si>
  <si>
    <t>18.71.4</t>
  </si>
  <si>
    <t xml:space="preserve">250 mm diametre C.I. Double flanged Pipe. </t>
  </si>
  <si>
    <t xml:space="preserve">250 mm dia C.I. Double Flanged Pipe </t>
  </si>
  <si>
    <t>18.71.5</t>
  </si>
  <si>
    <t xml:space="preserve">300 mm diametre C.I. Double flanged Pipe. </t>
  </si>
  <si>
    <t xml:space="preserve">300 mm dia C.I. Double Flanged Pipe </t>
  </si>
  <si>
    <t>18.71.6</t>
  </si>
  <si>
    <t xml:space="preserve">350 mm diametre C.I. Double flanged Pipe. </t>
  </si>
  <si>
    <t xml:space="preserve">350 mm dia C.I. Double Flanged Pipe </t>
  </si>
  <si>
    <t>18.71.7</t>
  </si>
  <si>
    <t xml:space="preserve">400 mm diametre C.I. Double flanged Pipe. </t>
  </si>
  <si>
    <t xml:space="preserve">400 mm dia C.I. Double Flanged Pipe </t>
  </si>
  <si>
    <t>18.71.8</t>
  </si>
  <si>
    <t xml:space="preserve">450 mm diametre C.I. Double flanged Pipe. </t>
  </si>
  <si>
    <t xml:space="preserve">450 mm dia C.I. Double Flanged Pipe </t>
  </si>
  <si>
    <t>18.71.9</t>
  </si>
  <si>
    <t xml:space="preserve">500 mm diametre C.I. Double flanged Pipe. </t>
  </si>
  <si>
    <t xml:space="preserve">500 mm dia C.I. Double Flanged Pipe </t>
  </si>
  <si>
    <t>18.71.10</t>
  </si>
  <si>
    <t xml:space="preserve">600 mm diametre C.I. Double flanged Pipe. </t>
  </si>
  <si>
    <t xml:space="preserve">600 mm dia C.I. Double Flanged Pipe </t>
  </si>
  <si>
    <t>18.72</t>
  </si>
  <si>
    <t xml:space="preserve">P/L S&amp;S Centrifugally Cast (Spun) Ductile Iron pipes conforming to IS : 8329: </t>
  </si>
  <si>
    <t xml:space="preserve">Providing and laying S&amp;S Centrifugally Cast (Spun) / Ductile Iron Pipes conforming to IS : 8329 : </t>
  </si>
  <si>
    <t>18.72.1</t>
  </si>
  <si>
    <t xml:space="preserve">100 mm diametre Ductile iron Class K - 7 pipes. </t>
  </si>
  <si>
    <t xml:space="preserve">100 mm dia Ductile Iron Class K-7 pipes </t>
  </si>
  <si>
    <t>18.72.2</t>
  </si>
  <si>
    <t xml:space="preserve">150 mm diametre Ductile iron Class K - 7 pipes. </t>
  </si>
  <si>
    <t xml:space="preserve">150 mm dia Ductile Iron Class K-7 pipes </t>
  </si>
  <si>
    <t>18.72.3</t>
  </si>
  <si>
    <t xml:space="preserve">200 mm diametre Ductile iron Class K - 7 pipes. </t>
  </si>
  <si>
    <t xml:space="preserve">200 mm dia Ductile Iron Class K-7 pipes </t>
  </si>
  <si>
    <t>18.72.4</t>
  </si>
  <si>
    <t xml:space="preserve">250 mm diametre Ductile iron Class K - 7 pipes. </t>
  </si>
  <si>
    <t xml:space="preserve">250 mm dia Ductile Iron Class K-7 pipes </t>
  </si>
  <si>
    <t>18.72.5</t>
  </si>
  <si>
    <t xml:space="preserve">300 mm diametre Ductile iron Class K - 7 pipes. </t>
  </si>
  <si>
    <t xml:space="preserve">300 mm dia Ductile Iron Class K-7 pipes </t>
  </si>
  <si>
    <t>18.72.6</t>
  </si>
  <si>
    <t xml:space="preserve">350 mm diametre Ductile iron Class K - 7 pipes. </t>
  </si>
  <si>
    <t xml:space="preserve">350 mm dia Ductile Iron Class K-7 pipes </t>
  </si>
  <si>
    <t>18.72.7</t>
  </si>
  <si>
    <t xml:space="preserve">400 mm diametre Ductile iron Class K - 7 pipes. </t>
  </si>
  <si>
    <t xml:space="preserve">400 mm dia Ductile Iron Class K-7 pipes </t>
  </si>
  <si>
    <t>18.72.8</t>
  </si>
  <si>
    <t xml:space="preserve">450 mm diametre Ductile iron Class K - 7 pipes. </t>
  </si>
  <si>
    <t xml:space="preserve">450 mm dia Ductile Iron Class K-7 pipes </t>
  </si>
  <si>
    <t>18.72.9</t>
  </si>
  <si>
    <t xml:space="preserve">500 mm diametre Ductile iron Class K - 7 pipes. </t>
  </si>
  <si>
    <t xml:space="preserve">500 mm dia Ductile Iron Class K-7 pipes </t>
  </si>
  <si>
    <t>18.72.10</t>
  </si>
  <si>
    <t xml:space="preserve">600 mm diametre Ductile iron Class K - 7 pipes. </t>
  </si>
  <si>
    <t xml:space="preserve">600 mm dia Ductile Iron Class K-7 pipes </t>
  </si>
  <si>
    <t>18.72.11</t>
  </si>
  <si>
    <t xml:space="preserve">700 mm dia Ductile Iron Class K-7 pipes </t>
  </si>
  <si>
    <t>18.72.12</t>
  </si>
  <si>
    <t xml:space="preserve">800 mm diametre Ductile iron Class K - 7 pipes. </t>
  </si>
  <si>
    <t xml:space="preserve">800 mm dia Ductile Iron Class K-7 pipes </t>
  </si>
  <si>
    <t>18.72.13</t>
  </si>
  <si>
    <t xml:space="preserve">900 mm diametre Ductile iron Class K - 7 pipes. </t>
  </si>
  <si>
    <t xml:space="preserve">900 mm dia Ductile Iron Class K-7 pipes </t>
  </si>
  <si>
    <t>18.72.14</t>
  </si>
  <si>
    <t xml:space="preserve">100mm diametre Ductile iron Class K - 7 pipes. </t>
  </si>
  <si>
    <t xml:space="preserve">1000 mm dia Ductile Iron Class K-7 pipes </t>
  </si>
  <si>
    <t>18.72.15</t>
  </si>
  <si>
    <t xml:space="preserve">100 mm diametre Ductile iron Class K - 9 pipes. </t>
  </si>
  <si>
    <t xml:space="preserve">100 mm dia Ductile Iron Class K-9 pipes </t>
  </si>
  <si>
    <t>18.72.16</t>
  </si>
  <si>
    <t xml:space="preserve">150 mm diametre Ductile iron Class K - 9 pipes. </t>
  </si>
  <si>
    <t xml:space="preserve">150 mm dia Ductile Iron Class K-9 pipes </t>
  </si>
  <si>
    <t>18.72.17</t>
  </si>
  <si>
    <t xml:space="preserve">200 mm diametre Ductile iron Class K - 9 pipes. </t>
  </si>
  <si>
    <t xml:space="preserve">200 mm dia Ductile Iron Class K-9 pipes </t>
  </si>
  <si>
    <t>18.72.18</t>
  </si>
  <si>
    <t xml:space="preserve">250 mm diametre Ductile iron Class K - 9 pipes. </t>
  </si>
  <si>
    <t xml:space="preserve">250 mm dia Ductile Iron Class K-9 pipes </t>
  </si>
  <si>
    <t>18.72.19</t>
  </si>
  <si>
    <t xml:space="preserve">300 mm diametre Ductile iron Class K - 9 pipes. </t>
  </si>
  <si>
    <t xml:space="preserve">300 mm dia Ductile Iron Class K-9 pipes </t>
  </si>
  <si>
    <t>18.72.20</t>
  </si>
  <si>
    <t xml:space="preserve">350 mm dia Ductile Iron Class K-9 pipes </t>
  </si>
  <si>
    <t>18.72.21</t>
  </si>
  <si>
    <t xml:space="preserve">400 mm diametre Ductile iron Class K - 9 pipes. </t>
  </si>
  <si>
    <t xml:space="preserve">400 mm dia Ductile Iron Class K-9 pipes </t>
  </si>
  <si>
    <t>18.72.22</t>
  </si>
  <si>
    <t xml:space="preserve">450 mm diametre Ductile iron Class K - 9 pipes. </t>
  </si>
  <si>
    <t xml:space="preserve">450 mm dia Ductile Iron Class K-9 pipes </t>
  </si>
  <si>
    <t>18.72.23</t>
  </si>
  <si>
    <t xml:space="preserve">500 mm diametre Ductile iron Class K - 9 pipes. </t>
  </si>
  <si>
    <t xml:space="preserve">500 mm dia Ductile Iron Class K-9 pipes </t>
  </si>
  <si>
    <t>18.72.24</t>
  </si>
  <si>
    <t xml:space="preserve">600 mm diametre Ductile iron Class K - 9 pipes. </t>
  </si>
  <si>
    <t xml:space="preserve">600 mm dia Ductile Iron Class K-9 pipes </t>
  </si>
  <si>
    <t>18.72.25</t>
  </si>
  <si>
    <t xml:space="preserve">700 mm diametre Ductile iron Class K - 9 pipes. </t>
  </si>
  <si>
    <t xml:space="preserve">700 mm dia Ductile Iron Class K-9 pipes </t>
  </si>
  <si>
    <t>18.72.26</t>
  </si>
  <si>
    <t xml:space="preserve">750 mm dia Ductile Iron Class K-9 pipes </t>
  </si>
  <si>
    <t>18.72.27</t>
  </si>
  <si>
    <t xml:space="preserve">800 mm diametre Ductile iron Class K - 9 pipes. </t>
  </si>
  <si>
    <t xml:space="preserve">800 mm dia Ductile Iron Class K-9 pipes </t>
  </si>
  <si>
    <t>18.72.28</t>
  </si>
  <si>
    <t xml:space="preserve">900 mm diametre Ductile iron Class K - 9 pipes. </t>
  </si>
  <si>
    <t xml:space="preserve">900 mm dia Ductile Iron Class K-9 pipes </t>
  </si>
  <si>
    <t>18.72.29</t>
  </si>
  <si>
    <t xml:space="preserve">100mm diametre Ductile iron Class K - 9 pipes. </t>
  </si>
  <si>
    <t xml:space="preserve">1000 mm dia Ductile Iron Class K-9 pipes </t>
  </si>
  <si>
    <t>18.72A</t>
  </si>
  <si>
    <t xml:space="preserve">Providing, laying, jointing and testing S&amp;S Centrifugally Cast Ductile Iron double chamber Class K-9 pressure pipes conforming to IS 8329:2000 with restrained Joints (bolt less), all complete. </t>
  </si>
  <si>
    <t>18.72A.1</t>
  </si>
  <si>
    <t xml:space="preserve">100 mm nominal dia pipe </t>
  </si>
  <si>
    <t>18.72A.2</t>
  </si>
  <si>
    <t xml:space="preserve">150 mm nominal dia pipe </t>
  </si>
  <si>
    <t>18.72A.3</t>
  </si>
  <si>
    <t xml:space="preserve">200 mm nominal dia pipe </t>
  </si>
  <si>
    <t>18.72A.4</t>
  </si>
  <si>
    <t xml:space="preserve">250 mm nominal dia pipe </t>
  </si>
  <si>
    <t>18.72A.5</t>
  </si>
  <si>
    <t xml:space="preserve">300 mm nominal dia pipe </t>
  </si>
  <si>
    <t>18.72A.6</t>
  </si>
  <si>
    <t xml:space="preserve">350 mm nominal dia pipe </t>
  </si>
  <si>
    <t>18.72A.7</t>
  </si>
  <si>
    <t xml:space="preserve">400 mm nominal dia pipe </t>
  </si>
  <si>
    <t>18.72A.8</t>
  </si>
  <si>
    <t xml:space="preserve">450 mm nominal dia pipe </t>
  </si>
  <si>
    <t>18.72A.9</t>
  </si>
  <si>
    <t xml:space="preserve">500 mm nominal dia pipe </t>
  </si>
  <si>
    <t>18.72A.10</t>
  </si>
  <si>
    <t xml:space="preserve">600 mm nominal dia pipe </t>
  </si>
  <si>
    <t>18.72A.11</t>
  </si>
  <si>
    <t xml:space="preserve">700 mm nominal dia pipe </t>
  </si>
  <si>
    <t>18.72A.12</t>
  </si>
  <si>
    <t xml:space="preserve">750 mm nominal dia pipe </t>
  </si>
  <si>
    <t>18.72A.13</t>
  </si>
  <si>
    <t xml:space="preserve">800 mm nominal dia pipe </t>
  </si>
  <si>
    <t>18.72A.14</t>
  </si>
  <si>
    <t xml:space="preserve">900 mm nominal dia pipe </t>
  </si>
  <si>
    <t>18.72A.15</t>
  </si>
  <si>
    <t xml:space="preserve">1000 mm nominal dia pipe </t>
  </si>
  <si>
    <t>18.73</t>
  </si>
  <si>
    <t xml:space="preserve">Providing laying double flan- ged (Screwed/welded) Centrif- ugally (Spun) Ductile iron pipes class -9 IS : 8329: </t>
  </si>
  <si>
    <t xml:space="preserve">Providing and laying Double Flanged (Screwed/ Welded) Centrifugally (Spun) Ductile Iron Pipes of Class K - 9 conforming to IS: 8329 : </t>
  </si>
  <si>
    <t>18.73.1</t>
  </si>
  <si>
    <t xml:space="preserve">100 mm diametre Ductile iron Double flanged. </t>
  </si>
  <si>
    <t xml:space="preserve">100 mm dia Ductile Iron Double Flanged </t>
  </si>
  <si>
    <t>18.73.2</t>
  </si>
  <si>
    <t xml:space="preserve">150 mm diametre Ductile iron Double flanged. </t>
  </si>
  <si>
    <t xml:space="preserve">150 mm dia Ductile Iron Double Flanged </t>
  </si>
  <si>
    <t>18.73.3</t>
  </si>
  <si>
    <t xml:space="preserve">200 mm diametre Ductile iron Double flanged. </t>
  </si>
  <si>
    <t xml:space="preserve">200 mm dia Ductile Iron Double Flanged </t>
  </si>
  <si>
    <t>18.73.4</t>
  </si>
  <si>
    <t xml:space="preserve">250 mm diametre Ductile iron Double flanged. </t>
  </si>
  <si>
    <t xml:space="preserve">250 mm dia Ductile Iron Double Flanged </t>
  </si>
  <si>
    <t>18.73.5</t>
  </si>
  <si>
    <t xml:space="preserve">300 mm diametre Ductile iron Double flanged. </t>
  </si>
  <si>
    <t xml:space="preserve">300 mm dia Ductile Iron Double Flanged </t>
  </si>
  <si>
    <t>18.73.6</t>
  </si>
  <si>
    <t xml:space="preserve">350 mm diametre Ductile iron Double flanged. </t>
  </si>
  <si>
    <t xml:space="preserve">350 mm dia Ductile Iron Double Flanged </t>
  </si>
  <si>
    <t>18.73.7</t>
  </si>
  <si>
    <t xml:space="preserve">400 mm diametre Ductile iron Double flanged. </t>
  </si>
  <si>
    <t xml:space="preserve">400 mm dia Ductile Iron Double Flanged </t>
  </si>
  <si>
    <t>18.73.8</t>
  </si>
  <si>
    <t xml:space="preserve">450 mm diametre Ductile iron Double flanged. </t>
  </si>
  <si>
    <t xml:space="preserve">450 mm dia Ductile Iron Double Flanged </t>
  </si>
  <si>
    <t>18.73.9</t>
  </si>
  <si>
    <t xml:space="preserve">500 mm diametre Ductile iron Double flanged. </t>
  </si>
  <si>
    <t xml:space="preserve">500 mm dia Ductile Iron Double Flanged </t>
  </si>
  <si>
    <t>18.73.10</t>
  </si>
  <si>
    <t xml:space="preserve">600 mm diametre Ductile iron Double flanged. </t>
  </si>
  <si>
    <t xml:space="preserve">600 mm dia Ductile Iron Double Flanged </t>
  </si>
  <si>
    <t>18.73.11</t>
  </si>
  <si>
    <t xml:space="preserve">700 mm diametre Ductile iron Double flanged. </t>
  </si>
  <si>
    <t xml:space="preserve">700 mm dia Ductile Iron Double Flanged </t>
  </si>
  <si>
    <t>18.74</t>
  </si>
  <si>
    <t xml:space="preserve">P/F P.T.M.T PVC connection with nuts collar and bush: </t>
  </si>
  <si>
    <t xml:space="preserve">Providing and fixing unplasticised P.V.C. connection pipe with PTMT Nuts, collar and bush of approved quality and colour. </t>
  </si>
  <si>
    <t>18.74.1</t>
  </si>
  <si>
    <t xml:space="preserve">15 mm nominal bore, with 30 cm length. </t>
  </si>
  <si>
    <t xml:space="preserve">15 mm nominal bore with 30 cm length. </t>
  </si>
  <si>
    <t>18.74.2</t>
  </si>
  <si>
    <t xml:space="preserve">15 mm nominal bore, with 45 cm length. </t>
  </si>
  <si>
    <t xml:space="preserve">15 mm nominal bore with 45 cm length. </t>
  </si>
  <si>
    <t>18.75</t>
  </si>
  <si>
    <t xml:space="preserve">P/F P.T.M.T extesion nipple for water tank pipe, fitt- ings of approved quality: </t>
  </si>
  <si>
    <t xml:space="preserve">Providing and fixing PTMT extension nipple for water tank pipe, fittings of approved quality and colour. </t>
  </si>
  <si>
    <t>18.75.1</t>
  </si>
  <si>
    <t xml:space="preserve">15 mm n/b weighing not less than 32 grams. </t>
  </si>
  <si>
    <t xml:space="preserve">15 mm nominal bore. Weighing not less than 32 gms. </t>
  </si>
  <si>
    <t>18.75.2</t>
  </si>
  <si>
    <t xml:space="preserve">20 mm n/b weighing not less than 40 grams. </t>
  </si>
  <si>
    <t xml:space="preserve">20mm nominal bore. Weighing not less than 40 gms. </t>
  </si>
  <si>
    <t>18.75.3</t>
  </si>
  <si>
    <t xml:space="preserve">25 mm n/b weighing not less than 62 grams. </t>
  </si>
  <si>
    <t xml:space="preserve">25mm nominal bore. Weighing not less than 62 gms. </t>
  </si>
  <si>
    <t>18.76</t>
  </si>
  <si>
    <t xml:space="preserve">Cutting holes upto 30x30cm in walls, making good the same </t>
  </si>
  <si>
    <t xml:space="preserve">Cutting holes up to 30x30 cm in walls including making good the same: </t>
  </si>
  <si>
    <t>18.76.1</t>
  </si>
  <si>
    <t xml:space="preserve">With FPS bricks. </t>
  </si>
  <si>
    <t xml:space="preserve">With common burnt clay F.P.S. (non modular) bricks. </t>
  </si>
  <si>
    <t>18.77</t>
  </si>
  <si>
    <t xml:space="preserve">Cutting holes upto 15x15cm in RCC floor/ roofs, making good the same. </t>
  </si>
  <si>
    <t xml:space="preserve">Cutting holes up to 15x15 cm in R.C.C. floors and roofs for passing drain pipe etc. and repairing the hole after insertion of drain pipe etc. with cement concrete 1:2:4 (1 cement :2 coarse sand : 4 graded stone aggregate 20 mm nominal size), including finishing complete so as to make it leak proof. </t>
  </si>
  <si>
    <t>18.78</t>
  </si>
  <si>
    <t xml:space="preserve">Making chase upto 7.5x7.5cm in walls for housing GI pipe. </t>
  </si>
  <si>
    <t xml:space="preserve">Making chases up to 7.5x7.5 cm in walls including making good and finishing with matching surface after housing G.I. pipe etc. </t>
  </si>
  <si>
    <t>18.79</t>
  </si>
  <si>
    <t xml:space="preserve">Making hole upto 20x20cm, embedding pipes upto 150 mm dia in masonary </t>
  </si>
  <si>
    <t xml:space="preserve">Making hole up to 20x20 cm and embedding pipes up to 150 mm diameter in masonry and filling with cement concrete 1:3:6 (1 cement: 3 coarse sand : 6 graded stone aggregate 20 mm nominal size)including disposal of malba. </t>
  </si>
  <si>
    <t>18.80</t>
  </si>
  <si>
    <t xml:space="preserve">Disinfecting CI water mains with wate r containing bleaching powder </t>
  </si>
  <si>
    <t xml:space="preserve">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t>
  </si>
  <si>
    <t>18.80.1</t>
  </si>
  <si>
    <t xml:space="preserve">80 mm diameter C.I. pipe. </t>
  </si>
  <si>
    <t xml:space="preserve">80 mm diameter C.I. pipe </t>
  </si>
  <si>
    <t xml:space="preserve">100 Metre                                 </t>
  </si>
  <si>
    <t>18.80.2</t>
  </si>
  <si>
    <t xml:space="preserve">100 mm diametre C.I. pipe. </t>
  </si>
  <si>
    <t xml:space="preserve">100 mm diameter C.I. pipe </t>
  </si>
  <si>
    <t>18.80.3</t>
  </si>
  <si>
    <t xml:space="preserve">125 mm diametre C.I. pipe. </t>
  </si>
  <si>
    <t xml:space="preserve">125 mm diameter C.I. pipe </t>
  </si>
  <si>
    <t>18.80.4</t>
  </si>
  <si>
    <t xml:space="preserve">150 mm diametre C.I. pipe. </t>
  </si>
  <si>
    <t xml:space="preserve">150 mm diameter C.I. pipe </t>
  </si>
  <si>
    <t>18.80.5</t>
  </si>
  <si>
    <t xml:space="preserve">200 mm diametre C.I. pipe. </t>
  </si>
  <si>
    <t xml:space="preserve">200 mm diameter C.I. pipe </t>
  </si>
  <si>
    <t>18.80.6</t>
  </si>
  <si>
    <t xml:space="preserve">250 mm diametre C.I. pipe. </t>
  </si>
  <si>
    <t xml:space="preserve">250 mm diameter C.I. pipe </t>
  </si>
  <si>
    <t>18.80.7</t>
  </si>
  <si>
    <t xml:space="preserve">300 mm diametre C.I. pipe. </t>
  </si>
  <si>
    <t xml:space="preserve">300 mm diameter C.I. pipe </t>
  </si>
  <si>
    <t>18.80.8</t>
  </si>
  <si>
    <t xml:space="preserve">350 mm diametre C.I. pipe. </t>
  </si>
  <si>
    <t xml:space="preserve">350 mm diameter C.I. pipe </t>
  </si>
  <si>
    <t>18.80.9</t>
  </si>
  <si>
    <t xml:space="preserve">400 mm diametre C.I. pipe. </t>
  </si>
  <si>
    <t xml:space="preserve">400 mm diameter C.I. pipe </t>
  </si>
  <si>
    <t>18.80.10</t>
  </si>
  <si>
    <t xml:space="preserve">450 mm diametre C.I. pipe. </t>
  </si>
  <si>
    <t xml:space="preserve">450 mm diameter C.I. pipe </t>
  </si>
  <si>
    <t>18.80.11</t>
  </si>
  <si>
    <t xml:space="preserve">500 mm diametre C.I. pipe. </t>
  </si>
  <si>
    <t xml:space="preserve">500 mm diameter C.I. pipe </t>
  </si>
  <si>
    <t>18.80.12</t>
  </si>
  <si>
    <t xml:space="preserve">600 mm diametre C.I. pipe. </t>
  </si>
  <si>
    <t xml:space="preserve">600 mm diameter C.I. pipe </t>
  </si>
  <si>
    <t>18.81</t>
  </si>
  <si>
    <t xml:space="preserve">Extra for every operation of disinfecting the C.I. main by flushing with water containing bleaching powder at 0.5 gms per litre of water </t>
  </si>
  <si>
    <t xml:space="preserve">Extra for every operation of disinfecting the C.I. main by flushing with water containing bleaching powder @ 0.5 gms per litre of water and cleaning the same with fresh water, including getting the samples of water tested in the municipal laboratory: </t>
  </si>
  <si>
    <t>18.81.1</t>
  </si>
  <si>
    <t>18.81.2</t>
  </si>
  <si>
    <t>18.81.3</t>
  </si>
  <si>
    <t>18.81.4</t>
  </si>
  <si>
    <t>18.81.5</t>
  </si>
  <si>
    <t>18.81.6</t>
  </si>
  <si>
    <t>18.81.7</t>
  </si>
  <si>
    <t>18.81.8</t>
  </si>
  <si>
    <t>18.81.9</t>
  </si>
  <si>
    <t>18.81.10</t>
  </si>
  <si>
    <t>18.81.11</t>
  </si>
  <si>
    <t>18.81.12</t>
  </si>
  <si>
    <t>18.82</t>
  </si>
  <si>
    <t xml:space="preserve">Dismantling old C.I. pipes including excavation and refilling trenches after taking out the pipes : </t>
  </si>
  <si>
    <t xml:space="preserve">Dismantling old C.I. pipes including excavation and refilling trenches after taking out the pipes, breaking lead caulked joints, melting of lead and making into blocks including stacking of pipes at site lead upto 50 metre: </t>
  </si>
  <si>
    <t>18.82.1</t>
  </si>
  <si>
    <t>18.82.2</t>
  </si>
  <si>
    <t>18.82.3</t>
  </si>
  <si>
    <t>18.82.4</t>
  </si>
  <si>
    <t>18.82.5</t>
  </si>
  <si>
    <t>18.82.6</t>
  </si>
  <si>
    <t>18.82.7</t>
  </si>
  <si>
    <t>18.82.8</t>
  </si>
  <si>
    <t>18.82.9</t>
  </si>
  <si>
    <t>18.82.10</t>
  </si>
  <si>
    <t>18.82.11</t>
  </si>
  <si>
    <t>18.82.12</t>
  </si>
  <si>
    <t>18.83</t>
  </si>
  <si>
    <t xml:space="preserve">Labour for cutting C.I. pipe with steel saw : </t>
  </si>
  <si>
    <t xml:space="preserve">Labour for cutting C.I. pipe with steel saw. </t>
  </si>
  <si>
    <t>18.83.1</t>
  </si>
  <si>
    <t xml:space="preserve">nos  </t>
  </si>
  <si>
    <t xml:space="preserve">Each cut                                  </t>
  </si>
  <si>
    <t>18.83.2</t>
  </si>
  <si>
    <t>18.83.3</t>
  </si>
  <si>
    <t>18.83.4</t>
  </si>
  <si>
    <t>18.83.5</t>
  </si>
  <si>
    <t>18.83.6</t>
  </si>
  <si>
    <t>18.83.7</t>
  </si>
  <si>
    <t>18.83.8</t>
  </si>
  <si>
    <t>18.83.9</t>
  </si>
  <si>
    <t>18.83.10</t>
  </si>
  <si>
    <t>18.83.11</t>
  </si>
  <si>
    <t>18.83.12</t>
  </si>
  <si>
    <t>18.84</t>
  </si>
  <si>
    <t xml:space="preserve">P/F UPVC Rigid pipes (Internal work) of IS:4985... </t>
  </si>
  <si>
    <t xml:space="preserve">Providing &amp; fixing chrome plated brass battery based infrared sensor operated pillar cock, having foam flow technology. </t>
  </si>
  <si>
    <t>18.84.1</t>
  </si>
  <si>
    <t>18.85</t>
  </si>
  <si>
    <t xml:space="preserve">P/F SS pipe - Exposed on wall </t>
  </si>
  <si>
    <t xml:space="preserve">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Engineer-in-charge. (The pipe length inserted in the fitting shall not be measured for payment) Internal work - Exposed on wall </t>
  </si>
  <si>
    <t>18.85.1</t>
  </si>
  <si>
    <t xml:space="preserve">15.88 mm outer dia Pipe </t>
  </si>
  <si>
    <t>18.85.2</t>
  </si>
  <si>
    <t xml:space="preserve">22.22 mm outer dia Pipe </t>
  </si>
  <si>
    <t>18.85.3</t>
  </si>
  <si>
    <t xml:space="preserve">28.58 mm outer dia Pipe </t>
  </si>
  <si>
    <t>18.85.4</t>
  </si>
  <si>
    <t xml:space="preserve">34.00 mm outer dia Pipe </t>
  </si>
  <si>
    <t>18.85.5</t>
  </si>
  <si>
    <t xml:space="preserve">42.70 mm outer dia Pipe </t>
  </si>
  <si>
    <t>18.85.6</t>
  </si>
  <si>
    <t xml:space="preserve">48.60 mm outer dia Pipe </t>
  </si>
  <si>
    <t>18.85A</t>
  </si>
  <si>
    <t xml:space="preserve">P/F stainless Steel pipe and fitting of grade 316L </t>
  </si>
  <si>
    <t xml:space="preserve">Providing and fixing stainless Steel pipe and fitting of grade 316L as per IS 6911:2017 and conforming to EN-10312 standards complete with press type fitting ( fitting shall be paid for separately) i/c fixing of the pipe with clamps at 1.00 m spacing including cutting and making good the walls including testing of joints complete as per the direction of Engineer- in- charge. ( The pipe length inserted in the fitting shall not be measure for payment). </t>
  </si>
  <si>
    <t>18.85A.1</t>
  </si>
  <si>
    <t xml:space="preserve">15 mm outer dia Pipe </t>
  </si>
  <si>
    <t>18.85A.2</t>
  </si>
  <si>
    <t xml:space="preserve">22 mm outer dia Pipe </t>
  </si>
  <si>
    <t>18.85A.3</t>
  </si>
  <si>
    <t xml:space="preserve">28 mm outer dia Pipe </t>
  </si>
  <si>
    <t>18.85A.4</t>
  </si>
  <si>
    <t xml:space="preserve">35 mm outer dia Pipe </t>
  </si>
  <si>
    <t>18.85A.5</t>
  </si>
  <si>
    <t xml:space="preserve">42 mm outer dia Pipe </t>
  </si>
  <si>
    <t>18.85A.6</t>
  </si>
  <si>
    <t xml:space="preserve">54 mm outer dia Pipe </t>
  </si>
  <si>
    <t>18.86</t>
  </si>
  <si>
    <t xml:space="preserve">P/F Stainless Steel pipe and fitting of grade AISI 304 Internal work- Concealed pipe </t>
  </si>
  <si>
    <t xml:space="preserve">Providing and fixing Stainless Steel pipe and fitting of grade AISI 304 as per JIS standard 3448 complete with press type fitting (fitting shall be paid for separately) i/c fixing of the pipe with clamps at 1.00 m spacing and also including cutting of chases and making good the walls including testing of joints complete as per direction of Engineer-in-charge. (The pipe length inserted in the fitting shall not be measured for payment) Internal work- Concealed pipe </t>
  </si>
  <si>
    <t>18.86.1</t>
  </si>
  <si>
    <t xml:space="preserve">15.88 mm outer dia Pipes. </t>
  </si>
  <si>
    <t>18.86.2</t>
  </si>
  <si>
    <t xml:space="preserve">22.22 mm outer dia Pipes. </t>
  </si>
  <si>
    <t>18.86A</t>
  </si>
  <si>
    <t xml:space="preserve">P/F stainless Steel pipe and fitting of grade 316L Internal work - Concealed Pipe </t>
  </si>
  <si>
    <t xml:space="preserve">Providing and fixing stainless Steel pipe and fitting of grade 316L as per IS 6911:2017 and conforming to EN-10312 standards complete with press type fitting ( fitting shall be paid for separately) i/c fixing of the pipe with clamps at 1.00 m spacing and also including cutting of chases and making good the walls including testing of joints complete as per the direction of Engineer- in- charge. ( The pipe length inserted in the fitting shall not be measure for payment). Internal work - Concealed Pipe </t>
  </si>
  <si>
    <t>18.86A.1</t>
  </si>
  <si>
    <t xml:space="preserve">15mm outer dia. Pipes </t>
  </si>
  <si>
    <t xml:space="preserve">15 mm outer dia. Pipes </t>
  </si>
  <si>
    <t>18.86A.2</t>
  </si>
  <si>
    <t xml:space="preserve">20mm outer dia Pipes </t>
  </si>
  <si>
    <t xml:space="preserve">22 mm outer dia Pipes </t>
  </si>
  <si>
    <t>18.87</t>
  </si>
  <si>
    <t xml:space="preserve">P/F Stainless Steel Fitting of press fit design of grade AISI 304 - Coupling/Socket. </t>
  </si>
  <si>
    <t xml:space="preserve">Providing and fixing required Stainless Steel Fitting of press fit design of grade AISI 304 conforming to JWWA G116 standard with V-profile or M-profile and with O-ring sealing gasket of EPDM material of required dia as per direction of Engineer-in-charge - Coupling/Socket. </t>
  </si>
  <si>
    <t>18.87.1</t>
  </si>
  <si>
    <t xml:space="preserve">For 15.88 mm outer dia pipe </t>
  </si>
  <si>
    <t>18.87.2</t>
  </si>
  <si>
    <t xml:space="preserve">For 22.22 mm outer dia pipe </t>
  </si>
  <si>
    <t>18.87.3</t>
  </si>
  <si>
    <t xml:space="preserve">For 28.58 mm outer dia pipe </t>
  </si>
  <si>
    <t>18.87.4</t>
  </si>
  <si>
    <t xml:space="preserve">For 34.00 mm outer dia pipe </t>
  </si>
  <si>
    <t>18.87.5</t>
  </si>
  <si>
    <t xml:space="preserve">For 42.70 mm outer dia pipe </t>
  </si>
  <si>
    <t>18.87.6</t>
  </si>
  <si>
    <t xml:space="preserve">For 48.60 mm outer dia pipe </t>
  </si>
  <si>
    <t>18.87A</t>
  </si>
  <si>
    <t xml:space="preserve">P/F Stainless Steel Fitting of press fit design of grade AISI 304 -Coupling/ Socket. </t>
  </si>
  <si>
    <t>18.87A.1</t>
  </si>
  <si>
    <t xml:space="preserve">For 15 mm outer dia pipe </t>
  </si>
  <si>
    <t>18.87A.2</t>
  </si>
  <si>
    <t xml:space="preserve">For 22 mm outer dia pipe </t>
  </si>
  <si>
    <t>18.87A.3</t>
  </si>
  <si>
    <t xml:space="preserve">For 28 mm outer dia pipe </t>
  </si>
  <si>
    <t>18.87A.4</t>
  </si>
  <si>
    <t xml:space="preserve">For 35 mm outer dia pipe </t>
  </si>
  <si>
    <t>18.87A.5</t>
  </si>
  <si>
    <t xml:space="preserve">For 42 mm outer dia pipe </t>
  </si>
  <si>
    <t>18.87A.6</t>
  </si>
  <si>
    <t xml:space="preserve">For 54 mm outer dia pipe </t>
  </si>
  <si>
    <t>18.88</t>
  </si>
  <si>
    <t xml:space="preserve">P/F Stainless Steel Fitting of press fit design of grade AISI 304with V-profile or M-profile and with O-ring sealing gasket of EPDM - Reducer </t>
  </si>
  <si>
    <t xml:space="preserve">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t>
  </si>
  <si>
    <t xml:space="preserve">Reducer </t>
  </si>
  <si>
    <t>18.88.1</t>
  </si>
  <si>
    <t xml:space="preserve">For 22.22 mm x 15.88 mm outer dia pipe </t>
  </si>
  <si>
    <t>18.88.2</t>
  </si>
  <si>
    <t xml:space="preserve">For 28.58 mm x 15.88 mm outer dia pipe </t>
  </si>
  <si>
    <t>18.88.3</t>
  </si>
  <si>
    <t xml:space="preserve">For 28.58 mm x 22.22 mm outer dia pipe </t>
  </si>
  <si>
    <t>18.88.4</t>
  </si>
  <si>
    <t xml:space="preserve">For 34.00 mm x 15.88 mm outer dia pipe </t>
  </si>
  <si>
    <t>18.88.5</t>
  </si>
  <si>
    <t xml:space="preserve">For 34.00 mm x 22.22 mm outer dia pipe </t>
  </si>
  <si>
    <t>18.88.6</t>
  </si>
  <si>
    <t xml:space="preserve">For 34.00 mm x 28.58 mm outer dia pipe </t>
  </si>
  <si>
    <t>18.88.7</t>
  </si>
  <si>
    <t xml:space="preserve">For 42.70 mm x 15.88 mm outer dia pipe </t>
  </si>
  <si>
    <t>18.88.8</t>
  </si>
  <si>
    <t xml:space="preserve">For 42.70 mm x 22.22 mm outer dia pipe </t>
  </si>
  <si>
    <t>18.88.9</t>
  </si>
  <si>
    <t xml:space="preserve">For 42.70 mm x 28.58 mm outer dia pipe </t>
  </si>
  <si>
    <t>18.88.10</t>
  </si>
  <si>
    <t xml:space="preserve">For 42.70 mm x 34.00 mm outer dia pipe </t>
  </si>
  <si>
    <t>18.88.11</t>
  </si>
  <si>
    <t xml:space="preserve">For 48.60 mm x 15.88 mm outer dia pipe </t>
  </si>
  <si>
    <t>18.88.12</t>
  </si>
  <si>
    <t xml:space="preserve">For 48.60 mm x 22.22 mm outer dia pipe </t>
  </si>
  <si>
    <t>18.88.13</t>
  </si>
  <si>
    <t xml:space="preserve">For 48.60 mm x 28.58 mm outer dia pipe </t>
  </si>
  <si>
    <t>18.88.14</t>
  </si>
  <si>
    <t xml:space="preserve">For 48.60 mm x 34.00 mm outer dia pipe </t>
  </si>
  <si>
    <t>18.88.15</t>
  </si>
  <si>
    <t xml:space="preserve">For 48.60 mm x 42.70 mm outer dia pipe </t>
  </si>
  <si>
    <t>18.88A</t>
  </si>
  <si>
    <t xml:space="preserve">P/F Stainless Steel Fitting of press fit design of grade 316L - Reducer </t>
  </si>
  <si>
    <t xml:space="preserve">Providing and fixing required Stainless Steel Fitting of press fit design of grade 316L as per IS : 6911:2017 and conforming to EN-10312 standard with V-profile and with O-ring sealing gasket of EPDM material of requireddia as per dirction of Engineer-in-charge. </t>
  </si>
  <si>
    <t>18.88A.1</t>
  </si>
  <si>
    <t xml:space="preserve">For 22 mm x 15 mm outer dia pipe </t>
  </si>
  <si>
    <t>18.88A.2</t>
  </si>
  <si>
    <t xml:space="preserve">For 28 mm x 15 mm outer dia pipe </t>
  </si>
  <si>
    <t>18.88A.3</t>
  </si>
  <si>
    <t xml:space="preserve">For 28 mm x 22 mm outer dia pipe </t>
  </si>
  <si>
    <t>18.88A.4</t>
  </si>
  <si>
    <t xml:space="preserve">For 35 mm x 22 mm outer dia pipe </t>
  </si>
  <si>
    <t>18.88A.5</t>
  </si>
  <si>
    <t xml:space="preserve">For 35 mm x 28 mm outer dia pipe </t>
  </si>
  <si>
    <t>18.88A.6</t>
  </si>
  <si>
    <t xml:space="preserve">For 42 mm x 22 mm outer dia pipe </t>
  </si>
  <si>
    <t>18.88A.7</t>
  </si>
  <si>
    <t xml:space="preserve">For 42 mm x 28 mm outer dia pipe </t>
  </si>
  <si>
    <t>18.88A.8</t>
  </si>
  <si>
    <t xml:space="preserve">For 42 mm x 35 mm outer dia pipe </t>
  </si>
  <si>
    <t>18.88A.9</t>
  </si>
  <si>
    <t xml:space="preserve">For 54 mm x 28 mm outer dia pipe </t>
  </si>
  <si>
    <t>18.88A.10</t>
  </si>
  <si>
    <t xml:space="preserve">For 54 mm x 35 mm outer dia pipe </t>
  </si>
  <si>
    <t>18.88A.11</t>
  </si>
  <si>
    <t xml:space="preserve">For 54 mm x 42 mm outer dia pipe </t>
  </si>
  <si>
    <t>18.89</t>
  </si>
  <si>
    <t xml:space="preserve">P/F Stainless Steel Fitting of press fit design of grade 316L - Slip Coupling/ Socket </t>
  </si>
  <si>
    <t xml:space="preserve">Providing and fixing required Stainless Steel Fitting of press fit design of grade AISI 304 conforming to JWWA G116 standard with V-profile or M-profile and with O-ring sealing gasket of EPDM material of required dia as per direction of Engineer-in-charge - Slip Coupling/Socket </t>
  </si>
  <si>
    <t>18.89.1</t>
  </si>
  <si>
    <t>18.89.2</t>
  </si>
  <si>
    <t>18.89.3</t>
  </si>
  <si>
    <t>18.89.4</t>
  </si>
  <si>
    <t>18.89.5</t>
  </si>
  <si>
    <t>18.89.6</t>
  </si>
  <si>
    <t>18.89A</t>
  </si>
  <si>
    <t xml:space="preserve">P/F Stainless Steel Fitting of press fit design of grade 316L - Sleeve/ Slip Coupling/ Socket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</si>
  <si>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Sleeve/Slip Coupling/Socket </t>
  </si>
  <si>
    <t>18.89A.1</t>
  </si>
  <si>
    <t>18.89A.2</t>
  </si>
  <si>
    <t>18.89A.3</t>
  </si>
  <si>
    <t>18.89A.4</t>
  </si>
  <si>
    <t>18.89A.5</t>
  </si>
  <si>
    <t>18.89A.6</t>
  </si>
  <si>
    <t>18.90</t>
  </si>
  <si>
    <t xml:space="preserve">P/F Stainless Steel Fitting of press fit design of grade 316L : Elbow 90 degrees </t>
  </si>
  <si>
    <t xml:space="preserve">Providing and fixing required Stainless Steel Fitting of press fit design of grade AISI 304 conforming to JWWA G116 standard with V-profile or M-profile and with O-ring sealing gasket of EPDM material of required dia as per direction of Engineer-in-charge : Elbow 90 degrees </t>
  </si>
  <si>
    <t>18.90.1</t>
  </si>
  <si>
    <t>18.90.2</t>
  </si>
  <si>
    <t>18.90.3</t>
  </si>
  <si>
    <t>18.90.4</t>
  </si>
  <si>
    <t>18.90.5</t>
  </si>
  <si>
    <t>18.90.6</t>
  </si>
  <si>
    <t>18.90A</t>
  </si>
  <si>
    <t xml:space="preserve">P/F Stainless Steel Fitting of press fit design of grade 316L - Elbow 90 degrees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</si>
  <si>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Elbow 90 degrees </t>
  </si>
  <si>
    <t>18.90A.1</t>
  </si>
  <si>
    <t>18.90A.2</t>
  </si>
  <si>
    <t>18.90A.3</t>
  </si>
  <si>
    <t>18.90A.4</t>
  </si>
  <si>
    <t>18.90A.5</t>
  </si>
  <si>
    <t>18.90A.6</t>
  </si>
  <si>
    <t>18.91</t>
  </si>
  <si>
    <t xml:space="preserve">P/F Stainless Steel Fitting of press fit design of grade 316L : Reducing Elbow 90 degrees </t>
  </si>
  <si>
    <t xml:space="preserve">Providing and fixing required Stainless Steel Fitting of press fit design of grade AISI 304 conforming to JWWA G116 standard with V-profile or M-profile and with O-ring sealing gasket of EPDM material of required dia as per direction of Engineer-in-charge. : Reducing Elbow 90 degrees </t>
  </si>
  <si>
    <t>18.91.1</t>
  </si>
  <si>
    <t>18.91.2</t>
  </si>
  <si>
    <t>18.91.3</t>
  </si>
  <si>
    <t>18.91.4</t>
  </si>
  <si>
    <t>18.91.5</t>
  </si>
  <si>
    <t>18.91.6</t>
  </si>
  <si>
    <t>18.92</t>
  </si>
  <si>
    <t xml:space="preserve">P/F Stainless Steel Fitting of press fit design of grade 316L : Equal Tee </t>
  </si>
  <si>
    <t xml:space="preserve">Providing and fixing required Stainless Steel Fitting of press fit design of grade AISI 304 conforming to JWWA G116 standard with V-profile or M-profile and with O-ring sealing gasket of EPDM material of required dia as per direction of Engineer-in-charge. : Equal Tee </t>
  </si>
  <si>
    <t>18.92.1</t>
  </si>
  <si>
    <t>18.92.2</t>
  </si>
  <si>
    <t>18.92.3</t>
  </si>
  <si>
    <t>18.92.4</t>
  </si>
  <si>
    <t xml:space="preserve">For 34.00 mm outer dia pipe. </t>
  </si>
  <si>
    <t>18.92.5</t>
  </si>
  <si>
    <t>18.92.6</t>
  </si>
  <si>
    <t>18.92A</t>
  </si>
  <si>
    <t xml:space="preserve">P/F Stainless Steel Fitting of press fit design of grade 316L - Equal Tee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</si>
  <si>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Equal Tee </t>
  </si>
  <si>
    <t>18.92A.1</t>
  </si>
  <si>
    <t>18.92A.2</t>
  </si>
  <si>
    <t>18.92A.3</t>
  </si>
  <si>
    <t>18.92A.4</t>
  </si>
  <si>
    <t>18.92A.5</t>
  </si>
  <si>
    <t>18.92A.6</t>
  </si>
  <si>
    <t>18.93</t>
  </si>
  <si>
    <t xml:space="preserve">P/F Stainless Steel Fitting of press fit design of grade 316L : Reducing Tee </t>
  </si>
  <si>
    <t xml:space="preserve">Providing and fixing required Stainless Steel Fitting of press fit design of grade AISI 304 conforming to JWWA G116 standard with V-profile or M-profile and with O-ring sealing gasket of EPDM material of required dia as per direction of Engineer-in-charge : Reducing Tee </t>
  </si>
  <si>
    <t>18.93.1</t>
  </si>
  <si>
    <t>18.93.2</t>
  </si>
  <si>
    <t>18.93.3</t>
  </si>
  <si>
    <t>18.93.4</t>
  </si>
  <si>
    <t>18.93.5</t>
  </si>
  <si>
    <t>18.93.6</t>
  </si>
  <si>
    <t>18.93.7</t>
  </si>
  <si>
    <t>18.93.8</t>
  </si>
  <si>
    <t>18.93.9</t>
  </si>
  <si>
    <t>18.93.10</t>
  </si>
  <si>
    <t>18.93.11</t>
  </si>
  <si>
    <t>18.93.12</t>
  </si>
  <si>
    <t>18.93.13</t>
  </si>
  <si>
    <t>18.93.14</t>
  </si>
  <si>
    <t>18.93.15</t>
  </si>
  <si>
    <t>18.93A</t>
  </si>
  <si>
    <t xml:space="preserve">P/F Stainless Steel Fitting of press fit design of grade 316L - Reducing Tee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</si>
  <si>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Reducing Tee </t>
  </si>
  <si>
    <t>18.93A.1</t>
  </si>
  <si>
    <t>18.93A.2</t>
  </si>
  <si>
    <t>18.93A.3</t>
  </si>
  <si>
    <t>18.93A.4</t>
  </si>
  <si>
    <t xml:space="preserve">For 35 mm x 15 mm outer dia pipe </t>
  </si>
  <si>
    <t>18.93A.5</t>
  </si>
  <si>
    <t>18.93A.6</t>
  </si>
  <si>
    <t>18.93A.7</t>
  </si>
  <si>
    <t>18.93A.8</t>
  </si>
  <si>
    <t>18.93A.9</t>
  </si>
  <si>
    <t>18.93A.10</t>
  </si>
  <si>
    <t xml:space="preserve">For 54 mm x 22 mm outer dia pipe </t>
  </si>
  <si>
    <t>18.93A.11</t>
  </si>
  <si>
    <t>18.93A.12</t>
  </si>
  <si>
    <t>18.93A.13</t>
  </si>
  <si>
    <t>18.94</t>
  </si>
  <si>
    <t xml:space="preserve">P/F Stainless Steel Fitting of press fit design of grade 316L : Male Thread Tee </t>
  </si>
  <si>
    <t xml:space="preserve">Providing and fixing required Stainless Steel Fitting of press fit design of grade AISI 304 conforming to JWWA G116 standard with V-profile or M-profile and with O-ring sealing gasket of EPDM material of required dia as per direction of Engineer-in-charge : Male Thread Tee </t>
  </si>
  <si>
    <t>18.94.1</t>
  </si>
  <si>
    <t xml:space="preserve">For 15.88 mm outer dia x 15 mm nominal dia threaded </t>
  </si>
  <si>
    <t>18.94.2</t>
  </si>
  <si>
    <t xml:space="preserve">For 22.22 mm outer dia x 15 mm nominal dia threaded </t>
  </si>
  <si>
    <t>18.94.3</t>
  </si>
  <si>
    <t xml:space="preserve">For 22.22 mm outer dia x 20 mm nominal dia threaded </t>
  </si>
  <si>
    <t>18.94.4</t>
  </si>
  <si>
    <t xml:space="preserve">For 28.58 mm outer dia x 15 mm nominal dia threaded </t>
  </si>
  <si>
    <t>18.94.5</t>
  </si>
  <si>
    <t xml:space="preserve">For 28.58 mm outer dia x 20 mm nominal dia threaded </t>
  </si>
  <si>
    <t>18.94.6</t>
  </si>
  <si>
    <t xml:space="preserve">For 28.58 mm outer dia x 25 mm nominal dia threaded </t>
  </si>
  <si>
    <t>18.94.7</t>
  </si>
  <si>
    <t xml:space="preserve">For 34.00 mm outer dia x 15 mm nominal dia threaded </t>
  </si>
  <si>
    <t>18.94.8</t>
  </si>
  <si>
    <t xml:space="preserve">For 34.00 mm outer dia x 20 mm nominal dia threaded </t>
  </si>
  <si>
    <t>18.94.9</t>
  </si>
  <si>
    <t xml:space="preserve">For 34.00 mm outer dia x 25 mm nominal dia threaded </t>
  </si>
  <si>
    <t>18.94.10</t>
  </si>
  <si>
    <t xml:space="preserve">For 34.00 mm outer dia x 32 mm nominal dia threaded </t>
  </si>
  <si>
    <t>18.94.11</t>
  </si>
  <si>
    <t xml:space="preserve">For 42.70 mm outer dia x 15 mm nominal dia threaded </t>
  </si>
  <si>
    <t>18.94.12</t>
  </si>
  <si>
    <t xml:space="preserve">For 42.70 mm outer dia x 20 mm nominal dia threaded </t>
  </si>
  <si>
    <t>18.94.13</t>
  </si>
  <si>
    <t xml:space="preserve">For 42.70 mm outer dia x 25 mm nominal dia threaded </t>
  </si>
  <si>
    <t>18.94.14</t>
  </si>
  <si>
    <t xml:space="preserve">For 42.70 mm outer dia x 32 mm nominal dia threaded </t>
  </si>
  <si>
    <t>18.94.15</t>
  </si>
  <si>
    <t xml:space="preserve">For 42.70 mm outer dia x 40 mm nominal dia threaded </t>
  </si>
  <si>
    <t>18.94.16</t>
  </si>
  <si>
    <t xml:space="preserve">For 48.60 mm outer dia x 15 mm nominal dia threaded </t>
  </si>
  <si>
    <t>18.94.17</t>
  </si>
  <si>
    <t xml:space="preserve">For 48.60 mm outer dia x 20 mm nominal dia threaded </t>
  </si>
  <si>
    <t>18.94.18</t>
  </si>
  <si>
    <t xml:space="preserve">For 48.60 mm outer dia x 25 mm nominal dia threaded </t>
  </si>
  <si>
    <t>18.94.19</t>
  </si>
  <si>
    <t xml:space="preserve">For 48.60 mm outer dia x 32 mm nominal dia threaded </t>
  </si>
  <si>
    <t>18.94.20</t>
  </si>
  <si>
    <t xml:space="preserve">For 48.60 mm outer dia x 40 mm nominal dia threaded </t>
  </si>
  <si>
    <t>18.94.21</t>
  </si>
  <si>
    <t xml:space="preserve">For 48.60 mm outer dia x 50 mm nominal dia threaded </t>
  </si>
  <si>
    <t>18.95</t>
  </si>
  <si>
    <t xml:space="preserve">P/F Stainless Steel Fitting of press fit design of grade 316L : Female Thread Tee </t>
  </si>
  <si>
    <t xml:space="preserve">Providing and fixing required Stainless Steel Fitting of press fit design of grade AISI 304 conforming to JWWA G116 standard with V-profile or M-profile and with O-ring sealing gasket of EPDM material of required dia as per direction of Engineer-in-charge : Female Thread Tee </t>
  </si>
  <si>
    <t>18.95.1</t>
  </si>
  <si>
    <t>18.95.2</t>
  </si>
  <si>
    <t>18.95.3</t>
  </si>
  <si>
    <t>18.95.4</t>
  </si>
  <si>
    <t>18.95.5</t>
  </si>
  <si>
    <t>18.95.6</t>
  </si>
  <si>
    <t>18.95.7</t>
  </si>
  <si>
    <t>18.95.8</t>
  </si>
  <si>
    <t>18.95.9</t>
  </si>
  <si>
    <t>18.95.10</t>
  </si>
  <si>
    <t>18.95.11</t>
  </si>
  <si>
    <t>18.95.12</t>
  </si>
  <si>
    <t>18.95.13</t>
  </si>
  <si>
    <t>18.95.14</t>
  </si>
  <si>
    <t>18.95.15</t>
  </si>
  <si>
    <t>18.95.16</t>
  </si>
  <si>
    <t>18.95.17</t>
  </si>
  <si>
    <t>18.95.18</t>
  </si>
  <si>
    <t>18.95.19</t>
  </si>
  <si>
    <t>18.95.20</t>
  </si>
  <si>
    <t>18.95.21</t>
  </si>
  <si>
    <t>18.95A</t>
  </si>
  <si>
    <t xml:space="preserve">P/F Stainless Steel Fitting of press fit design of grade 316L - Female Thread Tee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</si>
  <si>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Female Thread Tee </t>
  </si>
  <si>
    <t>18.95A.1</t>
  </si>
  <si>
    <t xml:space="preserve">For 15 mm outer dia x 1/2" nominal dia threaded </t>
  </si>
  <si>
    <t xml:space="preserve">each                                      </t>
  </si>
  <si>
    <t>18.95A.2</t>
  </si>
  <si>
    <t xml:space="preserve">For 22 mm outer dia x 1/2" nominal dia threaded </t>
  </si>
  <si>
    <t>18.95A.3</t>
  </si>
  <si>
    <t xml:space="preserve">For 22 mm outer dia x 3/4" nominal dia threaded </t>
  </si>
  <si>
    <t>18.95A.4</t>
  </si>
  <si>
    <t xml:space="preserve">For 28 mm outer dia x 1/2" nominal dia threaded </t>
  </si>
  <si>
    <t>18.95A.5</t>
  </si>
  <si>
    <t xml:space="preserve">For 28 mm outer dia x 3/4" nominal dia threaded </t>
  </si>
  <si>
    <t>18.95A.6</t>
  </si>
  <si>
    <t xml:space="preserve">For 28 mm outer dia x 1" nominal dia threaded </t>
  </si>
  <si>
    <t>18.95A.7</t>
  </si>
  <si>
    <t xml:space="preserve">For 35 mm outer dia x 1/2" nominal dia threaded </t>
  </si>
  <si>
    <t>18.95A.8</t>
  </si>
  <si>
    <t xml:space="preserve">For 35 mm outer dia x 1-1/4" nominal dia threaded </t>
  </si>
  <si>
    <t>18.95A.9</t>
  </si>
  <si>
    <t xml:space="preserve">For 42 mm outer dia x 1-1/4" nominal dia threaded </t>
  </si>
  <si>
    <t>18.95A.10</t>
  </si>
  <si>
    <t xml:space="preserve">For 54 mm outer dia x 1-1/2" nominal dia threaded </t>
  </si>
  <si>
    <t>18.95A.11</t>
  </si>
  <si>
    <t xml:space="preserve">For 54 mm outer dia x 2" nominal dia threaded </t>
  </si>
  <si>
    <t>18.96</t>
  </si>
  <si>
    <t xml:space="preserve">P/F Stainless Steel Fitting of press fit design of grade 316L : Female Thread Connector/Adapter. </t>
  </si>
  <si>
    <t xml:space="preserve">Providing and fixing required Stainless Steel Fitting of press fit design of grade AISI 304 conforming to JWWA G116 standard with V-profile or M-profile and with O-ring sealing gasket of EPDM material of required dia as per direction of Engineer-in-charge : Female Thread Connector/Adapter. </t>
  </si>
  <si>
    <t>18.96.1</t>
  </si>
  <si>
    <t>18.96.2</t>
  </si>
  <si>
    <t>18.96.3</t>
  </si>
  <si>
    <t>18.96.4</t>
  </si>
  <si>
    <t>18.96.5</t>
  </si>
  <si>
    <t>18.96.6</t>
  </si>
  <si>
    <t>18.96.7</t>
  </si>
  <si>
    <t>18.96.8</t>
  </si>
  <si>
    <t>18.96.9</t>
  </si>
  <si>
    <t>18.96.10</t>
  </si>
  <si>
    <t>18.96.11</t>
  </si>
  <si>
    <t>18.96.12</t>
  </si>
  <si>
    <t>18.96A</t>
  </si>
  <si>
    <t xml:space="preserve">P/F Stainless Steel Fitting of press fit design of grade 316L - Female Thread Connector/Adapter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</si>
  <si>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Female Thread Connector/Adapter </t>
  </si>
  <si>
    <t>18.96A.1</t>
  </si>
  <si>
    <t>18.96A.2</t>
  </si>
  <si>
    <t>18.96A.3</t>
  </si>
  <si>
    <t>18.96A.4</t>
  </si>
  <si>
    <t xml:space="preserve">For 28 mm outer dia x1" nominal dia threaded </t>
  </si>
  <si>
    <t>18.96A.5</t>
  </si>
  <si>
    <t>18.96A.6</t>
  </si>
  <si>
    <t xml:space="preserve">For 42 mm outer dia x1-1/2" nominal dia threaded </t>
  </si>
  <si>
    <t>18.96A.7</t>
  </si>
  <si>
    <t>18.97</t>
  </si>
  <si>
    <t xml:space="preserve">P/F Stainless Steel Fitting of press fit design of grade 316L : Male Thread Connector/Adapter </t>
  </si>
  <si>
    <t xml:space="preserve">Providing and fixing required Stainless Steel Fitting of press fit design of grade AISI 304 conforming to JWWA G116 standard with V-profile or M-profile and with O-ring sealing gasket of EPDM material of required dia as per direction of Engineer-in-charge : Male Thread Connector/Adapter </t>
  </si>
  <si>
    <t>18.97.1</t>
  </si>
  <si>
    <t>18.97.2</t>
  </si>
  <si>
    <t>18.97.3</t>
  </si>
  <si>
    <t>18.97.4</t>
  </si>
  <si>
    <t>18.97.5</t>
  </si>
  <si>
    <t>18.97.6</t>
  </si>
  <si>
    <t>18.97.7</t>
  </si>
  <si>
    <t>18.97.8</t>
  </si>
  <si>
    <t>18.97.9</t>
  </si>
  <si>
    <t>18.97.10</t>
  </si>
  <si>
    <t>18.97.11</t>
  </si>
  <si>
    <t>18.97A</t>
  </si>
  <si>
    <t xml:space="preserve">P/F Stainless Steel Fitting of press fit design of grade 316L - Male Thread Connector/Adapter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</si>
  <si>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Male Thread Connector/Adapter </t>
  </si>
  <si>
    <t>18.97A.1</t>
  </si>
  <si>
    <t>18.97A.2</t>
  </si>
  <si>
    <t>18.97A.3</t>
  </si>
  <si>
    <t>18.97A.4</t>
  </si>
  <si>
    <t>18.97A.5</t>
  </si>
  <si>
    <t>18.97A.6</t>
  </si>
  <si>
    <t>18.97A.7</t>
  </si>
  <si>
    <t>18.98</t>
  </si>
  <si>
    <t xml:space="preserve">P/F Stainless Steel Fitting of press fit design of grade 316L : Valve Connector </t>
  </si>
  <si>
    <t xml:space="preserve">Providing and fixing required Stainless Steel Fitting of press fit design of grade AISI 304 conforming to JWWA G116 standard with V-profile or M-profile and with O-ring sealing gasket of EPDM material of required dia as per direction of Engineer-in-charge : Valve Connector </t>
  </si>
  <si>
    <t>18.98.1</t>
  </si>
  <si>
    <t>18.98.2</t>
  </si>
  <si>
    <t>18.98.3</t>
  </si>
  <si>
    <t>18.98.4</t>
  </si>
  <si>
    <t>18.98.5</t>
  </si>
  <si>
    <t>18.98.6</t>
  </si>
  <si>
    <t>18.98.7</t>
  </si>
  <si>
    <t>18.99</t>
  </si>
  <si>
    <t xml:space="preserve">P/F Stainless Steel Fitting of press fit design of grade 316L : Female Threaded Elbow 90 degrees. </t>
  </si>
  <si>
    <t xml:space="preserve">Providing and fixing required Stainless Steel Fitting of press fit design of grade AISI 304 conforming to JWWA G116 standard with V-profile or M-profile and with O-ring sealing gasket of EPDM material of required dia as per direction of Engineer-in-charge : Female Threaded Elbow 90 degrees. </t>
  </si>
  <si>
    <t>18.99.1</t>
  </si>
  <si>
    <t>18.99.2</t>
  </si>
  <si>
    <t>18.99.3</t>
  </si>
  <si>
    <t>18.99.4</t>
  </si>
  <si>
    <t>18.99.5</t>
  </si>
  <si>
    <t>18.99.6</t>
  </si>
  <si>
    <t>18.99.7</t>
  </si>
  <si>
    <t>18.99.8</t>
  </si>
  <si>
    <t>18.99.9</t>
  </si>
  <si>
    <t>18.99A</t>
  </si>
  <si>
    <t xml:space="preserve">P/F Stainless Steel Fitting of press fit design of grade 316L - Female Threaded Elbow 90 degrees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</si>
  <si>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Female Threaded Elbow 90 degrees </t>
  </si>
  <si>
    <t>18.99A.1</t>
  </si>
  <si>
    <t>18.99A.2</t>
  </si>
  <si>
    <t>18.99A.3</t>
  </si>
  <si>
    <t>18.99A.4</t>
  </si>
  <si>
    <t xml:space="preserve">For 35 mm outer dia x1-1/4" nominal dia threaded </t>
  </si>
  <si>
    <t>18.99A.5</t>
  </si>
  <si>
    <t xml:space="preserve">For 42 mm outer dia x 1-1/2" nominal dia threaded </t>
  </si>
  <si>
    <t>18.99A.6</t>
  </si>
  <si>
    <t>18.100</t>
  </si>
  <si>
    <t xml:space="preserve">P/F Stainless Steel Fitting of press fit design of grade AISI 304 : Male Threaded Elbow 90 degrees </t>
  </si>
  <si>
    <t xml:space="preserve">Providing and fixing required Stainless Steel Fitting of press fit design of grade AISI 304 conforming to JWWA G116 standard with V-profile or M-profile and with O-ring sealing gasket of EPDM material of required dia as per direction of Engineer-in-charge : Male Threaded Elbow 90 degrees </t>
  </si>
  <si>
    <t>18.100.1</t>
  </si>
  <si>
    <t>18.100.2</t>
  </si>
  <si>
    <t>18.100.3</t>
  </si>
  <si>
    <t>18.100.4</t>
  </si>
  <si>
    <t>18.100.5</t>
  </si>
  <si>
    <t>18.100.6</t>
  </si>
  <si>
    <t>18.100.7</t>
  </si>
  <si>
    <t>18.100.8</t>
  </si>
  <si>
    <t>18.100.9</t>
  </si>
  <si>
    <t>18.100.10</t>
  </si>
  <si>
    <t>18.100A</t>
  </si>
  <si>
    <t xml:space="preserve">P/F Stainless Steel Fitting of press fit design of grade 316L - Male Threaded Elbow 90 degrees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</si>
  <si>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Male Threaded Elbow 90 degrees </t>
  </si>
  <si>
    <t>18.100A.1</t>
  </si>
  <si>
    <t>18.100A.2</t>
  </si>
  <si>
    <t>18.100A.3</t>
  </si>
  <si>
    <t>18.100A.4</t>
  </si>
  <si>
    <t>18.100A.5</t>
  </si>
  <si>
    <t>18.100A.6</t>
  </si>
  <si>
    <t>18.101</t>
  </si>
  <si>
    <t xml:space="preserve">P/F Stainless Steel Fitting of press fit design of grade AISI 304 : Cap </t>
  </si>
  <si>
    <t xml:space="preserve">Providing and fixing required Stainless Steel Fitting of press fit design of grade AISI 304 conforming to JWWA G116 standard with V-profile or M-profile and with O-ring sealing gasket of EPDM material of required dia as per direction of Engineer-in-charge. : Cap </t>
  </si>
  <si>
    <t>18.101.1</t>
  </si>
  <si>
    <t>18.101.2</t>
  </si>
  <si>
    <t>18.101.3</t>
  </si>
  <si>
    <t>18.101.4</t>
  </si>
  <si>
    <t>18.101.5</t>
  </si>
  <si>
    <t>18.101.6</t>
  </si>
  <si>
    <t>18.101A</t>
  </si>
  <si>
    <t xml:space="preserve">P/F Stainless Steel Fitting of press fit design of grade 316L - Cap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</si>
  <si>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Cap </t>
  </si>
  <si>
    <t>18.101A.1</t>
  </si>
  <si>
    <t>18.101A.2</t>
  </si>
  <si>
    <t>18.101A.3</t>
  </si>
  <si>
    <t>18.101A.4</t>
  </si>
  <si>
    <t>18.101A.5</t>
  </si>
  <si>
    <t>18.101A.6</t>
  </si>
  <si>
    <t>18.102</t>
  </si>
  <si>
    <t xml:space="preserve">P/F Stainless Steel Fitting of press fit design of grade AISI 304 : Pipe Bridge </t>
  </si>
  <si>
    <t xml:space="preserve">Providing and fixing required Stainless Steel Fitting of press fit design of grade AISI 304 conforming to JWWA G116 standard with V-profile or M-profile and with O-ring sealing gasket of EPDM material of required dia as per direction of Engineer-in-charge. : Pipe Bridge </t>
  </si>
  <si>
    <t>18.102.1</t>
  </si>
  <si>
    <t>18.102.2</t>
  </si>
  <si>
    <t>18.102.3</t>
  </si>
  <si>
    <t>18.102A</t>
  </si>
  <si>
    <t xml:space="preserve">P/F Stainless Steel Fitting of press fit design of grade 316L - Pipe Bridge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</si>
  <si>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Pipe Bridge </t>
  </si>
  <si>
    <t>18.102A.1</t>
  </si>
  <si>
    <t>18.102A.2</t>
  </si>
  <si>
    <t>18.102A.3</t>
  </si>
  <si>
    <t>18.103</t>
  </si>
  <si>
    <t xml:space="preserve">P/F Stainless Steel Fitting of press fit design of grade 316L - Male Union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</si>
  <si>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Male Union </t>
  </si>
  <si>
    <t>18.103.1</t>
  </si>
  <si>
    <t>18.103.2</t>
  </si>
  <si>
    <t>18.103.3</t>
  </si>
  <si>
    <t>18.103.4</t>
  </si>
  <si>
    <t>18.103.5</t>
  </si>
  <si>
    <t>18.103.6</t>
  </si>
  <si>
    <t>18.103.7</t>
  </si>
  <si>
    <t>18.104</t>
  </si>
  <si>
    <t xml:space="preserve">P/F Stainless Steel Fitting of press fit design of grade 316L - Female Transition Elbow / FTE - Female Union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</si>
  <si>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Female Union </t>
  </si>
  <si>
    <t>18.104.1</t>
  </si>
  <si>
    <t>18.104.2</t>
  </si>
  <si>
    <t>18.105</t>
  </si>
  <si>
    <t xml:space="preserve">P/F Stainless Steel Fitting of press fit design of grade 316L - Female Transition Elbow / FTE </t>
  </si>
  <si>
    <t xml:space="preserve">Providing and fixing required Stainless Steel Fitting of press fit design of grade 316L as per IS 6911:2017 and conforming to EN-10312 standard with V-profile and with O-ring sealing gasket of EPDM material of required dia as per direction of Engineer-in-charge - Female Transition Elbow / FTE </t>
  </si>
  <si>
    <t>18.105.1</t>
  </si>
  <si>
    <t>18.105.2</t>
  </si>
  <si>
    <t>18.105.3</t>
  </si>
  <si>
    <t xml:space="preserve">Total of the Sub-Head - Water Supply :  </t>
  </si>
  <si>
    <t xml:space="preserve">        Sub-Head : Drainage</t>
  </si>
  <si>
    <t>19.1</t>
  </si>
  <si>
    <t xml:space="preserve">P/L SW pipes with cement mortar of 1 : 1 : </t>
  </si>
  <si>
    <t xml:space="preserve">Providing, laying and jointing glazed stoneware pipes class SP-1 with stiff mixture of cement mortar in the proportion of 1:1 (1 cement : 1 fine sand) including testing of joints etc. complete : </t>
  </si>
  <si>
    <t>19.1.1</t>
  </si>
  <si>
    <t>19.1.2</t>
  </si>
  <si>
    <t>19.1.3</t>
  </si>
  <si>
    <t>19.1.4</t>
  </si>
  <si>
    <t xml:space="preserve">230 mm dia. </t>
  </si>
  <si>
    <t>19.1.5</t>
  </si>
  <si>
    <t xml:space="preserve">250 mm dia. </t>
  </si>
  <si>
    <t>19.2</t>
  </si>
  <si>
    <t xml:space="preserve">P/L CC 1:5:10 allround SW pipes : </t>
  </si>
  <si>
    <t xml:space="preserve">Providing and laying cement concrete 1:5:10 (1 cement : 5 coarse sand : 10 graded stone aggregate 40 mm nominal size) all-round S.W. pipes including bed concrete as per standard design : </t>
  </si>
  <si>
    <t>19.2.1</t>
  </si>
  <si>
    <t xml:space="preserve">100 mm diameter S.W. pipe </t>
  </si>
  <si>
    <t>19.2.2</t>
  </si>
  <si>
    <t xml:space="preserve">150 mm diameter S.W. pipe </t>
  </si>
  <si>
    <t>19.2.3</t>
  </si>
  <si>
    <t xml:space="preserve">200 mm diameter S.W. pipe </t>
  </si>
  <si>
    <t>19.2.4</t>
  </si>
  <si>
    <t xml:space="preserve">250 mm diameter S.W. pipe </t>
  </si>
  <si>
    <t>19.3</t>
  </si>
  <si>
    <t xml:space="preserve">P/L CC 1:5:10 upto haunches of SW pipes : </t>
  </si>
  <si>
    <t xml:space="preserve">Providing and laying cement concrete 1:5:10 (1 cement : 5 coarse sand : 10 graded stone aggregate 40 mm nominal size) up to haunches of S.W. pipes including bed concrete as per standard design : </t>
  </si>
  <si>
    <t>19.3.1</t>
  </si>
  <si>
    <t>19.3.2</t>
  </si>
  <si>
    <t>19.3.3</t>
  </si>
  <si>
    <t>19.3.4</t>
  </si>
  <si>
    <t>19.3.5</t>
  </si>
  <si>
    <t xml:space="preserve">300 mm diameter S.W. pipe </t>
  </si>
  <si>
    <t>19.4</t>
  </si>
  <si>
    <t xml:space="preserve">P/L SW gully trap with CI grating, masonry chamber and CI cover with frame : </t>
  </si>
  <si>
    <t xml:space="preserve">Providing and fixing square-mouth S.W. gully trap class SP-1 complete with C.I. grating brick masonry chamber with water tight C.I. cover with frame of 300 x300 mm size (inside) the weight of cover to be not less than 4.50 kg and frame to be not less than 2.70 kg as per standard design: </t>
  </si>
  <si>
    <t>19.4.1</t>
  </si>
  <si>
    <t xml:space="preserve">100 x 100 mm size P type : </t>
  </si>
  <si>
    <t xml:space="preserve">100x100 mm size P type </t>
  </si>
  <si>
    <t>19.4.1.1</t>
  </si>
  <si>
    <t>19.4.1.2</t>
  </si>
  <si>
    <t xml:space="preserve">With Sewer bricks IS: 4885. </t>
  </si>
  <si>
    <t xml:space="preserve">With Sewer bricks conforming to IS : 4885 </t>
  </si>
  <si>
    <t>19.4.2</t>
  </si>
  <si>
    <t xml:space="preserve">150 x 100 mm size P type : </t>
  </si>
  <si>
    <t xml:space="preserve">150 x 100 mm size P type. </t>
  </si>
  <si>
    <t>19.4.2.1</t>
  </si>
  <si>
    <t>19.4.2.2</t>
  </si>
  <si>
    <t xml:space="preserve">With sewer bricks conforming to IS : 4885 </t>
  </si>
  <si>
    <t>19.4.3</t>
  </si>
  <si>
    <t xml:space="preserve">180 x 150 mm size P type : </t>
  </si>
  <si>
    <t xml:space="preserve">180x150 mm size P type </t>
  </si>
  <si>
    <t>19.4.3.1</t>
  </si>
  <si>
    <t>19.4.3.2</t>
  </si>
  <si>
    <t>19.5</t>
  </si>
  <si>
    <t xml:space="preserve">Dismantling of old S.W pipes including breaking of joints and bed concrete : </t>
  </si>
  <si>
    <t xml:space="preserve">Dismantling of old S.W. pipes including breaking of joints and bed concrete stacking of useful materials near the site within 50 m lead and disposal of unserviceable materials into municipal dumps : </t>
  </si>
  <si>
    <t>19.5.1</t>
  </si>
  <si>
    <t xml:space="preserve">100 mm diameter. </t>
  </si>
  <si>
    <t>19.5.2</t>
  </si>
  <si>
    <t xml:space="preserve">150 mm diameter. </t>
  </si>
  <si>
    <t>19.5.3</t>
  </si>
  <si>
    <t xml:space="preserve">200 mm diameter. </t>
  </si>
  <si>
    <t>19.5.4</t>
  </si>
  <si>
    <t xml:space="preserve">230 mm diameter. </t>
  </si>
  <si>
    <t>19.5.5</t>
  </si>
  <si>
    <t xml:space="preserve">250 mm diameter. </t>
  </si>
  <si>
    <t>19.5.6</t>
  </si>
  <si>
    <t xml:space="preserve">300 mm diameter. </t>
  </si>
  <si>
    <t xml:space="preserve">350 mm diameter </t>
  </si>
  <si>
    <t>19.5.7</t>
  </si>
  <si>
    <t xml:space="preserve">350 mm diameter. </t>
  </si>
  <si>
    <t xml:space="preserve">400 mm diameter </t>
  </si>
  <si>
    <t>19.5.8</t>
  </si>
  <si>
    <t xml:space="preserve">400 mm diameter. </t>
  </si>
  <si>
    <t xml:space="preserve">450 mm diameter </t>
  </si>
  <si>
    <t>19.6</t>
  </si>
  <si>
    <t xml:space="preserve">P/L RCC NP2 class pipes with coller jointed cement mortar 1 : 2 fine sand :- </t>
  </si>
  <si>
    <t xml:space="preserve">Providing and laying non-pressure NP2 class (light duty) R.C.C. pipes with collars jointed with stiff mixture of cement mortar in the proportion of 1:2 (1 cement : 2 fine sand) including testing of joints etc. complete : </t>
  </si>
  <si>
    <t>19.6.1</t>
  </si>
  <si>
    <t xml:space="preserve">100 mm dia RCC pipe . </t>
  </si>
  <si>
    <t xml:space="preserve">100 mm dia. R.C.C. pipe </t>
  </si>
  <si>
    <t>19.6.2</t>
  </si>
  <si>
    <t xml:space="preserve">150 mm dia RCC pipe . </t>
  </si>
  <si>
    <t xml:space="preserve">150 mm dia. R.C.C. pipe </t>
  </si>
  <si>
    <t>19.6.3</t>
  </si>
  <si>
    <t xml:space="preserve">250 mm dia RCC pipe . </t>
  </si>
  <si>
    <t xml:space="preserve">250 mm dia. R.C.C. pipe </t>
  </si>
  <si>
    <t>19.6.4</t>
  </si>
  <si>
    <t xml:space="preserve">300 mm dia RCC pipe . </t>
  </si>
  <si>
    <t xml:space="preserve">300 mm dia. R.C.C. pipe </t>
  </si>
  <si>
    <t>19.6.5</t>
  </si>
  <si>
    <t xml:space="preserve">450 mm dia RCC pipe . </t>
  </si>
  <si>
    <t xml:space="preserve">450 mm dia. R.C.C. pipe </t>
  </si>
  <si>
    <t>19.6.6</t>
  </si>
  <si>
    <t xml:space="preserve">500 mm dia RCC pipe . </t>
  </si>
  <si>
    <t xml:space="preserve">500 mm dia. R.C.C. pipe </t>
  </si>
  <si>
    <t>19.6.7</t>
  </si>
  <si>
    <t xml:space="preserve">600 mm dia RCC pipe . </t>
  </si>
  <si>
    <t xml:space="preserve">600 mm dia. R.C.C. pipe </t>
  </si>
  <si>
    <t>19.6.8</t>
  </si>
  <si>
    <t xml:space="preserve">700 mm dia RCC pipe . </t>
  </si>
  <si>
    <t xml:space="preserve">700 mm dia. R.C.C. pipe </t>
  </si>
  <si>
    <t>19.6.9</t>
  </si>
  <si>
    <t xml:space="preserve">800 mm dia. </t>
  </si>
  <si>
    <t xml:space="preserve">800 mm dia. R.C.C. pipe </t>
  </si>
  <si>
    <t>19.6.10</t>
  </si>
  <si>
    <t xml:space="preserve">900 mm dia. </t>
  </si>
  <si>
    <t xml:space="preserve">900 mm dia. R.C.C. pipe </t>
  </si>
  <si>
    <t>19.6.11</t>
  </si>
  <si>
    <t xml:space="preserve">1000 mm dia. </t>
  </si>
  <si>
    <t xml:space="preserve">1000 mm dia. R.C.C. pipe </t>
  </si>
  <si>
    <t>19.6.12</t>
  </si>
  <si>
    <t xml:space="preserve">1100 mm dia. </t>
  </si>
  <si>
    <t xml:space="preserve">1100 mm dia. R.C.C. pipe </t>
  </si>
  <si>
    <t>19.6.13</t>
  </si>
  <si>
    <t xml:space="preserve">1200 mm dia. </t>
  </si>
  <si>
    <t xml:space="preserve">1200 mm dia. R.C.C. pipe </t>
  </si>
  <si>
    <t>19.7</t>
  </si>
  <si>
    <t xml:space="preserve">Constructing brick masonry manhole in cement mortar 1:4, RCC top slab and making channel CC 1:2:4 :- </t>
  </si>
  <si>
    <t xml:space="preserve">Constructing brick masonry manhole in cement mortar 1:4 ( 1 cement : 4 coarse sand ) with R.C.C. top slab with 1:1.5:3 mix (1 cement : 1.5 coarse sand (zone-III) : 3 graded stone aggregate 20 mm nominal size), foundation concrete 1:4:8 mix (1 cement : 4 coarse sand (zone-III)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t>
  </si>
  <si>
    <t>19.7.1</t>
  </si>
  <si>
    <t xml:space="preserve">inside size 90x80 cm 45 cm deep i/c CI cover with frame (LD). </t>
  </si>
  <si>
    <t xml:space="preserve">Inside size 90x80 cm and 45 cm deep including C.I. cover with frame (light duty) 455x610 mm internal dimensions, total weight of cover and frame to be not less than 38 kg (weight of cover 23 kg and weight of frame 15 kg) : </t>
  </si>
  <si>
    <t>19.7.1.1</t>
  </si>
  <si>
    <t xml:space="preserve">with FPS bricks class designation 7.5. </t>
  </si>
  <si>
    <t>19.7.1.2</t>
  </si>
  <si>
    <t>19.7.2</t>
  </si>
  <si>
    <t xml:space="preserve">inside size 120 x 90 x 90 cm i/c CI cover with frame 500 mm dia (MD). </t>
  </si>
  <si>
    <t xml:space="preserve">Inside size 120x90 cm and 90 cm deep including C.I. cover with frame (medium duty) 500 mm internal diameter, total weight of cover and frame to be not less than 1 16 kg (weight of cover 58 kg and weight of frame 58 kg) : </t>
  </si>
  <si>
    <t>19.7.2.1</t>
  </si>
  <si>
    <t xml:space="preserve">with FPS bricks class 75 </t>
  </si>
  <si>
    <t>19.7.2.2</t>
  </si>
  <si>
    <t xml:space="preserve">With Sewer bricks conforming to IS : 4885. </t>
  </si>
  <si>
    <t>19.7.3</t>
  </si>
  <si>
    <t xml:space="preserve">inside size 120 x 90 x 90 cm i/c CI cover with frame 560 mm dia (MD). </t>
  </si>
  <si>
    <t xml:space="preserve">Inside size 120x90 cm and 90 cm deep including C.I. cover with frame (heavy duty) 560 mm internal diameter, total weight of cover and frame to be not less than 208 kg (weight of cover 108 kg and weight of frame 100 kg) : </t>
  </si>
  <si>
    <t>19.7.3.1</t>
  </si>
  <si>
    <t>19.7.3.2</t>
  </si>
  <si>
    <t xml:space="preserve">With sewer bricks IS: 4885. </t>
  </si>
  <si>
    <t>19.8</t>
  </si>
  <si>
    <t xml:space="preserve">Extra for depth of manholes </t>
  </si>
  <si>
    <t xml:space="preserve">Extra for depth for manholes </t>
  </si>
  <si>
    <t>19.8.1</t>
  </si>
  <si>
    <t xml:space="preserve">Size 90 x 80 cm : </t>
  </si>
  <si>
    <t xml:space="preserve">Size 90x80 cm </t>
  </si>
  <si>
    <t>19.8.1.1</t>
  </si>
  <si>
    <t xml:space="preserve">with FPS bricks. </t>
  </si>
  <si>
    <t>19.8.1.2</t>
  </si>
  <si>
    <t xml:space="preserve">With sewer bricks IS : 4885. </t>
  </si>
  <si>
    <t>19.8.2</t>
  </si>
  <si>
    <t xml:space="preserve">Size 120 x 90 cm : </t>
  </si>
  <si>
    <t xml:space="preserve">Size 120x90 cm </t>
  </si>
  <si>
    <t>19.8.2.1</t>
  </si>
  <si>
    <t xml:space="preserve">with F.P.S. bricks . </t>
  </si>
  <si>
    <t>19.8.2.2</t>
  </si>
  <si>
    <t>19.9</t>
  </si>
  <si>
    <t xml:space="preserve">Constructing brick masonry circular manhole 1.22 m dia. at bottom and 0.56 m dia at top : </t>
  </si>
  <si>
    <t xml:space="preserve">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t>
  </si>
  <si>
    <t>19.9.1</t>
  </si>
  <si>
    <t xml:space="preserve">0.91 m deep with SFRC cover and frame (HD20 grade) 560mm internal diameter, total weight not less than 182 Kg </t>
  </si>
  <si>
    <t xml:space="preserve">0.91 m deep with S.F .R.C. cover and frame (heavy duty ,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12mm thick cement plaster at the external surface shall be paid for separately) : </t>
  </si>
  <si>
    <t>19.9.1.1</t>
  </si>
  <si>
    <t xml:space="preserve">With bricks of class designation 7.5. </t>
  </si>
  <si>
    <t>19.9.1.2</t>
  </si>
  <si>
    <t>19.10</t>
  </si>
  <si>
    <t xml:space="preserve">Extra depth for circuler type manhole 0.91 m internal dia. </t>
  </si>
  <si>
    <t xml:space="preserve">Extra depth for circular type manhole 0.91 m internal dia (at bottom) beyond 0.91 m to 1.67 m </t>
  </si>
  <si>
    <t>19.10.1</t>
  </si>
  <si>
    <t xml:space="preserve">with bricks of class designation 7.5. </t>
  </si>
  <si>
    <t>19.10.2</t>
  </si>
  <si>
    <t xml:space="preserve">With sewer brick IS : 4885. </t>
  </si>
  <si>
    <t xml:space="preserve">With Sewer bricks conforming IS : 4885 </t>
  </si>
  <si>
    <t>19.11</t>
  </si>
  <si>
    <t xml:space="preserve">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t>
  </si>
  <si>
    <t>19.11.1</t>
  </si>
  <si>
    <t xml:space="preserve">1.68 m deep with SFRC cover and frame (HD20 grade) 560mm internal diameter, total weight not less than 182 Kg </t>
  </si>
  <si>
    <t xml:space="preserve">1.68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t>
  </si>
  <si>
    <t>19.11.1.1</t>
  </si>
  <si>
    <t>19.11.1.2</t>
  </si>
  <si>
    <t>19.12</t>
  </si>
  <si>
    <t xml:space="preserve">Extra depth for circuler type manhole 1.22 m internal dia. </t>
  </si>
  <si>
    <t xml:space="preserve">Extra depth for circular type manhole 1.22 m internal dia (at bottom) beyond 1.68 m to 2.29 m : </t>
  </si>
  <si>
    <t>19.12.1</t>
  </si>
  <si>
    <t>19.12.2</t>
  </si>
  <si>
    <t>19.13</t>
  </si>
  <si>
    <t xml:space="preserve">Constructing brick masonry circular manhole 1.52 Mtr internal dia at bottom and 0.56 m dia. at top : </t>
  </si>
  <si>
    <t xml:space="preserve">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t>
  </si>
  <si>
    <t>19.13.1</t>
  </si>
  <si>
    <t xml:space="preserve">2.30 m deep with SFRC Cover and fram e(HD20 grade) 560mm internal diameter, total weight not less than 182 Kg </t>
  </si>
  <si>
    <t xml:space="preserve">2.30 m deep with SFRC Cover and frame (heavy duty HD-20 grade designation) 560 mm internal diameter conforming to I.S. 12592, total weight of cover and frame to be not less than 182 kg. fixed in cement concrete 1:2:4 (1 cement : 2 coarse sand : 4 graded stone aggregate 20 mm nominal size) including centering, shuttering all complete. (Excavation, foot rests and 12 mm thick cement plaster at the external surface shall be paid for separately) : </t>
  </si>
  <si>
    <t>19.13.1.1</t>
  </si>
  <si>
    <t>19.13.1.2</t>
  </si>
  <si>
    <t>19.14</t>
  </si>
  <si>
    <t xml:space="preserve">Extra depth for circuler type manhole 1.52 M internal dia. beyond 2.30 metre: </t>
  </si>
  <si>
    <t xml:space="preserve">Extra depth for circular type manhole 1.52 m internal dia (at bottom) beyond 2.30 m : </t>
  </si>
  <si>
    <t>19.14.1</t>
  </si>
  <si>
    <t>19.14.2</t>
  </si>
  <si>
    <t>19.15</t>
  </si>
  <si>
    <t xml:space="preserve">Providing MS foot rests in manholes </t>
  </si>
  <si>
    <t xml:space="preserve">Providing M.S. foot rests including fixing in manholes with 20x20x10 cm cement concrete blocks 1:3:6 (1 cement : 3 coarse sand : 6 graded stone aggregate 20 mm nominal size) as per standard design : </t>
  </si>
  <si>
    <t>19.15.1</t>
  </si>
  <si>
    <t xml:space="preserve">with 20 x 20 mm square bar. </t>
  </si>
  <si>
    <t xml:space="preserve">With 20x20 mm square bar </t>
  </si>
  <si>
    <t>19.15.2</t>
  </si>
  <si>
    <t xml:space="preserve">With 20 mm dia. round bar. </t>
  </si>
  <si>
    <t xml:space="preserve">With 20 mm diameter round bar </t>
  </si>
  <si>
    <t>19.16</t>
  </si>
  <si>
    <t xml:space="preserve">Providing orange colour safety foot rest of minimum 6mm thick plastic encapsulated as per IS : 10910 on 12 mm dia steel bar conforming to IS : 1786. </t>
  </si>
  <si>
    <t xml:space="preserve">Providing orange colour safety foot rest of minimum 6 mm thick plastic encapsulated as per IS : 10910, on 12 mm dia steel bar conforming to IS: 1786, having minimum cross section as 23 mmx25 mm and over all minimum length 263 mm and width as 165 mm with minimum 1 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 </t>
  </si>
  <si>
    <t>19.17</t>
  </si>
  <si>
    <t xml:space="preserve">Replacement of MS foot rests in manholes including dismantling concrete blocks: </t>
  </si>
  <si>
    <t xml:space="preserve">Replacement of M.S. foot rests in manholes including dismantling concrete blocks and fixing with 20x20x10 cm cement concrete blocks 1:3:6 (1 cement : 3 coarse sand : 6 graded stone aggregate 20 mm nominal size) : </t>
  </si>
  <si>
    <t>19.17.1</t>
  </si>
  <si>
    <t xml:space="preserve">With 20 x 20 mm square bar. </t>
  </si>
  <si>
    <t>19.17.2</t>
  </si>
  <si>
    <t xml:space="preserve">With 20 mm diameter round bar. </t>
  </si>
  <si>
    <t>19.18</t>
  </si>
  <si>
    <t xml:space="preserve">S/F CI cover without frames : </t>
  </si>
  <si>
    <t xml:space="preserve">Supplying and fixing C.I. cover without frame for manholes : </t>
  </si>
  <si>
    <t>19.18.1</t>
  </si>
  <si>
    <t xml:space="preserve">455 x 610 mm CI cover (LD) </t>
  </si>
  <si>
    <t xml:space="preserve">455x610 mm rectangular C.I. cover (light duty) the weight of the cover to be not less than 23 kg. </t>
  </si>
  <si>
    <t>19.18.2</t>
  </si>
  <si>
    <t xml:space="preserve">500 mm dia CI cover (MD) cover not less than 58 Kg </t>
  </si>
  <si>
    <t xml:space="preserve">500 mm diameter C.I. cover (medium duty) the weight of the cover to be not less than 58 kg. </t>
  </si>
  <si>
    <t>19.18.3</t>
  </si>
  <si>
    <t xml:space="preserve">560 mm dia CI cover (HD) cover not less than 108 Kg </t>
  </si>
  <si>
    <t xml:space="preserve">560 mm diameter C.I. cover (heavy duty) the weight of the cover to be not less than 108 kg. </t>
  </si>
  <si>
    <t>19.19</t>
  </si>
  <si>
    <t xml:space="preserve">P/F in position precast RCC manhole cover and frame : </t>
  </si>
  <si>
    <t xml:space="preserve">Providing and fixing in position pre-cast R.C.C. manhole cover and frame of required shape and approved quality </t>
  </si>
  <si>
    <t>19.19.1</t>
  </si>
  <si>
    <t xml:space="preserve">L D - 2.5 : </t>
  </si>
  <si>
    <t xml:space="preserve">L D - 2.5 </t>
  </si>
  <si>
    <t>19.19.1.1</t>
  </si>
  <si>
    <t xml:space="preserve">Rectangular shape 600x450 mm internal dimensions. </t>
  </si>
  <si>
    <t xml:space="preserve">Rectangular shape 600x450 mm internal dimensions </t>
  </si>
  <si>
    <t>19.19.1.2</t>
  </si>
  <si>
    <t xml:space="preserve">Square shape 350 mm internal dimensions. </t>
  </si>
  <si>
    <t xml:space="preserve">Square shape 450 mm internal dimensions </t>
  </si>
  <si>
    <t>19.19.1.3</t>
  </si>
  <si>
    <t xml:space="preserve">Circular shape 450 mm internal diameter. </t>
  </si>
  <si>
    <t xml:space="preserve">Circular shape 450 mm internal diameter </t>
  </si>
  <si>
    <t>19.19.2</t>
  </si>
  <si>
    <t xml:space="preserve">M D - 10 : </t>
  </si>
  <si>
    <t xml:space="preserve">M D - 10 </t>
  </si>
  <si>
    <t>19.19.2.1</t>
  </si>
  <si>
    <t xml:space="preserve">Square shape 500 mm internal dimension. </t>
  </si>
  <si>
    <t xml:space="preserve">Square shape 450 mm internal dimension </t>
  </si>
  <si>
    <t>19.19.2.2</t>
  </si>
  <si>
    <t xml:space="preserve">Circular shape 500 mm internal diameter. </t>
  </si>
  <si>
    <t xml:space="preserve">Circular shape 500 mm internal diameter </t>
  </si>
  <si>
    <t>19.19.3</t>
  </si>
  <si>
    <t xml:space="preserve">HD - 20 : </t>
  </si>
  <si>
    <t xml:space="preserve">H D - 20 </t>
  </si>
  <si>
    <t>19.19.3.1</t>
  </si>
  <si>
    <t xml:space="preserve">Circular shape 560 mm internal diameter. </t>
  </si>
  <si>
    <t xml:space="preserve">Circular shape 560 mm internal diameter </t>
  </si>
  <si>
    <t>19.19.4</t>
  </si>
  <si>
    <t xml:space="preserve">EHD - 35 : </t>
  </si>
  <si>
    <t xml:space="preserve">EHD - 35 </t>
  </si>
  <si>
    <t>19.19.4.1</t>
  </si>
  <si>
    <t xml:space="preserve">Circular shape 560 mm internal dia. </t>
  </si>
  <si>
    <t>19.20</t>
  </si>
  <si>
    <t xml:space="preserve">S/F CI cover 300x300mm w/o frame for gully trap. </t>
  </si>
  <si>
    <t xml:space="preserve">Supplying and fixing C.I. cover 300x300 mm without frame for gully trap (standard pattern) the weight of cover to be not less than 4.5 kg. </t>
  </si>
  <si>
    <t>19.21</t>
  </si>
  <si>
    <t xml:space="preserve">Making connection of drain or sewer line with existing man- hole including breaking. </t>
  </si>
  <si>
    <t xml:space="preserve">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t>
  </si>
  <si>
    <t>19.21.1</t>
  </si>
  <si>
    <t xml:space="preserve">For pipes 100 to 230 mm dia. </t>
  </si>
  <si>
    <t xml:space="preserve">For pipes 100 to 250 mm diameter </t>
  </si>
  <si>
    <t>19.21.2</t>
  </si>
  <si>
    <t xml:space="preserve">For pipes 250 to 300 mm dia. </t>
  </si>
  <si>
    <t xml:space="preserve">For pipes 250 to 300 mm diameter </t>
  </si>
  <si>
    <t>19.21.3</t>
  </si>
  <si>
    <t xml:space="preserve">For pipes 350 to 450 mm dia. </t>
  </si>
  <si>
    <t xml:space="preserve">For pipes 350 to 450 mm diameter </t>
  </si>
  <si>
    <t>19.22</t>
  </si>
  <si>
    <t xml:space="preserve">Providing sand cast iron drop connection externally for 60 cm drop from branch sewer line to main sewer manhole:- </t>
  </si>
  <si>
    <t xml:space="preserve">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t>
  </si>
  <si>
    <t>19.22.1</t>
  </si>
  <si>
    <t xml:space="preserve">100 mm dia. sand cast iron drop connection. </t>
  </si>
  <si>
    <t xml:space="preserve">100 mm dia. sand cast iron drop connection </t>
  </si>
  <si>
    <t>19.22.2</t>
  </si>
  <si>
    <t xml:space="preserve">150 mm dia. sand cast iron drop connection. </t>
  </si>
  <si>
    <t xml:space="preserve">150 mm dia. sand cast iron drop connection </t>
  </si>
  <si>
    <t>19.23</t>
  </si>
  <si>
    <t xml:space="preserve">Extra for depths beyond 60 cm of sand cast iron drop connection complete : </t>
  </si>
  <si>
    <t>19.23.1</t>
  </si>
  <si>
    <t xml:space="preserve">For 100 mm dia. sand cast iron drop connection. </t>
  </si>
  <si>
    <t xml:space="preserve">For 100 mm dia. sand cast iron drop connection </t>
  </si>
  <si>
    <t>19.23.2</t>
  </si>
  <si>
    <t xml:space="preserve">For 150 mm dia. sand cast iron drop connection. </t>
  </si>
  <si>
    <t xml:space="preserve">For 150 mm dia. sand cast iron drop connection </t>
  </si>
  <si>
    <t>19.24</t>
  </si>
  <si>
    <t xml:space="preserve">Dismantling of manhole i/c R.C.C. top slab, C.I cover with frame. </t>
  </si>
  <si>
    <t xml:space="preserve">Dismantling of manhole including R.C.C. top slab, C.I. cover with frame, including stacking of useful materials near the site and disposal of unserviceable materials within 50 m lead as per direction of Engineer-in-Charge : </t>
  </si>
  <si>
    <t>19.24.1</t>
  </si>
  <si>
    <t xml:space="preserve">Rectangular manhole 90x80cm and 45 cm deep. </t>
  </si>
  <si>
    <t xml:space="preserve">Rectangular manhole 90x80 cm and 45 cm deep </t>
  </si>
  <si>
    <t>19.24.2</t>
  </si>
  <si>
    <t xml:space="preserve">Rectangular manhole 120x90cm and 90 cm deep. </t>
  </si>
  <si>
    <t xml:space="preserve">Rectangular manhole 120x90 cm and 90 cm deep </t>
  </si>
  <si>
    <t>19.24.3</t>
  </si>
  <si>
    <t xml:space="preserve">Rectangular arch type man hole 140 x 90 cm and 2.45 mtr deep. </t>
  </si>
  <si>
    <t xml:space="preserve">Rectangular arch type manhole 140x90 cm and 2.45 m deep </t>
  </si>
  <si>
    <t>19.24.4</t>
  </si>
  <si>
    <t xml:space="preserve">Circular manhole 122 cm dia. and 1.68 M deep. </t>
  </si>
  <si>
    <t xml:space="preserve">Circular manhole 122 cm diameter and 1.68 m deep </t>
  </si>
  <si>
    <t>19.25</t>
  </si>
  <si>
    <t xml:space="preserve">Extra for depth of manholes dismantled : </t>
  </si>
  <si>
    <t xml:space="preserve">Extra for depth of manholes dismantled: </t>
  </si>
  <si>
    <t>19.25.1</t>
  </si>
  <si>
    <t xml:space="preserve">Rectangular manhole 90x80 cm and 45 cm deep. </t>
  </si>
  <si>
    <t xml:space="preserve">Rectangular manhole 90x80 cm and beyond 45 cm depth </t>
  </si>
  <si>
    <t>19.25.2</t>
  </si>
  <si>
    <t xml:space="preserve">Rectangular manhole 120x90 cm and 90 cm deep. </t>
  </si>
  <si>
    <t xml:space="preserve">Rectangular manhole 120x90 cm and beyond 90 cm depth </t>
  </si>
  <si>
    <t>19.25.3</t>
  </si>
  <si>
    <t xml:space="preserve">Rectangular arch type manhole 140 x 90 cm and 2.45 m deep (upto 4.25 m depth). </t>
  </si>
  <si>
    <t xml:space="preserve">Rectangular arch type manhole 140x90 cm and beyond 2.45 m depth (up to 4.25 m depth). </t>
  </si>
  <si>
    <t>19.25.4</t>
  </si>
  <si>
    <t xml:space="preserve">Circular manhole 122 cm dia and 1.68 M deep (upto 2.29 M depth). </t>
  </si>
  <si>
    <t xml:space="preserve">Circular manhole 122 cm diameter and beyond 1.68 m depth (up to 2.29 m depth) </t>
  </si>
  <si>
    <t>19.26</t>
  </si>
  <si>
    <t xml:space="preserve">Raising manhole cover and frame slab to required level. </t>
  </si>
  <si>
    <t xml:space="preserve">Raising manhole cover and frame slab to required level including dismantling existing slab and making good the damage as required (Raising depth of manhole to be paid separately) : </t>
  </si>
  <si>
    <t>19.26.1</t>
  </si>
  <si>
    <t xml:space="preserve">Rectangular manhole 90x80 cm with rectangular cover 600 x 450 mm of grade LD - 2.5 . </t>
  </si>
  <si>
    <t xml:space="preserve">Rectangular manhole 90x80 cm with rectangular cover 600x450 mm of grade LD - 2.5 </t>
  </si>
  <si>
    <t>19.26.2</t>
  </si>
  <si>
    <t xml:space="preserve">Rectangular manhole 120x90cm with circular cover 500 mm dia of grade MD-10. </t>
  </si>
  <si>
    <t xml:space="preserve">Rectangular manhole 120x90 cm with circular cover 500 mm dia of grade MD - 10 </t>
  </si>
  <si>
    <t>19.26.3</t>
  </si>
  <si>
    <t xml:space="preserve">Rectangular manhole 120x90cm with circular cover 560 mm dia of grade HD-20. </t>
  </si>
  <si>
    <t xml:space="preserve">Rectangular manhole 120x90 cm with circular cover 560 mm dia of grade HD - 20 </t>
  </si>
  <si>
    <t>19.26.4</t>
  </si>
  <si>
    <t xml:space="preserve">Circular manhole 140 cm dia. with circular cover 600 mm dia. of grade EHD - 35. </t>
  </si>
  <si>
    <t xml:space="preserve">Circular manhole 140 cm dia with circular cover 600 mm dia of grade EHD - 35 </t>
  </si>
  <si>
    <t>19.27</t>
  </si>
  <si>
    <t xml:space="preserve">Constructing brick masonry road gully chamber 50 x 45 x 60 cm with bricks of class designation 7.5 in C.M 1:5 : </t>
  </si>
  <si>
    <t xml:space="preserve">Constructing brick masonry road gully chamber 50x45x60 cm with bricks in cement mortar 1:4 (1 cement : 4 coarse sand) including 500x450 mm pre-cast R.C.C. horizontal grating with frame complete as per standard design : </t>
  </si>
  <si>
    <t>19.27.1</t>
  </si>
  <si>
    <t>19.28</t>
  </si>
  <si>
    <t xml:space="preserve">Constructing brick masonry road gully chamber 45 x 45 x 77.5 cm with bricks of class designation 7.5 in C.M 1 : 5: </t>
  </si>
  <si>
    <t xml:space="preserve">Constructing brick masonry road gully chamber 45x45x77.5 cm with bricks in cement mortar 1:4 (1 cement : 4 coarse sand ) with pre-cast R.C.C. vertical grating complete as per standard design : </t>
  </si>
  <si>
    <t>19.28.1</t>
  </si>
  <si>
    <t xml:space="preserve">With F.P.S bricks. </t>
  </si>
  <si>
    <t>19.29</t>
  </si>
  <si>
    <t xml:space="preserve">Constructing brick masonry road gully chamber 110 x 50 x 77.5 cm with bricks of class designation 7.5 in C.M 1 : 5: </t>
  </si>
  <si>
    <t xml:space="preserve">Constructing brick masonry road gully chamber 110x50x77.5 cm with bricks in cement mortar 1:4 (1 cement : 4 coarse sand) including 500x450 mm pre-cast R.C.C. horizontal grating with frame and vertical grating complete as per standard design : </t>
  </si>
  <si>
    <t>19.29.1</t>
  </si>
  <si>
    <t>19.30</t>
  </si>
  <si>
    <t xml:space="preserve">Constructing brick masonry chamber for under ground C.I inspection chamber :- </t>
  </si>
  <si>
    <t xml:space="preserve">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fine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t>
  </si>
  <si>
    <t>19.30.1</t>
  </si>
  <si>
    <t xml:space="preserve">Inside dimensions 455x610 mm and 45 cm deep for single pipe line : </t>
  </si>
  <si>
    <t>19.30.1.1</t>
  </si>
  <si>
    <t>19.30.2</t>
  </si>
  <si>
    <t xml:space="preserve">Inside dimensions 500x700 mm and 45 cm deep for pipe line: </t>
  </si>
  <si>
    <t xml:space="preserve">Inside dimensions 500x700 mm and 45 cm deep for pipe line with one or two inlets : </t>
  </si>
  <si>
    <t>19.30.2.1</t>
  </si>
  <si>
    <t>19.30.3</t>
  </si>
  <si>
    <t xml:space="preserve">Inside dimensions 600x850 mm and 45 cm deep for pipe line: </t>
  </si>
  <si>
    <t xml:space="preserve">Inside dimensions 600x850 mm and 45 cm deep for pipe line with three or more inlets : </t>
  </si>
  <si>
    <t>19.30.3.1</t>
  </si>
  <si>
    <t>19.31</t>
  </si>
  <si>
    <t xml:space="preserve">Extra for depth beyond 45 cm of brick masonry chamber :- </t>
  </si>
  <si>
    <t xml:space="preserve">Extra for depth beyond 45 cm of brick masonry chamber : </t>
  </si>
  <si>
    <t>19.31.1</t>
  </si>
  <si>
    <t xml:space="preserve">For 455 x 610 mm size : </t>
  </si>
  <si>
    <t xml:space="preserve">For 455x610 mm size </t>
  </si>
  <si>
    <t>19.31.1.1</t>
  </si>
  <si>
    <t>19.31.2</t>
  </si>
  <si>
    <t xml:space="preserve">For 500 x 700 mm size : </t>
  </si>
  <si>
    <t xml:space="preserve">For 500x700 mm size </t>
  </si>
  <si>
    <t>19.31.2.1</t>
  </si>
  <si>
    <t>19.31.3</t>
  </si>
  <si>
    <t xml:space="preserve">For 600 x 850 mm size : </t>
  </si>
  <si>
    <t xml:space="preserve">For 600x850 mm size </t>
  </si>
  <si>
    <t>19.31.3.1</t>
  </si>
  <si>
    <t>19.32</t>
  </si>
  <si>
    <t xml:space="preserve">Making soakpit 2.5 m dia 3 m deep </t>
  </si>
  <si>
    <t xml:space="preserve">Making soak pit 2.5 m diameter 3.0 metre deep with 45 x 45 cm dry brick honey comb shaft with bricks and S.W. drain pipe 100 mm diameter, 1.8 m long complete as per standard design. </t>
  </si>
  <si>
    <t>19.32.1</t>
  </si>
  <si>
    <t xml:space="preserve">With FPS bricks </t>
  </si>
  <si>
    <t>19.33</t>
  </si>
  <si>
    <t xml:space="preserve">Constructing soak pit 1.20x 1.20x1.20 m </t>
  </si>
  <si>
    <t xml:space="preserve">Constructing soak pit 1.20x1.20x1.20 m filled with brickbats including S.W. drain pipe 100 mm diameter and 1.20 m long complete as per standard design. </t>
  </si>
  <si>
    <t>19.34</t>
  </si>
  <si>
    <t xml:space="preserve">P/L S.W. intercepting trap in manholes with stiff mixture of cement mortar 1 : 1. </t>
  </si>
  <si>
    <t xml:space="preserve">Providing and fixing S.W. intercepting trap in manholes with stiff mixture of cement mortar 1:1 (1 cement : 1 fine sand) including testing of joints etc. complete : </t>
  </si>
  <si>
    <t>19.34.1</t>
  </si>
  <si>
    <t>19.34.2</t>
  </si>
  <si>
    <t>19.35</t>
  </si>
  <si>
    <t xml:space="preserve">P/L Non-pressure NP-3 class RCC pipes </t>
  </si>
  <si>
    <t xml:space="preserve">Providing and laying Non Pressure NP-3 class (Medium duty) R.C.C. pipes including collars/ spigot jointed with stiff mixture of cement mortar in the proportion of 1:2 (1 cement : 2 fine sand) including testing of joints etc. complete </t>
  </si>
  <si>
    <t>19.35.1</t>
  </si>
  <si>
    <t xml:space="preserve">450 mm dia RCC pipes. </t>
  </si>
  <si>
    <t>19.35.2</t>
  </si>
  <si>
    <t xml:space="preserve">600 mm dia RCC pipes. </t>
  </si>
  <si>
    <t>19.35.3</t>
  </si>
  <si>
    <t xml:space="preserve">900 mm dia RCC pipes. </t>
  </si>
  <si>
    <t>19.35.4</t>
  </si>
  <si>
    <t xml:space="preserve">1000 mm dia RCC pipes. (Laying by mannual/machenical means) </t>
  </si>
  <si>
    <t xml:space="preserve">1000 mm dia RCC pipes. (Laying by manual/ mechanical means) </t>
  </si>
  <si>
    <t>19.35.5</t>
  </si>
  <si>
    <t xml:space="preserve">1200 mm dia RCC pipes. (Laying by mannual/machenical means) </t>
  </si>
  <si>
    <t xml:space="preserve">1200 mm dia RCC pipes. (Laying by manual/ mechanical means) </t>
  </si>
  <si>
    <t>19.35.6</t>
  </si>
  <si>
    <t xml:space="preserve">1800 mm dia RCC pipes. (Laying by mannual/machenical means) </t>
  </si>
  <si>
    <t xml:space="preserve">1800 mm dia RCC pipes. (Laying by manual/mechanical means) </t>
  </si>
  <si>
    <t>19.36</t>
  </si>
  <si>
    <t xml:space="preserve">P/L Non-Pressure NP-4 class heavy duty RCC pipes.. </t>
  </si>
  <si>
    <t xml:space="preserve">Providing and laying Non Pressure NP-4 class (Heavy duty) R.C.C. pipes including collars/spigot jointed with stiff mixture of cement mortar in the proportion of 1:2 (1 cement : 2 fine sand) including testing of joints etc. complete </t>
  </si>
  <si>
    <t>19.36.1</t>
  </si>
  <si>
    <t>19.36.2</t>
  </si>
  <si>
    <t>19.36.3</t>
  </si>
  <si>
    <t>19.36.4</t>
  </si>
  <si>
    <t xml:space="preserve">1000 mm dia RCC pipes. (Laying by manual/mechanical means) </t>
  </si>
  <si>
    <t>19.36.5</t>
  </si>
  <si>
    <t xml:space="preserve">1200 mm dia RCC pipes. (Laying by manual/mechanical means) </t>
  </si>
  <si>
    <t>19.36.6</t>
  </si>
  <si>
    <t xml:space="preserve">Total of the Sub-Head - Drainage :  </t>
  </si>
  <si>
    <t xml:space="preserve">        Sub-Head : Pile Work</t>
  </si>
  <si>
    <t>20.1</t>
  </si>
  <si>
    <t xml:space="preserve">Providing, driving and insta- lling driven cast-in-situ RCC piles M-35 in cement concrete: </t>
  </si>
  <si>
    <t xml:space="preserve">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t>
  </si>
  <si>
    <t>20.1.1</t>
  </si>
  <si>
    <t xml:space="preserve">400 mm dia. piles. </t>
  </si>
  <si>
    <t xml:space="preserve">400 mm dia piles </t>
  </si>
  <si>
    <t>20.1.2</t>
  </si>
  <si>
    <t xml:space="preserve">450 mm dia. piles. </t>
  </si>
  <si>
    <t xml:space="preserve">450 mm dia piles </t>
  </si>
  <si>
    <t>20.1.3</t>
  </si>
  <si>
    <t xml:space="preserve">500 mm dia. piles. </t>
  </si>
  <si>
    <t xml:space="preserve">500 mm dia piles </t>
  </si>
  <si>
    <t>20.1.4</t>
  </si>
  <si>
    <t xml:space="preserve">550 mm dia. piles. </t>
  </si>
  <si>
    <t xml:space="preserve">550 mm dia piles </t>
  </si>
  <si>
    <t>20.1.5</t>
  </si>
  <si>
    <t xml:space="preserve">750 mm dia. piles. </t>
  </si>
  <si>
    <t xml:space="preserve">750 mm dia piles </t>
  </si>
  <si>
    <t>20.1.6</t>
  </si>
  <si>
    <t xml:space="preserve">1000 mm dia. piles. </t>
  </si>
  <si>
    <t xml:space="preserve">1000 mm dia piles </t>
  </si>
  <si>
    <t>20.1.7</t>
  </si>
  <si>
    <t xml:space="preserve">1200 mm dia. piles. </t>
  </si>
  <si>
    <t xml:space="preserve">1200 mm dia piles </t>
  </si>
  <si>
    <t>20.1.8</t>
  </si>
  <si>
    <t xml:space="preserve">1500 mm dia piles. </t>
  </si>
  <si>
    <t xml:space="preserve">1500 mm dia piles </t>
  </si>
  <si>
    <t>20.2</t>
  </si>
  <si>
    <t xml:space="preserve">Boring, providing and instal- ling bored cast-in-situ RCC pile M-35 in cement concrete: </t>
  </si>
  <si>
    <t xml:space="preserve">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t>
  </si>
  <si>
    <t>20.2.1</t>
  </si>
  <si>
    <t>20.2.2</t>
  </si>
  <si>
    <t xml:space="preserve">500mm dia piles </t>
  </si>
  <si>
    <t>20.2.3</t>
  </si>
  <si>
    <t xml:space="preserve">600 mm dia piles </t>
  </si>
  <si>
    <t>20.2.4</t>
  </si>
  <si>
    <t>20.2A</t>
  </si>
  <si>
    <t xml:space="preserve">Boring, providing and installation bored cast-in-situ reinforced cement concrete piles of grade M-25 </t>
  </si>
  <si>
    <t xml:space="preserve">Boring, providing and installation bored cast-in-situ reinforced cement concrete piles of grade M-25 of specified diameter and length below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Crawler mounted, telescopic boom hydraulic pilling Rig all complete, including removal of excavated earth with all its lifts and leads (length of pile for payment shall be measured up to bottom of pile cap). </t>
  </si>
  <si>
    <t xml:space="preserve">Note: Truck Mounted rotary/ TMR / Tubewell boring machine shall not be used. </t>
  </si>
  <si>
    <t>20.2A.1</t>
  </si>
  <si>
    <t xml:space="preserve">600 mm dia piles. </t>
  </si>
  <si>
    <t>20.2A.2</t>
  </si>
  <si>
    <t xml:space="preserve">750 mm dia piles. </t>
  </si>
  <si>
    <t>20.2A.3</t>
  </si>
  <si>
    <t xml:space="preserve">1000 mm dia piles. </t>
  </si>
  <si>
    <t>20.2A.4</t>
  </si>
  <si>
    <t xml:space="preserve">1200 mm dia piles. </t>
  </si>
  <si>
    <t>20.2A.5</t>
  </si>
  <si>
    <t>20.3</t>
  </si>
  <si>
    <t xml:space="preserve">Boring, Providing and install- ing cast in situ single under reamed piles M-25in cement concrete: </t>
  </si>
  <si>
    <t xml:space="preserve">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the bottom of pile cap): </t>
  </si>
  <si>
    <t>20.3.1</t>
  </si>
  <si>
    <t xml:space="preserve">300 mm dia. piles. </t>
  </si>
  <si>
    <t xml:space="preserve">300 mm dia piles </t>
  </si>
  <si>
    <t>20.3.2</t>
  </si>
  <si>
    <t xml:space="preserve">400 mm dia piles. </t>
  </si>
  <si>
    <t>20.3.3</t>
  </si>
  <si>
    <t xml:space="preserve">450 mm dia piles. </t>
  </si>
  <si>
    <t xml:space="preserve">450 mm dia. piles </t>
  </si>
  <si>
    <t>20.3.4</t>
  </si>
  <si>
    <t xml:space="preserve">550 mm dia pils. </t>
  </si>
  <si>
    <t>20.4</t>
  </si>
  <si>
    <t xml:space="preserve">Extra for providing additional bulb in under reamed piles, under spe- -cified dia. </t>
  </si>
  <si>
    <t xml:space="preserve">Extra over single under ream for providing additional bulbs in under reamed piles ,under specified diameter. (only the nos. of extra bulbs are to be paid) </t>
  </si>
  <si>
    <t>20.4.1</t>
  </si>
  <si>
    <t xml:space="preserve">300mm dia piles. </t>
  </si>
  <si>
    <t>20.4.2</t>
  </si>
  <si>
    <t xml:space="preserve">400mm dia piles. </t>
  </si>
  <si>
    <t>20.4.3</t>
  </si>
  <si>
    <t>20.4.4</t>
  </si>
  <si>
    <t xml:space="preserve">550 mm dia piles. </t>
  </si>
  <si>
    <t>20.5</t>
  </si>
  <si>
    <t xml:space="preserve">Providing, driving and insta- lling driven pre-cast R.C.C. piles of specified diameter and length below the pile cap in M-35 cement concrete : </t>
  </si>
  <si>
    <t xml:space="preserve">Providing, driving (with vibrating pile driving hammer complete with power units &amp; accessories )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driving and removing the steel casing pipe and lifting casing etc. complete but excluding the cost of steel reinforcement. (Length of pile for payment shall be measured from top of the shoe to the bottom of pile cap). </t>
  </si>
  <si>
    <t>20.5.1</t>
  </si>
  <si>
    <t xml:space="preserve">400 mm dia. </t>
  </si>
  <si>
    <t>20.5.2</t>
  </si>
  <si>
    <t xml:space="preserve">450 mm dia. </t>
  </si>
  <si>
    <t>20.5.3</t>
  </si>
  <si>
    <t xml:space="preserve">500 mm dia. </t>
  </si>
  <si>
    <t xml:space="preserve">500 mm dia piles. </t>
  </si>
  <si>
    <t>20.5.4</t>
  </si>
  <si>
    <t xml:space="preserve">550 mm dia. </t>
  </si>
  <si>
    <t>20.5.5</t>
  </si>
  <si>
    <t>20.5.6</t>
  </si>
  <si>
    <t>20.6</t>
  </si>
  <si>
    <t xml:space="preserve">Vertical load testing of piles in accordance with IS : 2911 (Part IV) : </t>
  </si>
  <si>
    <t xml:space="preserve">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in-charge. </t>
  </si>
  <si>
    <t xml:space="preserve">Note:- 1 . Initial and Routine Load test shall not be carried out by Dynamic method of testing. </t>
  </si>
  <si>
    <t xml:space="preserve">Note:-2. Testing agency shall submit the design of loading platform for the approval of Engineer-in-charge. </t>
  </si>
  <si>
    <t>20.6.1</t>
  </si>
  <si>
    <t xml:space="preserve">Single pile rate per test for initial test: </t>
  </si>
  <si>
    <t xml:space="preserve">Single pile upto 50 tonne safe capacity </t>
  </si>
  <si>
    <t>20.6.1.1</t>
  </si>
  <si>
    <t xml:space="preserve">Upto 50 ton capacity pile. </t>
  </si>
  <si>
    <t xml:space="preserve">Initial test. ( Test load 2.5 times the safe capacity) </t>
  </si>
  <si>
    <t xml:space="preserve">Per Test                                  </t>
  </si>
  <si>
    <t>20.6.1.2</t>
  </si>
  <si>
    <t xml:space="preserve">Above 50 and upto 100 tonne capacity pile. </t>
  </si>
  <si>
    <t xml:space="preserve">Routine test ( Test load 1.5 times the safe capacity) </t>
  </si>
  <si>
    <t>20.6.2</t>
  </si>
  <si>
    <t xml:space="preserve">Single pile rate per test for routine test: </t>
  </si>
  <si>
    <t xml:space="preserve">Single pile above 50 tonne and upto 100 tonne safe capacity </t>
  </si>
  <si>
    <t>20.6.2.1</t>
  </si>
  <si>
    <t xml:space="preserve">Upto 50 tonne capacity pile. </t>
  </si>
  <si>
    <t xml:space="preserve">Initial test ( Test load 2.5 times the safe capacity) </t>
  </si>
  <si>
    <t>20.6.2.2</t>
  </si>
  <si>
    <t xml:space="preserve">Above 50 and upto 100 tonne capacity pile routine test. </t>
  </si>
  <si>
    <t xml:space="preserve">Routine test. ( Test load 1.5 times the safe capacity) </t>
  </si>
  <si>
    <t>20.6.3</t>
  </si>
  <si>
    <t xml:space="preserve">Group of two or more piles. </t>
  </si>
  <si>
    <t xml:space="preserve">Group of two or more piles upto 50 tonne safe capacity </t>
  </si>
  <si>
    <t>20.6.3.1</t>
  </si>
  <si>
    <t xml:space="preserve">Upto 50 tonne capacity rate per test for initial test. </t>
  </si>
  <si>
    <t>20.6.3.2</t>
  </si>
  <si>
    <t xml:space="preserve">Routine test </t>
  </si>
  <si>
    <t>20.7</t>
  </si>
  <si>
    <t xml:space="preserve">Cyclic vertical load testing of pile: </t>
  </si>
  <si>
    <t xml:space="preserve">Cyclic vertical load testing of pile in accordance with IS Code of practice IS: 2911 (part IV) by Kentledge method including preparation of pile head etc for. </t>
  </si>
  <si>
    <t>20.7.1</t>
  </si>
  <si>
    <t xml:space="preserve">Single pile. </t>
  </si>
  <si>
    <t>20.7.1.1</t>
  </si>
  <si>
    <t xml:space="preserve">Upto 50 tonne safe capacity pile. </t>
  </si>
  <si>
    <t>20.7.1.2</t>
  </si>
  <si>
    <t xml:space="preserve">Above 50 tonne and upto 100 tonne safe capacity pile. </t>
  </si>
  <si>
    <t>20.7.2</t>
  </si>
  <si>
    <t xml:space="preserve">Group of two piles. </t>
  </si>
  <si>
    <t>20.7.2.1</t>
  </si>
  <si>
    <t xml:space="preserve">Upto 50 tonne capacity each. </t>
  </si>
  <si>
    <t xml:space="preserve">Upto 400 tonne safe capacity of group </t>
  </si>
  <si>
    <t>20.8</t>
  </si>
  <si>
    <t xml:space="preserve">Lateral load testing of single pile . </t>
  </si>
  <si>
    <t xml:space="preserve">Lateral load testing of single pile in accordance with IS Code of practice IS : 2911 (Part IV) for determining safe allowable lateral load on pile : </t>
  </si>
  <si>
    <t>20.8.1</t>
  </si>
  <si>
    <t>20.8.2</t>
  </si>
  <si>
    <t xml:space="preserve">Above 50 and upto 100 tonne capacity piles. </t>
  </si>
  <si>
    <t xml:space="preserve">Above 50 tonne and upto 100 tonne capacity pile. </t>
  </si>
  <si>
    <t>20.9</t>
  </si>
  <si>
    <t xml:space="preserve">Integrity testing of Pile using Low Strain/ Sonic Integrity Test/ Sonic Echo Test method.. </t>
  </si>
  <si>
    <t xml:space="preserve">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t>
  </si>
  <si>
    <t xml:space="preserve">Note:- The inclusion of the above item in the schedule of work shall be judiciously decided by the technical sanctioning authority, keeping in view the quality control, Type of soil strata and importance of the project. </t>
  </si>
  <si>
    <t xml:space="preserve">Total of the Sub-Head - Pile Work :  </t>
  </si>
  <si>
    <t xml:space="preserve">        Sub-Head : Aluminium Work</t>
  </si>
  <si>
    <t>21.1</t>
  </si>
  <si>
    <t xml:space="preserve">P/F aluminium work for doors, windows, partitions with extruded section :- </t>
  </si>
  <si>
    <t xml:space="preserve">Providing and fixing aluminium work for doors, windows, ventilators and partitions with extruded built up standard tubular sections/appropriate Z sections and other sections of approved make conforming to IS: 733 and IS: 1285, fixing with dash fasteners of required dia and size, including necessary filling up the gaps at junctions, i.e. at top, bottom and sides with required EPDM rubber/neoprene gasket etc. Aluminium sections shall be smooth, rust free, straight, mitred and jointed mechanically wherever required including cleat angle, Aluminium snap beading for glazing / paneling, C.P. brass/ stainless steel screws, all complete as per architectural drawings and the directions of Engineer-in-charge. (Glazing, paneling and dash fasteners to be paid for separately) : </t>
  </si>
  <si>
    <t>21.1.1</t>
  </si>
  <si>
    <t xml:space="preserve">For fixed portions </t>
  </si>
  <si>
    <t xml:space="preserve">For fixed portion </t>
  </si>
  <si>
    <t>21.1.1.1</t>
  </si>
  <si>
    <t xml:space="preserve">Anodised Aluminium. </t>
  </si>
  <si>
    <t xml:space="preserve">Anodised aluminium (anodised transparent or dyed to required shade according to IS: 1868, Minimum anodic coating of grade AC 15) </t>
  </si>
  <si>
    <t>21.1.1.2</t>
  </si>
  <si>
    <t xml:space="preserve">Powder coated aluminium </t>
  </si>
  <si>
    <t xml:space="preserve">Powder coated aluminium (minimum thickness of powder coating 50 micron) </t>
  </si>
  <si>
    <t>21.1.1.3</t>
  </si>
  <si>
    <t xml:space="preserve">Polyester Powder coated aluminium </t>
  </si>
  <si>
    <t xml:space="preserve">Polyester powder coated aluminium (minimum thickness of polyester powder coating 50 micron) </t>
  </si>
  <si>
    <t>21.1.2</t>
  </si>
  <si>
    <t xml:space="preserve">For shutters of door windows </t>
  </si>
  <si>
    <t xml:space="preserve">For shutters of doors, windows &amp; ventilators including providing and fixing hinges/ pivots and making provision for fixing of fittings wherever required including the cost of EPDM rubber / neoprene gasket required (Fittings shall be paid for separately). </t>
  </si>
  <si>
    <t>21.1.2.1</t>
  </si>
  <si>
    <t xml:space="preserve">Anodised Aluminium </t>
  </si>
  <si>
    <t>21.1.2.2</t>
  </si>
  <si>
    <t>21.1.2.3</t>
  </si>
  <si>
    <t>21.2</t>
  </si>
  <si>
    <t xml:space="preserve">P/F 12 mm thick prelaminated particle board panelling for doors, windows and partitions </t>
  </si>
  <si>
    <t xml:space="preserve">Providing and fixing 12mm thick prelaminated particle board flat pressed three layer or graded wood particle board conforming to IS:12823 Grade l Type ll, in panelling fixed in aluminum doors, windows shutters and partition frames with C.P. brass / stainless steel screws etc. complete as per architectural drawings and directions of engineer-in-charge. </t>
  </si>
  <si>
    <t>21.2.1</t>
  </si>
  <si>
    <t xml:space="preserve">with decorative lamination one side and balancing lami- nation on other side . </t>
  </si>
  <si>
    <t xml:space="preserve">Pre-laminated particle board with decorative lamination on one side and balancing lamination on other side. </t>
  </si>
  <si>
    <t>21.2.2</t>
  </si>
  <si>
    <t xml:space="preserve">with decorative lamination on both side . </t>
  </si>
  <si>
    <t xml:space="preserve">Pre-laminated particle board with decorative lamination on both sides. </t>
  </si>
  <si>
    <t>21.3</t>
  </si>
  <si>
    <t xml:space="preserve">P/F glazing in aluminium door, windows, partitions etc. </t>
  </si>
  <si>
    <t xml:space="preserve">Providing and fixing glazing in aluminium door, window, ventilator shutters and partitions etc. with EPDM rubber / neoprene gasket etc. complete as per the architectural drawings and the directions of engineer-in-charge . (Cost of aluminium snap beading shall be paid in basic item): </t>
  </si>
  <si>
    <t>21.3.1</t>
  </si>
  <si>
    <t xml:space="preserve">With glass panes 4 mm thick. </t>
  </si>
  <si>
    <t xml:space="preserve">With float glass panes of 4.0 mm thickness (weight not less than 10 kg/sqm) </t>
  </si>
  <si>
    <t>21.3.2</t>
  </si>
  <si>
    <t xml:space="preserve">With glass panes 5.5mm thick. </t>
  </si>
  <si>
    <t xml:space="preserve">With float glass panes of 5 mm thickness (weight not less than 12.50 kg/sqm) </t>
  </si>
  <si>
    <t>21.3.3</t>
  </si>
  <si>
    <t xml:space="preserve">With glass panes 8 mm thick. </t>
  </si>
  <si>
    <t xml:space="preserve">With float glass panes of 8 mm thickness (weight not less than 20 kg/sqm) </t>
  </si>
  <si>
    <t>21.4</t>
  </si>
  <si>
    <t xml:space="preserve">P/F double acting hydralic door floor spring </t>
  </si>
  <si>
    <t xml:space="preserve">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 </t>
  </si>
  <si>
    <t>21.4.1</t>
  </si>
  <si>
    <t xml:space="preserve">With Stainless steel cover plate. </t>
  </si>
  <si>
    <t xml:space="preserve">With stainless steel cover plate minimum 1.25 mm thickness. </t>
  </si>
  <si>
    <t>21.4.2</t>
  </si>
  <si>
    <t xml:space="preserve">With brass cover plate. </t>
  </si>
  <si>
    <t xml:space="preserve">With brass cover plate minimum 1.25 mm thickness. </t>
  </si>
  <si>
    <t>21.5</t>
  </si>
  <si>
    <t xml:space="preserve">P/F powder coated aluminium work in false ceiling with aluminium tees, angles </t>
  </si>
  <si>
    <t xml:space="preserve">Providing and fixing powder coated aluminium work (minimum thickness of powder coating 50 micron) consisting of tee/ angle sections, of approved make conforming to IS : 733 in frames of false ceiling including aluminium angle cleats with necessary C.P. brass/stainless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 </t>
  </si>
  <si>
    <t>21.6</t>
  </si>
  <si>
    <t xml:space="preserve">P/F 6 mm dia GI level adjusting hangers. </t>
  </si>
  <si>
    <t xml:space="preserve">Providing and fixing 6 mm dia. G.I. level adjusting hangers (upto 1200mm length), fixed to roof slabs by means of ceiling cleats made out of G.I. flat 40x3mm size 60 mm long and stainless steel expandable dash fastener of 12.5 mm dia and 50 mm long, complete as per direction of Engineer -in-charge. </t>
  </si>
  <si>
    <t>21.7</t>
  </si>
  <si>
    <t xml:space="preserve">P/F machine moulded aluminium covering over expansion joints on vertical surface/ ceiling:- </t>
  </si>
  <si>
    <t xml:space="preserve">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8mm dia and 75 mm long bolt including providing aluminium washers 2 mm thick &amp; 15 mm dia , at a staggered pitch of 200mm centre to centre including drilling holes in the receiving surface and providing expandable plastic sleeves in holes etc. complete as per direction of Engineer-in-charge. </t>
  </si>
  <si>
    <t>21.7.1</t>
  </si>
  <si>
    <t xml:space="preserve">Anodised aluminium sheet 2.5 mm thick. </t>
  </si>
  <si>
    <t xml:space="preserve">Anodised aluminium sheet 2.5mm thick (anodised transparent or dyed to required shade according to IS:1868, Minimum anodic coating of grade AC 15) </t>
  </si>
  <si>
    <t>21.7.2</t>
  </si>
  <si>
    <t xml:space="preserve">Powder coated aluminium sheet 2.5 mm thick. </t>
  </si>
  <si>
    <t xml:space="preserve">Powder coated aluminium sheet 2.5mm thick (minimum thickness of powder coating 50 micron) </t>
  </si>
  <si>
    <t>21.8</t>
  </si>
  <si>
    <t xml:space="preserve">Filling the gap in between aluminium frame and adjacent RCC/ Brick/ Stone work with weather silocon sealent: </t>
  </si>
  <si>
    <t xml:space="preserve">Filling the gap in between aluminium frame &amp; adjacent RCC/ Brick/ Stone work by providing weather silicon sealant over backer rod of approved quality as per architectural drawings and direction of Engineer-in-charge complete. </t>
  </si>
  <si>
    <t>21.8.1</t>
  </si>
  <si>
    <t xml:space="preserve">Upto 5 mm depth, 5 mm width. </t>
  </si>
  <si>
    <t xml:space="preserve">Upto 5mm depth and 5 mm width </t>
  </si>
  <si>
    <t>21.9</t>
  </si>
  <si>
    <t xml:space="preserve">Extra for applying additional coating AC 25 instead of AC 15 </t>
  </si>
  <si>
    <t xml:space="preserve">Extra for applying additional anodic coating AC 25 instead of AC 15 to aluminium extruded sections. </t>
  </si>
  <si>
    <t>21.9.1</t>
  </si>
  <si>
    <t xml:space="preserve">For fixed portion. </t>
  </si>
  <si>
    <t>21.9.2</t>
  </si>
  <si>
    <t xml:space="preserve">For shutter of doors, windows and ventilators. </t>
  </si>
  <si>
    <t xml:space="preserve">For shutters of doors, windows &amp; ventilators. </t>
  </si>
  <si>
    <t>21.10</t>
  </si>
  <si>
    <t xml:space="preserve">P/F double glazed hermetically sealed glazing in aluminium windows, ventilatorsm partition etc with 6mm thick clear float glass </t>
  </si>
  <si>
    <t xml:space="preserve">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 </t>
  </si>
  <si>
    <t>21.11</t>
  </si>
  <si>
    <t xml:space="preserve">P/F stainless steel adjustable friction windows stays </t>
  </si>
  <si>
    <t xml:space="preserve">Providing and fixing stainless steel (SS 304 grade) adjustable friction windows stays of approved quality with necessary stainless steel screws etc. to the side hung windows as per direction of Engineer-in-charge complete. </t>
  </si>
  <si>
    <t>21.11.1</t>
  </si>
  <si>
    <t xml:space="preserve">205 x 19 mm. </t>
  </si>
  <si>
    <t xml:space="preserve">205 x 19 mm </t>
  </si>
  <si>
    <t>21.11.2</t>
  </si>
  <si>
    <t xml:space="preserve">255 x 19 mm. </t>
  </si>
  <si>
    <t xml:space="preserve">255 x 19 mm </t>
  </si>
  <si>
    <t>21.11.3</t>
  </si>
  <si>
    <t xml:space="preserve">355 x 19 mm. </t>
  </si>
  <si>
    <t xml:space="preserve">355 x 19 mm </t>
  </si>
  <si>
    <t>21.11.4</t>
  </si>
  <si>
    <t xml:space="preserve">510 x 19 mm. </t>
  </si>
  <si>
    <t xml:space="preserve">510 x 19 mm </t>
  </si>
  <si>
    <t>21.11.5</t>
  </si>
  <si>
    <t xml:space="preserve">710 x 19 mm. </t>
  </si>
  <si>
    <t xml:space="preserve">710 x 19 mm </t>
  </si>
  <si>
    <t>21.12</t>
  </si>
  <si>
    <t xml:space="preserve">P/F aluminium tubular handle bar 32 mm O/D, 3.0 mm thick and 2100 mm long </t>
  </si>
  <si>
    <t xml:space="preserve">Providing and fixing aluminium tubular handle bar 32 mm outer dia, 3.0 mm thick &amp; 2100 mm long with SS screws etc .complete as per direction of Engineer-in-Charge. </t>
  </si>
  <si>
    <t>21.12.1</t>
  </si>
  <si>
    <t xml:space="preserve">Anodized Aluminium tubular </t>
  </si>
  <si>
    <t xml:space="preserve">Anodized (AC 15 ) aluminium tubular handle bar </t>
  </si>
  <si>
    <t>21.12.2</t>
  </si>
  <si>
    <t xml:space="preserve">Powder coated Aluminium tubular </t>
  </si>
  <si>
    <t xml:space="preserve">Powder coated minimum thickness 50 micron aluminium tubular handle bar. </t>
  </si>
  <si>
    <t>21.12.3</t>
  </si>
  <si>
    <t xml:space="preserve">Polyester Powder coated Aluminium tubular </t>
  </si>
  <si>
    <t xml:space="preserve">Polyester powder coated minimum thickness 50 micron aluminium tubular handle bar </t>
  </si>
  <si>
    <t>21.13</t>
  </si>
  <si>
    <t xml:space="preserve">P/F 100 mm brass locks for aluminium doors. </t>
  </si>
  <si>
    <t xml:space="preserve">Providing and fixing Brass 100mm mortice latch and lock with 6 levers without pair of handles (best make of approved quality) for aluminium doors including necessary cutting and making good etc. complete. </t>
  </si>
  <si>
    <t>21.14</t>
  </si>
  <si>
    <t xml:space="preserve">P/F anodised aluminium sub frame work for windows and ventilators </t>
  </si>
  <si>
    <t xml:space="preserve">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 </t>
  </si>
  <si>
    <t>21.15</t>
  </si>
  <si>
    <t xml:space="preserve">P/F aluminium casement windows fasteners for aluminium windows </t>
  </si>
  <si>
    <t xml:space="preserve">Providing and fixing aluminium casement windows fastener of required length for aluminium windows with necessary screws etc. complete. </t>
  </si>
  <si>
    <t>21.15.1</t>
  </si>
  <si>
    <t xml:space="preserve">Anodized Aluminium. </t>
  </si>
  <si>
    <t xml:space="preserve">Anodized (AC 15) aluminium </t>
  </si>
  <si>
    <t>21.15.2</t>
  </si>
  <si>
    <t xml:space="preserve">Powder coated Aluminium. </t>
  </si>
  <si>
    <t xml:space="preserve">Powder coated minimum thickness 50 micron aluminium. </t>
  </si>
  <si>
    <t>21.15.3</t>
  </si>
  <si>
    <t xml:space="preserve">Polyester Powder coated Aluminium </t>
  </si>
  <si>
    <t xml:space="preserve">Polyester powder coated minimum thickness 50 micron aluminium. </t>
  </si>
  <si>
    <t>21.16</t>
  </si>
  <si>
    <t xml:space="preserve">P/F aluminium round shape handle of O/D 100 mm </t>
  </si>
  <si>
    <t xml:space="preserve">Providing and fixing aluminium round shape handle of outer dia 100mm with SS screws etc. complete as per direction of Engineer-in-charge </t>
  </si>
  <si>
    <t>21.16.1</t>
  </si>
  <si>
    <t xml:space="preserve">Anodized (AC 15 ) aluminium </t>
  </si>
  <si>
    <t>21.16.2</t>
  </si>
  <si>
    <t xml:space="preserve">Powder coated minimum thickness 50 micron aluminium </t>
  </si>
  <si>
    <t>21.16.3</t>
  </si>
  <si>
    <t>21.17</t>
  </si>
  <si>
    <t xml:space="preserve">P/F American type handles of 125 mm dia... </t>
  </si>
  <si>
    <t xml:space="preserve">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 </t>
  </si>
  <si>
    <t>21.18</t>
  </si>
  <si>
    <t xml:space="preserve">P/F 12 mm thick frameless toughened glass door shutter </t>
  </si>
  <si>
    <t xml:space="preserve">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 to be paid separately). </t>
  </si>
  <si>
    <t>21.19</t>
  </si>
  <si>
    <t xml:space="preserve">Filling the gap in between aluminium/ stone/ wood frame and adjacent RCC/ Brick/ Stone/ wood etc work by providing weather/structural non sag elastomeric PU sealant </t>
  </si>
  <si>
    <t xml:space="preserve">Filling the gap in between aluminium/ stone/ wood frame and adjacent RCC/ Brick/ Stone/ wood/ Ceramic/ Gypsum work by providing weather/structural non sag elastomeric PU sealant over backer rod of approved quality as per architectural drawings and direction of Engineer-in-charge complete complying to ASTM C920, DIN 18540-F &amp; ISO 11600. </t>
  </si>
  <si>
    <t>21.19.1</t>
  </si>
  <si>
    <t>21.19.2</t>
  </si>
  <si>
    <t xml:space="preserve">Upto 10 mm depth and 10 mm width </t>
  </si>
  <si>
    <t>21.19.3</t>
  </si>
  <si>
    <t xml:space="preserve">Upto 20 mm depth and 20 mm width </t>
  </si>
  <si>
    <t xml:space="preserve">Total of the Sub-Head - Aluminium Work :  </t>
  </si>
  <si>
    <t xml:space="preserve">        Sub-Head : Water Proofing</t>
  </si>
  <si>
    <t>22.1</t>
  </si>
  <si>
    <t xml:space="preserve">P/F integral cement based treatment for water proofing on horizontal surface at all depth below ground level for under ground structures: </t>
  </si>
  <si>
    <t xml:space="preserve">Providing and laying integral cement based treatment for water proofing on horizontal surface at all depth below ground level for under ground structures as directed by Engineer-in-Charge and consisting of : </t>
  </si>
  <si>
    <t xml:space="preserve">(i) Ist layer of 22 mm to 25 mm thick approved and specified rough stone slab over a 25 mm thick base of cement mortar 1:3 (1 cement : 3 coarse sand) including applying of twice ( at base and top of mortar ) cement slurry @ 2.2kg/m2 (each time) mixed with water proofing compound conforming to IS:2645 in the recommended proportion over the leveling course (leveling course to be paid separately). Joints sealed and grouted with cement slurry mixed with water proofing compound. </t>
  </si>
  <si>
    <t xml:space="preserve">(ii) 2nd layer of 25 mm thick cement mortar 1:3 (1 cement: 3 coarse sand) mixed with water proofing compound in recommended proportions. </t>
  </si>
  <si>
    <t xml:space="preserve">(iii) Finishing top with stone aggregate of 10 mm to 12 mm nominal size spreading @ 8 cudm/sqm thoroughly embedded in the 2nd layer. </t>
  </si>
  <si>
    <t>22.1.1</t>
  </si>
  <si>
    <t xml:space="preserve">Using rough kota stone. </t>
  </si>
  <si>
    <t>22.2</t>
  </si>
  <si>
    <t xml:space="preserve">P/L integral cement based treatment for water proofing on the vertical surface by fixing specified stone slab 20 to 25 mm thick with cement slurry with cement mortar 1 : 3. </t>
  </si>
  <si>
    <t xml:space="preserve">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 </t>
  </si>
  <si>
    <t>22.2.1</t>
  </si>
  <si>
    <t xml:space="preserve">Using rough Kota stone </t>
  </si>
  <si>
    <t>22.3</t>
  </si>
  <si>
    <t xml:space="preserve">P/L WPT to vertical and horizontal surfaces of depressed portions of WC, kitchen, etc. </t>
  </si>
  <si>
    <t xml:space="preserve">Providing and laying water proofing treatment to vertical and horizontal surfaces of depressed portions of W.C., kitchen and the like consisting of: </t>
  </si>
  <si>
    <t xml:space="preserve">(i) Ist course of applying cement slurry @ 4.4 kg/sqm mixed with water proofing compound conforming to IS 2645 in recommended proportions including rounding off junction of vertical and horizontal surface. </t>
  </si>
  <si>
    <t xml:space="preserve">(ii) IInd course of 20 mm cement plaster 1:3 (1 cement : 3 coarse sand) mixed with water proofing compound in recommended proportion including rounding off junction of vertical and horizontal surface. </t>
  </si>
  <si>
    <t xml:space="preserve">(iii) IIIrd course of applying blown or residual bitumen applied hot at 1.7 kg. per sqm of area. </t>
  </si>
  <si>
    <t xml:space="preserve">(iv) IVth course of 400 micron thick PVC sheet. (Overlaps at joints of PVC sheet should be 100 mm wide and pasted to each other with bitumen @ 1.7 kg/sqm). </t>
  </si>
  <si>
    <t>22.4</t>
  </si>
  <si>
    <t xml:space="preserve">P/P in position suitable PVC water stops conforming to IS: 12200 for constructions/ expansion joints: </t>
  </si>
  <si>
    <t xml:space="preserve">Providing and Placing in position suitable PVC water stops conforming to IS:12200 for construction/ expansion joints between two RCC members and fixed to the reinforcement with binding wire before pouring concrete etc. complete : </t>
  </si>
  <si>
    <t>22.4.1</t>
  </si>
  <si>
    <t xml:space="preserve">Serrated with central bulb (225 mm wide, 8-11mm thick). </t>
  </si>
  <si>
    <t xml:space="preserve">Serrated with central bulb (225 mm wide, 8-11 mm thick) </t>
  </si>
  <si>
    <t>22.4.2</t>
  </si>
  <si>
    <t xml:space="preserve">Dumb bell with central bulb (180 mm wide, 8 mm thick). </t>
  </si>
  <si>
    <t xml:space="preserve">Dumb bell with central bulb (180 mm wide, 8 mm thick) </t>
  </si>
  <si>
    <t>22.4.3</t>
  </si>
  <si>
    <t xml:space="preserve">Kickers (320 mm wide, 5 mm thick). </t>
  </si>
  <si>
    <t xml:space="preserve">Kickers (320 mm wide, 5 mm thick) </t>
  </si>
  <si>
    <t>22.5</t>
  </si>
  <si>
    <t xml:space="preserve">P/L water proofing treatment in sunken portion of WC's bathroom etc. by applying cement slurry mixed with water proofing cement compound Consisting of applying: </t>
  </si>
  <si>
    <t xml:space="preserve">Providing and laying water proofing treatment in sunken portion of WCs, bathroom etc., by applying cement slurry mixed with water proofing cement compound consisting of applying : </t>
  </si>
  <si>
    <t xml:space="preserve">(a) First layer of slurry of cement @ 0.488 kg/sqm mixed with water proofing cement compound @ 0.253 kg/ sqm. This layer will be allowed to air cure for 4 hours. </t>
  </si>
  <si>
    <t xml:space="preserve">(b) Second layer of slurry of cement @ 0.242 kg/sqm mixed with water proofing cement compound @ 0.126 kg/sqm. This layer will be allowed to air cure for 4 hours followed with water curing for 48 hours. </t>
  </si>
  <si>
    <t xml:space="preserve">The rate includes preparation of surface, treatment and sealing of all joints, corners, junctions of pipes and masonry with polymer mixed slurry. </t>
  </si>
  <si>
    <t>22.6</t>
  </si>
  <si>
    <t xml:space="preserve">P/L water proofing treatment on roofs of slab by applying cement slurry mixed with water proofing cement compound Consisting of applying: </t>
  </si>
  <si>
    <t xml:space="preserve">Providing and laying water proofing treatment on roofs of slabs by applying cement slurry mixed with water proofing cement compound consisting of applying: </t>
  </si>
  <si>
    <t xml:space="preserve">(a) after surface preparation, first layer of slurry of cement @ 0.488 kg/sqm mixed with water proofing cement compound @ 0.253 kg/sqm. </t>
  </si>
  <si>
    <t xml:space="preserve">(b) laying second layer of Fibre glass cloth when the first layer is still green. Overlaps of joints of fibre cloth should not be less than 10 cm. </t>
  </si>
  <si>
    <t xml:space="preserve">(c) third layer of 1.5 mm thickness consisting of slurry of cement @ 1.289 kg/sqm mixed with water proofing cement compound @ 0.670 kg/sqm and coarse sand @ 1.289 kg/sqm. This will be allowed to air cure for 4 hours followed by water curing for 48 hours. The entire treatment will be taken upto 30 cm on parapet wall and tucked into groove in parapet all around. </t>
  </si>
  <si>
    <t xml:space="preserve">(d) fourth and final layer of brick tiling with cement mortar (which will be paid for separately. </t>
  </si>
  <si>
    <t xml:space="preserve">For the purpose of measurement the entire treated surface will be measured. </t>
  </si>
  <si>
    <t>22.7</t>
  </si>
  <si>
    <t xml:space="preserve">P/L cement based water proof- ing treatment with broken brick bats 25 to 100 mm with 50 % cement mortar 1:5 coarse sand, finishing top with 20 mm thick jointless cement mortar 1 : 4 coarse sand :- </t>
  </si>
  <si>
    <t xml:space="preserve">Providing and laying integral cement based water proofing treatment including preparation of surface as required for treatment of roofs, balconies, terraces etc consisting of following operations: </t>
  </si>
  <si>
    <t xml:space="preserve">(a) Applying a slurry coat of neat cement using 2.75 kg/sqm of cement admixed with water proofing compound conforming to IS. 2645 and approved by Engineer-in-charge over the RCC slab including adjoining walls upto 300 mm height including cleaning the surface before treatment. </t>
  </si>
  <si>
    <t xml:space="preserve">(b)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 to IS : 2645 and approved by Engineer-in-charge to required slope and treating similarly the adjoining walls upto 300 mm height including rounding of junctions of walls and slabs. </t>
  </si>
  <si>
    <t xml:space="preserve">(c) After two days of proper curing applying a second coat of cement slurry using 2.75 kg/ sqm of cement admixed with water proofing compound conforming to IS : 2645 and approved by Engineerin- charge. </t>
  </si>
  <si>
    <t xml:space="preserve">(d) Finishing the surface with 20 mm thick jointless cement mortar of mix 1:4 (1 cement :4 coarse sand) admixed with water proofing compound conforming to IS : 2645 and approved by Engineerin- charge including laying glass fibre cloth of approved quality in top layer of plaster and finally finishing the surface with trowel with neat cement slurry and making pattern of 300x300 mm square 3 mm deep. </t>
  </si>
  <si>
    <t xml:space="preserve">(e) The whole terrace so finished shall be flooded with water for a minimum period of two weeks for curing and for final test.“All above operations to be done in order and as directed and specified by the Engineer-in-Charge : </t>
  </si>
  <si>
    <t>22.7.1</t>
  </si>
  <si>
    <t xml:space="preserve">With average thickness 120 mm and min. at khurra as 65 mm. </t>
  </si>
  <si>
    <t xml:space="preserve">With average thickness of 120 mm and minimum thickness at khurra as 65 mm. </t>
  </si>
  <si>
    <t>22.8</t>
  </si>
  <si>
    <t xml:space="preserve">P/L four courses water proofing with : </t>
  </si>
  <si>
    <t xml:space="preserve">Providing and laying four courses water proofing treatment with bitumen felt over roofs consisting of first and third courses of blown bitumen 85/25 or 90/15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 </t>
  </si>
  <si>
    <t>22.8.1</t>
  </si>
  <si>
    <t xml:space="preserve">bitumen felt (hessian base) type 3 grade I. </t>
  </si>
  <si>
    <t xml:space="preserve">Bitumen felt (hessian base) type 3 grade I conforming to IS : 1322 </t>
  </si>
  <si>
    <t>22.9</t>
  </si>
  <si>
    <t xml:space="preserve">P/L Six courses water proof- ing treatment with bitumen felt ( hession base ) type 3 grade I . </t>
  </si>
  <si>
    <t xml:space="preserve">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 </t>
  </si>
  <si>
    <t>22.10</t>
  </si>
  <si>
    <t xml:space="preserve">P/L six courses water proofing treatment with bitumen felt (fibre base self finished bitumen felt). </t>
  </si>
  <si>
    <t xml:space="preserve">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 </t>
  </si>
  <si>
    <t>22.11</t>
  </si>
  <si>
    <t xml:space="preserve">P/L six cours water proofing treatment with bitumen felt (glass fibre base self fini- shed bitumen felt). </t>
  </si>
  <si>
    <t xml:space="preserve">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 </t>
  </si>
  <si>
    <t>22.12</t>
  </si>
  <si>
    <t xml:space="preserve">Supplying and applying bitum- enous solution primer on roof </t>
  </si>
  <si>
    <t xml:space="preserve">Supplying and applying bituminous solution primer on roof and / or wall surface at 0.24 litre per sqm. </t>
  </si>
  <si>
    <t>22.13</t>
  </si>
  <si>
    <t xml:space="preserve">Deduct for omitting stone grit 6 mm down size or pea sized gravel:- </t>
  </si>
  <si>
    <t xml:space="preserve">Deduct for omitting in water proofing treatment final course of spreading stone grit 6 mm down size or pea sized gravel : </t>
  </si>
  <si>
    <t>22.13.1</t>
  </si>
  <si>
    <t xml:space="preserve">at 6 cubic dm per sqm. </t>
  </si>
  <si>
    <t xml:space="preserve">at 6 cudm per sqm </t>
  </si>
  <si>
    <t>22.13.2</t>
  </si>
  <si>
    <t xml:space="preserve">at 8 cubic dm per sqm. </t>
  </si>
  <si>
    <t xml:space="preserve">at 8 cudm per sqm </t>
  </si>
  <si>
    <t>22.14</t>
  </si>
  <si>
    <t xml:space="preserve">Grading roof for water proof- ing treatment with :- </t>
  </si>
  <si>
    <t xml:space="preserve">Grading roof for water proofing treatment with </t>
  </si>
  <si>
    <t>22.14.1</t>
  </si>
  <si>
    <t xml:space="preserve">C.C 1 : 2 : 4 . </t>
  </si>
  <si>
    <t xml:space="preserve">Cement concrete 1:2:4 (1 cement : 2 coarse sand : 4 graded stone aggregate 20mm nominal size) </t>
  </si>
  <si>
    <t>22.14.2</t>
  </si>
  <si>
    <t xml:space="preserve">C.M 1 : 3 coarse sand. </t>
  </si>
  <si>
    <t>22.14.3</t>
  </si>
  <si>
    <t xml:space="preserve">C.M 1 : 4 coarse sand. </t>
  </si>
  <si>
    <t xml:space="preserve">Cement mortar 1:4 (1cement : 4 coarse sand) </t>
  </si>
  <si>
    <t>22.22</t>
  </si>
  <si>
    <t xml:space="preserve">P/M integral crystalline admixture for waterproofing treatment to RCC structures like basement raft, retaining walls,.. </t>
  </si>
  <si>
    <t xml:space="preserve">Providing and mixing integral crystalline admixture for waterproofing treatment to RCC structures like basement raft, retaining walls, reservior, sewage &amp; water treatment plant, tunnels / subway and bridge deck etc.. at the time of transporting of concrete into the drum of the ready-mix truck , using integral crystalline admixture @0.80% (minimum) to the weight of cement content per cubic meter of concrete) or higher as recommended by the manufacturer’s specification in reinforced cement concrete at site of work. </t>
  </si>
  <si>
    <t xml:space="preserve">The material shall meet the requirements as specified in ACI-212-3R- 2010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t>
  </si>
  <si>
    <t>22.22A</t>
  </si>
  <si>
    <t xml:space="preserve">P/A fibre reinforced elastomeric liquid water proofing membrane with resilient acrylic polymers having Sun Reflectivity Index (SRI) of 105.. </t>
  </si>
  <si>
    <t xml:space="preserve">Providing and applying fibre reinforced elastomeric liquid water proofing membrane with resilient acrylic polymers having Sun Reflectivity Index (SRI) of 105 on top of concrete roof in three coats @10.76 litre/ 10 sqm. One coat of self-priming of elastomeric waterproofing liquid (dilution with water in the ratio of 3:1) and two coats of undiluted elastomeric waterproofing liquid (dry film thickness of complete application/system not less than 500 microns). The operation shall be carried out after scrapping and properly cleaning the surface to remove loose particles with wire brushes, complete in all respect as per the direction of Engineer-in-Charge. </t>
  </si>
  <si>
    <t>22.23</t>
  </si>
  <si>
    <t xml:space="preserve">P/A integral crystalline slurry of hydrophilic in nature for waterproofing treatment to the RCC structures </t>
  </si>
  <si>
    <t xml:space="preserve">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ACI- 212-3R-2010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engineer-in-charge. The product performance shall carry guarantee for 10 years against any leakage. </t>
  </si>
  <si>
    <t>22.23.1</t>
  </si>
  <si>
    <t xml:space="preserve">For vertical surface two coats @ 0.70 kg per sqm </t>
  </si>
  <si>
    <t>22.23.2</t>
  </si>
  <si>
    <t xml:space="preserve">For horizontal surface one coat @1.10 kg per sqm. </t>
  </si>
  <si>
    <t>22.23A</t>
  </si>
  <si>
    <t xml:space="preserve">P/A polymer modified, flexible cementatious negative side waterproofing coating with elastic waterproofing polymers on interior wall plaster surface in three coats </t>
  </si>
  <si>
    <t xml:space="preserve">Providing &amp; Applying polymer modified, flexible cementatious negative side waterproofing coating with elastic waterproofing polymers on interior wall plaster surface in three coats @14.35 kg /10 sqm. one coat of self priming of cementatious waterproofing polymer(dilution with water in the ratio of 1:1) and two coats of cementatious waterproofing polymer (dilution with water in the ratio of 3:1 ) after scrapping and properly cleaning the surface to remove pre-existing paint film &amp; loose particles till plaster is visible, complete in all respect as per the direction of Engineer-in-Charge. </t>
  </si>
  <si>
    <t>22.24</t>
  </si>
  <si>
    <t xml:space="preserve">P/A integral crystalline (dry shake) of hydrophilic in nature for waterproofing treatment to the RCC structures </t>
  </si>
  <si>
    <t xml:space="preserve">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 </t>
  </si>
  <si>
    <t>22.24A</t>
  </si>
  <si>
    <t xml:space="preserve">P/A high quality acrylic modified resin based texture of Dholpur/Red sand stone Pattern with anti algae and UV resistance properties.. </t>
  </si>
  <si>
    <t xml:space="preserve">Providing &amp; Applying high quality acrylic modified resin based texture of Dholpur/Red sand stone Pattern with anti algae and UV resistance properties to be applied as intermediate finish in desired pattern @ 43.04 kgs/10 sqm to form film of 1- 1.5 mm thickness after scrapping and properly cleaning the surface to remove loose particles from the plaster surface, followed by top coating with Premium Acrylic Smooth exterior paint with Silicone additives of required shade by two or more coats @ 1.43 litres/10 sqm, complete as the direction of Engineer -in-Charge. </t>
  </si>
  <si>
    <t>22.25</t>
  </si>
  <si>
    <t xml:space="preserve">P/A crystalline mortar by mixing in the ratio of 4.5 : 1 (4.5 parts crystalline mortar : 1 part water) for the treatment of faulty construction joints, cracks, tie rod holes and spalled .. </t>
  </si>
  <si>
    <t xml:space="preserve">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 </t>
  </si>
  <si>
    <t>22.25.1</t>
  </si>
  <si>
    <t xml:space="preserve">For sealing cracks and faulty construction joints, routed out/making U-shape groove size 25x25mm </t>
  </si>
  <si>
    <t xml:space="preserve">For sealing cracks and faulty construction joints, routed out/making U-shape groove size 25x25mm and then primed the area with integral crystalline slurry @0.05kg/ running metre and while the surface is tacky filled the groove upto surface with crystalline mortar @1.50kg/ running metre. Once crystalline mortar is touch dry then finally applied two coats of integral crystalline slurry @0.05kg/running meter per coat. </t>
  </si>
  <si>
    <t>22.25.2</t>
  </si>
  <si>
    <t xml:space="preserve">For patching of tie rod holes, prepared tie rod hole surface and then primed the area with integral crystalline slurry </t>
  </si>
  <si>
    <t xml:space="preserve">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t>
  </si>
  <si>
    <t>holes</t>
  </si>
  <si>
    <t xml:space="preserve">Each Hole                                 </t>
  </si>
  <si>
    <t>22.26</t>
  </si>
  <si>
    <t xml:space="preserve">P/A swellable type water stop tape, 19mm x 25mm thick in linear meter (expansive nature) for construction joints treatment of RCC structure </t>
  </si>
  <si>
    <t xml:space="preserve">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t>
  </si>
  <si>
    <t xml:space="preserve">Total of the Sub-Head - Water Proofing :  </t>
  </si>
  <si>
    <t xml:space="preserve">        Sub-Head : Rain Water Harvesting and Tube Well</t>
  </si>
  <si>
    <t>23.1</t>
  </si>
  <si>
    <t xml:space="preserve">Boring/drilling bore well of required dia for casing/ strainer pipe, by suitable method prescribed in IS: 2800 (part I)- upto 90 metre depth below GL. </t>
  </si>
  <si>
    <t xml:space="preserve">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upto 90 metre depth below ground level. </t>
  </si>
  <si>
    <t>23.1.1</t>
  </si>
  <si>
    <t xml:space="preserve">All types of soil </t>
  </si>
  <si>
    <t>23.1.1.1</t>
  </si>
  <si>
    <t xml:space="preserve">300 mm dia </t>
  </si>
  <si>
    <t>23.1.1.2</t>
  </si>
  <si>
    <t xml:space="preserve">350 mm dia </t>
  </si>
  <si>
    <t>23.1.1.3</t>
  </si>
  <si>
    <t xml:space="preserve">400 mm dia </t>
  </si>
  <si>
    <t>23.1.2</t>
  </si>
  <si>
    <t xml:space="preserve">Rocky strata including Boulders </t>
  </si>
  <si>
    <t>23.1.2.1</t>
  </si>
  <si>
    <t>23.1.2.2</t>
  </si>
  <si>
    <t>23.1.2.3</t>
  </si>
  <si>
    <t>23.2</t>
  </si>
  <si>
    <t xml:space="preserve">Boring/drilling bore well of required dia for casing/ strainer pipe, by suitable method beyond 90 metre &amp; upto 150 metre depth below GL </t>
  </si>
  <si>
    <t xml:space="preserve">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t>
  </si>
  <si>
    <t>23.2.1</t>
  </si>
  <si>
    <t>23.2.1.1</t>
  </si>
  <si>
    <t>23.2.1.2</t>
  </si>
  <si>
    <t>23.2.1.3</t>
  </si>
  <si>
    <t>23.2.2</t>
  </si>
  <si>
    <t>23.2.2.1</t>
  </si>
  <si>
    <t>23.2.2.2</t>
  </si>
  <si>
    <t>23.2.2.3</t>
  </si>
  <si>
    <t>23.3</t>
  </si>
  <si>
    <t xml:space="preserve">S/A/L/F in vertical position in bore well, unplasticized PVC medium well casing (CM) pipe </t>
  </si>
  <si>
    <t xml:space="preserve">Supplying, assembling, lowering and fixing in vertical position in bore well, unplasticized PVC medium well casing (CM) pipe of required dia, conforming to IS: 12818, including required hire and labour charges, fittings&amp; accessories etc. all complete, for all depths, as per direction of Engineer-in-charge. </t>
  </si>
  <si>
    <t>23.3.1</t>
  </si>
  <si>
    <t xml:space="preserve">100 mm nominal size dia </t>
  </si>
  <si>
    <t>23.3.2</t>
  </si>
  <si>
    <t xml:space="preserve">150 mm nominal size dia </t>
  </si>
  <si>
    <t>23.3.3</t>
  </si>
  <si>
    <t xml:space="preserve">200 mm nominal size dia </t>
  </si>
  <si>
    <t>23.4</t>
  </si>
  <si>
    <t xml:space="preserve">S/A/L/F in vertical position in bore well unplasticized PVC medium well screen (RMS) pipes with ribs </t>
  </si>
  <si>
    <t xml:space="preserve">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t>
  </si>
  <si>
    <t>23.4.1</t>
  </si>
  <si>
    <t>23.4.2</t>
  </si>
  <si>
    <t>23.4.3</t>
  </si>
  <si>
    <t>23.5</t>
  </si>
  <si>
    <t xml:space="preserve">S/F/S/L stone boulders of size range 5 cm to 20 cm, in recharge pit </t>
  </si>
  <si>
    <t xml:space="preserve">Supplying, filling, spreading &amp; leveling stone boulders of size range 5 cm to 20 cm, in recharge pit, in the required thickness, for all leads &amp; lifts, all complete as per direction of Engineer-in-charge. </t>
  </si>
  <si>
    <t>23.6</t>
  </si>
  <si>
    <t xml:space="preserve">SFSL gravels of size range 5 mm to 10 mm, in the recharge pit </t>
  </si>
  <si>
    <t xml:space="preserve">Supplying, filling, spreading &amp; leveling gravels of size range 5 mm to 10 mm, in the recharge pit, over the existing layer of boulders, in required thickness, for all leads &amp; lifts, all complete as per direction of Engineer-in-charge. </t>
  </si>
  <si>
    <t>23.7</t>
  </si>
  <si>
    <t xml:space="preserve">SFSL coarse sand of size range 1.5 mm to 2 mm in recharge pit </t>
  </si>
  <si>
    <t xml:space="preserve">Supplying, filling, spreading &amp; leveling coarse sand of size range 1.5 mm to 2 mm in recharge pit, in required thickness over gravel layer, for all leads&amp; lifts, all complete as per direction of Engineer -in-charge. </t>
  </si>
  <si>
    <t>23.8</t>
  </si>
  <si>
    <t xml:space="preserve">Gravel packing in tubewell construction in accordance with IS: 4097 </t>
  </si>
  <si>
    <t xml:space="preserve">Gravel packing in tubewell construction in accordance with IS: 4097, including providing gravel fine/ medium/ coarse, in required grading &amp; sizes as per actual requirement, all complete as per direction of Engineer- in-charge. </t>
  </si>
  <si>
    <t>23.9</t>
  </si>
  <si>
    <t xml:space="preserve">P/F factory made precast RCC perforated drain covers </t>
  </si>
  <si>
    <t xml:space="preserve">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 </t>
  </si>
  <si>
    <t>23.10</t>
  </si>
  <si>
    <t xml:space="preserve">SALF in vertical position in bore well, ERW (Electric Resistance Welded) FE 410 mild steel screwed and socketed/ plain ended casing pipes </t>
  </si>
  <si>
    <t xml:space="preserve">Supplying, assembling, lowering and fixing in vertical position in bore well, ERW (Electric Resistance Welded) FE 410 mild steel screwed and socketed/ 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t>
  </si>
  <si>
    <t>23.10.1</t>
  </si>
  <si>
    <t xml:space="preserve">100 mm nominal size dia having minimum wall thickness 5.00 mm </t>
  </si>
  <si>
    <t>23.10.2</t>
  </si>
  <si>
    <t xml:space="preserve">150 mm nominal size dia having minimum wall thickness 5.00 mm </t>
  </si>
  <si>
    <t>23.10.3</t>
  </si>
  <si>
    <t xml:space="preserve">200 mm nominal size dia having minimum wall thickness 5.40 mm </t>
  </si>
  <si>
    <t>23.11</t>
  </si>
  <si>
    <t xml:space="preserve">S/A/L/F in vertical position in bore well, ERW (Electric Resistance Welded) FE 410 plain slotted (having slot of size 1.6/3.2 mm) mild steel threaded and socketed - </t>
  </si>
  <si>
    <t xml:space="preserve">Supplying, assembling, lowering and fixing in vertical position in bore well, ERW (Electric Resistance Welded) FE 410 plain slotted (having slot of size 1.6/3.2 mm) mild steel threaded and socketed / plain bevel ended pipe (type A) of required dia, conforming to IS: 8110, of reputed and approved make, having wall thickness not less than 5.40 mm, including painted with outside surface with two coats of anticorrosive bitumastic paint of approved brand and manufacture, including hire &amp; labour charges, fittings &amp; accessories, all complete, for all depths, as per direction of Engineer -in-charge. </t>
  </si>
  <si>
    <t>23.11.1</t>
  </si>
  <si>
    <t>23.11.2</t>
  </si>
  <si>
    <t>23.11.3</t>
  </si>
  <si>
    <t>23.12</t>
  </si>
  <si>
    <t xml:space="preserve">Development of tube well in accordance with IS : 2800 (part I) and IS:11189, to establish maximum rate of usable water yield </t>
  </si>
  <si>
    <t xml:space="preserve">Development of tube well in accordance with IS : 2800 (part I) and IS:11189,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 </t>
  </si>
  <si>
    <t xml:space="preserve">hour </t>
  </si>
  <si>
    <t xml:space="preserve">One Hour                                  </t>
  </si>
  <si>
    <t>23.13</t>
  </si>
  <si>
    <t xml:space="preserve">P/F suitable size threaded mild steel cap or spot welded plate to the top of bore well </t>
  </si>
  <si>
    <t xml:space="preserve">Providing and fixing suitable size threaded mild steel cap or spot welded plate to the top of bore well housing/ casing pipe, removable as per requirement, all complete for bore well of: </t>
  </si>
  <si>
    <t>23.13.1</t>
  </si>
  <si>
    <t>23.13.2</t>
  </si>
  <si>
    <t>23.13.3</t>
  </si>
  <si>
    <t>23.14</t>
  </si>
  <si>
    <t xml:space="preserve">Providing and fixing M.S. clamp of required dia to the top of casing/ housing pipe of tubewell </t>
  </si>
  <si>
    <t xml:space="preserve">Providing and fixing M.S. clamp of required dia to the top of casing/ housing pipe of tubewell as per IS: 2800 (part I), including necessary bolts &amp; nuts of required size complete. </t>
  </si>
  <si>
    <t>23.14.1</t>
  </si>
  <si>
    <t xml:space="preserve">100 mm clamp </t>
  </si>
  <si>
    <t>23.14.2</t>
  </si>
  <si>
    <t xml:space="preserve">150 mm clamp </t>
  </si>
  <si>
    <t>23.14.3</t>
  </si>
  <si>
    <t xml:space="preserve">200 mm clamp </t>
  </si>
  <si>
    <t>23.15</t>
  </si>
  <si>
    <t xml:space="preserve">P/F Bail plug/ Bottom plug of required dia to the bottom of pipe assembly of tubewell </t>
  </si>
  <si>
    <t xml:space="preserve">Providing and fixing Bail plug/ Bottom plug of required dia to the bottom of pipe assembly of tubewell as per IS:2800 (part I). </t>
  </si>
  <si>
    <t>23.15.1</t>
  </si>
  <si>
    <t>23.15.2</t>
  </si>
  <si>
    <t>23.15.3</t>
  </si>
  <si>
    <t xml:space="preserve">Total of the Sub-Head - Rain Water Harvesting And Tube Well :  </t>
  </si>
  <si>
    <t xml:space="preserve">        Sub-Head : Conservation of Heritage Buildings</t>
  </si>
  <si>
    <t>24.1</t>
  </si>
  <si>
    <t xml:space="preserve">Raking out joints of stone masonry surface to the required width and depth by mechanical / manual means.. </t>
  </si>
  <si>
    <t xml:space="preserve">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 </t>
  </si>
  <si>
    <t>24.2</t>
  </si>
  <si>
    <t xml:space="preserve">P/F double scaffolding system (cup lock type) on the exterior side of building/structure, upto 25 metre height.. </t>
  </si>
  <si>
    <t xml:space="preserve">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
  </si>
  <si>
    <t xml:space="preserve">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t>
  </si>
  <si>
    <t xml:space="preserve">Note :- (1) The elevational area of the scaffolding shall be measured for payment purpose. </t>
  </si>
  <si>
    <t xml:space="preserve">(2) The payment will be made once only for execution of all items for such works. </t>
  </si>
  <si>
    <t>24.3</t>
  </si>
  <si>
    <t xml:space="preserve">Cleaning the sand stone surface and removing dirt, dust, bird dropping, grease, oil, algae, fungus, monkey beats, vegetable growth etc., </t>
  </si>
  <si>
    <t xml:space="preserve">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building/structure, all as per direction of Engineerin- charge (The rate is inclusive of all materials &amp; labours involved except scaffolding). </t>
  </si>
  <si>
    <t>24.4</t>
  </si>
  <si>
    <t xml:space="preserve">Providing and applying antifungal wash treatment using 3% solution of sodium pentachlorophenate </t>
  </si>
  <si>
    <t xml:space="preserve">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 </t>
  </si>
  <si>
    <t>24.5</t>
  </si>
  <si>
    <t xml:space="preserve">Ruled / Flush pointing on Red sand stone masonry surface with lime, surkhi and marble dust mortar in the ratio of 1:1.5:1/2 </t>
  </si>
  <si>
    <t xml:space="preserve">Ruled / Flush pointing on Red sand stone masonry surface with lime, surkhi and marble dust mortar in the ratio of 1:1.5:1/2 {One lime: 1.5 surkhi (50% red and 50% light yellow surkhi ) : 1/2 marble dust}. (The rate is inclusive of all materials &amp; labours involved except scaffolding). </t>
  </si>
  <si>
    <t>24.6</t>
  </si>
  <si>
    <t xml:space="preserve">Ruled/ Flush pointing on White sand stone masonry surface with lime, surkhi and marble dust mortar in the ratio of 1:1.5:1/2 </t>
  </si>
  <si>
    <t xml:space="preserve">Ruled/ Flush pointing on White sand stone masonry surface with lime, surkhi and marble dust mortar in the ratio of 1:1.5:1/2 {One lime : 1.5 surkhi (15% dark red and 85% light yellow surkhi) : 1/2 marble dust}. (The rate is inclusive of all materials &amp; labours involved except scaffolding). </t>
  </si>
  <si>
    <t>24.7</t>
  </si>
  <si>
    <t xml:space="preserve">Applying two or more coat of Ethyl Silicate chemical as approved by Archaeological Survey of India/ Engineer-in-charge </t>
  </si>
  <si>
    <t xml:space="preserve">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 </t>
  </si>
  <si>
    <t>24.8</t>
  </si>
  <si>
    <t xml:space="preserve">Applying breathable, non-reactive, antifungal, and water repellant Silane/ Siloxane chemical as approved by Archaeological Survey of India/ Engineer-in-charge </t>
  </si>
  <si>
    <t xml:space="preserve">Applying breathable, non-reactive, antifungal, and water repellant Silane/ Siloxane chemical as approved by Archaeological Survey of India/ Engineer-in-charge,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 </t>
  </si>
  <si>
    <t xml:space="preserve">Total of the Sub-Head - Conservation Of Heritage Buildings :  </t>
  </si>
  <si>
    <t xml:space="preserve">        Sub-Head : Structural Glazing and Aluminium Co</t>
  </si>
  <si>
    <t>25.1</t>
  </si>
  <si>
    <t xml:space="preserve">P/S aluminium extruded tubular and other aluminium sections as per the architectural drawings and approved shop drawings </t>
  </si>
  <si>
    <t xml:space="preserve">Providing and supplying aluminium extruded tubular and other aluminium sections as per the architectural drawings and approved shop drawings , the aluminium quality as per grade 6063 T5 or T6 as per BS 1474, including super durable powder coating of 60-80 microns conforming to AAMA 2604 of required colour and shade as approved by the Engineer-in-Charge. (The item includes cost of material such as cleats, sleeves, screws etc. necessary for fabrication of extruded aluminium frame work. Nothing extra shall be paid on this account). The weight of aluminium extruded section shall be taken for purpose of payment. </t>
  </si>
  <si>
    <t>25.2</t>
  </si>
  <si>
    <t xml:space="preserve">Designing, fabricating, testing, protection, installing and fixing in position semi (grid) unitized system of structural glazing (with open joints) for linear as well as curvilinear portions of the building for all heights and all levels including: </t>
  </si>
  <si>
    <t>25.3</t>
  </si>
  <si>
    <t xml:space="preserve">Providing, assembling and supplying vision glass panels (IGUs) comprising of hermetically-sealed 6-12- 6 mm insulated glass (double glazed) vision panel units of size and shape as required and specified </t>
  </si>
  <si>
    <t xml:space="preserve">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strengthened clear float glass 6mm thick, spacer tube 12mm wide, desiccants, including primary seal and secondary seal (structural silicone sealant) etc., all complete for the required performances, as per the Architectural drawings, as per the approved shop drawings, as specified and as directed by the Engineer-in-Charge. </t>
  </si>
  <si>
    <t xml:space="preserve">The IGUs shall be assembled in the factory/ workshop of the glass processor. (Payment for fixing of IGU Panels in the curtain glazing is included in cost of item No.25.2) For payment, only the actual area of glass on face # 1 of the glass panels (excluding the areas of the grooves and weather silicone sealant) provided and fixed in position, shall be measured in sqm. </t>
  </si>
  <si>
    <t xml:space="preserve">(i) Coloured tinted float glass 6mm thick substrate with reflective soft coating on face # 2, + 12mm Air gap + 6mm Heat Strengthened clear Glass of approved make having properties as visible Light transmittance (VLT) of 25 to 35 %, Light reflection internal 10 to 15%, light reflection external 10 to 20%, shading coefficient (0.25- 0.28) and U value of 3.0 to 3.3 W/m2 degree K etc. The properties of performance glass shall be decided by the technical sanctioning authority as per the site requirement. </t>
  </si>
  <si>
    <t>25.4</t>
  </si>
  <si>
    <t xml:space="preserve">Extra for openable side / top hung vision glass panels (IGUs) including providing and supplying at site all accessories and hardwares for the openable panels as specified. </t>
  </si>
  <si>
    <t xml:space="preserve">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Engineer-in- Charge. </t>
  </si>
  <si>
    <t>25.5</t>
  </si>
  <si>
    <t xml:space="preserve">Providing, fabricating and supplying shadow box of required size and shape, for fixing in the spandrel portion of the structural glazing </t>
  </si>
  <si>
    <t xml:space="preserve">Providing, fabricating and supplying shadow box of required size and shape, for fixing in the spandrel portion of the structural glazing, in linear as well as curvilinear portions of the building by providing semi -rigid, inorganic, non-combustible fibre glass wool insulation 50 mm thick, conforming to IS: 8183 and BS: 3958 Part 5. </t>
  </si>
  <si>
    <t xml:space="preserve">The insulation layer shall have facing (factory bonded on surface # 1of the fibre glass insulation layer), of black non-woven fibre glass tissue of nominal thickness 0.5 mm and nominal mass not less than 60 gm / sqm, made of randomly oriented glass fibres distributed in a binder by a wet-lay process including fixing 1.5 mm thick solid aluminum sheet backing using, 6 mm thick cement board including SS rivets, nuts, bolts, washers etc complete. </t>
  </si>
  <si>
    <t>25.6</t>
  </si>
  <si>
    <t xml:space="preserve">Providing and supplying Spandrel Glass Panels comprising of 6 mm thick heat strengthened monolithic float glass of approved colour and shade with reflective soft coating </t>
  </si>
  <si>
    <t xml:space="preserve">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t>
  </si>
  <si>
    <t xml:space="preserve">For payment, only the actual area of glass on face # 1 of the glass panels (but excluding the area of grooves and weather silicone sealant) provided and fixed in position, shall be measured in sqm. </t>
  </si>
  <si>
    <t xml:space="preserve">(Payment for fixing of Spandrel Glass Panels in the curtain glazing is included in cost of relevant Item*). </t>
  </si>
  <si>
    <t xml:space="preserve">(i) Coloured tinted float glass 6mm thick substrate with reflective soft coating on face # 2, having properties as visible Light transmittance (VLT) of 25 to 35 %, Light reflection internal 10 to 15%, light reflection external 10 to 20%, shading coefficient (0.25- 0.28) and U value of 3.0 to 3.3 W/m2 K etc. The properties of performance glass shall be decided by the technical sanctioning authority as per the site requirement. </t>
  </si>
  <si>
    <t>25.8</t>
  </si>
  <si>
    <t xml:space="preserve">Design supply &amp; installation of suspended Spider Glazing system designed to withstand the wind pressure as per IS 875 (Part-III). </t>
  </si>
  <si>
    <t xml:space="preserve">Design supply &amp; installation of suspended Spider Glazing system designed to withstand the wind pressure as per IS 875 (Part-III). The Suspended System held with Spider Fittings of SS-316 Grade Steel of approved manufacturer with glass panel having 12 mm thick clear toughened glass held together with SS- 316 Grade Stainless steel Spider &amp; bolt assembly with laminated glass fins 21 mm thick. The Glass fins and glass panel assembly shall be connected to Slab/beams by means of SS- 316 Grade stainless steel brackets &amp; Anchor bolts and at the bottom using SS channel of 50x25x2mm using fastener &amp; anchor bolts, non staining weather sealants of approved make, Teflon/ nylon bushes and separators to prevent bi-metallic contacts, all complete to perform as per specification and approved drawings. </t>
  </si>
  <si>
    <t xml:space="preserve">Total of the Sub-Head - Structural Glazing And Aluminium Co :  </t>
  </si>
  <si>
    <t xml:space="preserve">        Sub-Head : New  Technologies and  Materials</t>
  </si>
  <si>
    <t>26.1</t>
  </si>
  <si>
    <t xml:space="preserve">P/F Phenol bonded Bamboowood flooring with planks of sizes 14mm thick, 1800mm length (minimum) and 130 mm wide(minimum) </t>
  </si>
  <si>
    <t xml:space="preserve">Providing &amp; fixing in position Phenol bonded Bamboowood flooring with planks of sizes 14mm thick, 1800mm length (minimum) and 130 mm wide(minimum), in approved colour, texture and finish, having Performance Appraisal Certificate (PAC) issued by Building Materials &amp; Technology Promotion Council (BMTPC). </t>
  </si>
  <si>
    <t xml:space="preserve">The flooring shall be fixed with tongue and groove interlocking system, with underlayment of 4mm thick expanded polyethylene foam sheets having density 40kg/cum, over prepared surface with necessary quarter round planks of size 1900mm x 18mm and door reducer of size 1900mm x 44mm, wherever required. The bamboowood planks shall have minimum density of 1000 Kg/cum &amp; minimum Hardness 1000 Kgf. with Eco friendly UV coating, all complete as per direction of the Engineer in-charge. </t>
  </si>
  <si>
    <t>26.2</t>
  </si>
  <si>
    <t xml:space="preserve">P/F Phenol bonded Bamboowood in wall skirting with planks of sizes 14mm thick, 1900mm length (minimum) and 85mm wide(minimum) </t>
  </si>
  <si>
    <t xml:space="preserve">Providing &amp; fixing in position Phenol bonded Bamboowood in wall skirting with planks of sizes 14mm thick, 1900mm length (minimum) and 85mm wide(minimum), in approved colour, texture and finish, having Performance Appraisal Certificate (PAC) issued by Building Materials &amp; Technology Promotion Council (BMTPC). The skirting shall be fixed with SS screws &amp; rawl plugs, over underlayment of 4mm thick, expanded polyethylene foam sheets having 40kg/cum density over prepared surface. The bamboowood planks shall have minimum density of 1000Kg/cum &amp; minimum Hardness 1000 Kgf. with Eco friendly UV coating, all complete as per direction of the Engineer in-charge. </t>
  </si>
  <si>
    <t>26.3</t>
  </si>
  <si>
    <t xml:space="preserve">P/F Phenol bonded Bamboowood wall cladding at all height with planks of sizes 10mm thick, 1800mm length (minimum) and 130 mm wide (minimum) </t>
  </si>
  <si>
    <t xml:space="preserve">Providing &amp; fixing in position Phenol bonded Bamboowood in wall cladidng at all heights with planks of sizes 10 mm thick, minimum 1800 mm length and minimum 100 mm wide, in approved colour, texture and finish, having Performance Appraisal Certificate (PAC) issued by Building Materials &amp; Technology Promotion Council (BMTPC), with necessary profiled edges fixed with40 mm SS Screws 5 nos in each tile to framework made of second class teakwood of size 20 x 15 mm in centre of each tile and bottom &amp; top of work height, 40 x 15 mm placed at end of each tile&gt; The cladding shall be laid over back layment of 1.00 mm thick expanded polythyline foam of density 40 kg/sqm in two layers, first layer on wall surface before fixing wooden frame and second layer on frame under cladding. The bamboowood planks shall have minimum density of 1000Kg/cum &amp; minimum Hardness 1000 Kgf. with Eco friendly UV coating, all complete as per direction of the Engineer in-charge. </t>
  </si>
  <si>
    <t>26.4</t>
  </si>
  <si>
    <t xml:space="preserve">P/F Phenol bonded Bamboowood panelled or panelled and glazed shutters for doors windows, clerestorey windows with pre-molded 30mm thick planks.. </t>
  </si>
  <si>
    <t xml:space="preserve">Providing &amp; fixing in position Phenol bonded Bamboowood panelled or panelled and glazed shutters for doors windows, clerestorey windows with pre-molded 30mm thick planks, in approved colours, texture &amp; finish. It shall have 10mm wide, 25mm deep groove to fit in panels. The bamboo wood shall have minimum density of 1000 Kg/ cum, minimum Hardness 1000 Kgf. All styles and rails shall have profiled interlocking system locked in place by bamboo pins, all complete as per direction of Engineer in charge. (The panelling will be paid for separately). </t>
  </si>
  <si>
    <t>26.5</t>
  </si>
  <si>
    <t xml:space="preserve">P/F Phenol bonded Bamboowood panelling of 10mm thick, in 25 to 40 mm thick panelled or panelled &amp; glazed shutters for doors, windows, clerestorey windows </t>
  </si>
  <si>
    <t xml:space="preserve">Providing &amp; fixing in position Phenol bonded Bamboowood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 all complete as per direction of the Engineer in-charge. (area of opening for panel inserts excluding portion inside grooves or rebates to be measured) </t>
  </si>
  <si>
    <t>26.6</t>
  </si>
  <si>
    <t xml:space="preserve">P/F 65 mm thick factory made door frame of Phenol bonded Bamboo wood (superior class, interior use) </t>
  </si>
  <si>
    <t xml:space="preserve">Providing &amp; fixing in position 65 mm thick factory made door frame of Phenol bonded Bamboo wood (superior class, interior use), in approved colour, texture and finish. The bamboo wood shall have minimum density of 1000 Kg/cum, minimum hardness 1000 Kgf. The door frame shall have tenon &amp; mortise interlocking system, to be fixed to the wall with 100 mm size G.I screws all a complete as per direction of Engineer-in charge. </t>
  </si>
  <si>
    <t>Cu. D</t>
  </si>
  <si>
    <t xml:space="preserve">One Cubic Decimetre                       </t>
  </si>
  <si>
    <t>26.6A</t>
  </si>
  <si>
    <t xml:space="preserve">P/E/L/F 3.5 to 4 mm thick bamboo mat corrugated sheet (BMCS) as per IS: 15476-2004 in roofing </t>
  </si>
  <si>
    <t xml:space="preserve">Providing, erecting, laying and fixing in position in 3.5 to 4 mm thick bamboo mat corrugated sheet (BMCS) as per IS: 15476-2004 in roofing with self drilling screws along with EPDM washers complete or with galvanized iron J or L hooks 8mm dia G.I. plain and bitumen washers etc, all complete as per direction of Engineer-in-Charge. </t>
  </si>
  <si>
    <t>26.6B</t>
  </si>
  <si>
    <t xml:space="preserve">P/F in position ridges of 3.5 to 4 mm thick bamboo mat ridge cap (BMRC) as per IS: 15476-2004 in roofing </t>
  </si>
  <si>
    <t xml:space="preserve">Providing and fixing in position ridges of 3.5 to 4 mm thick bamboo mat ridge cap (BMRC) as per IS: 15476-2004 in roofing with self drilling screws along with EPDM washers complete or with galvanized iron J or L hooks 8mm dia G.I. plain and bitumen washers etc, all complete as per direction of Engineer-in- Charge. </t>
  </si>
  <si>
    <t>26.6C</t>
  </si>
  <si>
    <t xml:space="preserve">P/F at all height false ceiling of 4mm thick phenol bonded Bamboo Mat board (595x595mm) conforming to IS:13958-1994 </t>
  </si>
  <si>
    <t xml:space="preserve">Providing and fixing at all height false ceiling of 4mm thick phenol bonded Bamboo Mat board (595x595mm) conforming to IS:13958-1994 including providing and fixing of frame work made of GI angle 25x25x0.4 mm thick all around suitably fixed to wall with the help of dash fastener and hanger frame (600x600 c/c) made GI slotted Tee having powder coating on bottom side (30x25x0.3 mm thick for main member &amp; 25x25x0.3 mm for cross member) connected to ceiling with 2.64mm GI wire and anchor fastener at every junction and also including cost of making openings for light fittings, grills, diffusers, cut outs made with frame of perimeter channels suitably fixed all complete as per direction of Engineer-in-charge. </t>
  </si>
  <si>
    <t>26.6D</t>
  </si>
  <si>
    <t xml:space="preserve">P/F at Bamboo Mat board conforming to IS:13958-1994 for partition </t>
  </si>
  <si>
    <t xml:space="preserve">Providing and fixing at Bamboo Mat board conforming to IS:13958-1994 for partition to frame by bucking or studding with screws etc. complete (Frames, backing or studding to be paid separately) </t>
  </si>
  <si>
    <t>26.6D.1</t>
  </si>
  <si>
    <t xml:space="preserve">3 mm thickness </t>
  </si>
  <si>
    <t>26.6D.2</t>
  </si>
  <si>
    <t xml:space="preserve">4 mm thickness </t>
  </si>
  <si>
    <t>26.6D.3</t>
  </si>
  <si>
    <t xml:space="preserve">6 mm thickness </t>
  </si>
  <si>
    <t>26.6D.4</t>
  </si>
  <si>
    <t xml:space="preserve">9 mm thickness </t>
  </si>
  <si>
    <t>26.6D.5</t>
  </si>
  <si>
    <t xml:space="preserve">12 mm thickness </t>
  </si>
  <si>
    <t>26.6E</t>
  </si>
  <si>
    <t xml:space="preserve">P/F at all height wall panelling with phenol bonded Bamboo Mat board conforming to IS:13958-1994 </t>
  </si>
  <si>
    <t xml:space="preserve">Providing and fixing at all height wall panelling with phenol bonded Bamboo Mat board conforming to IS:13958-1994 including providing and fixing to frame work made of 50mm x 50mm hardwood plugs including cutting brick work and fixing in cement mortar and making good the wall etc. and also providing and fixing wooden moulded corner beading of triangular shape to the junction of panelling etc. with iron screws all complete as per direction of Engineer-in-Charge. </t>
  </si>
  <si>
    <t>26.6E.1</t>
  </si>
  <si>
    <t>26.6E.2</t>
  </si>
  <si>
    <t>26.7</t>
  </si>
  <si>
    <t xml:space="preserve">P/F 50 mm thick extruded polystyrene rigid insulation board of required size between cavity wall </t>
  </si>
  <si>
    <t xml:space="preserve">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 in-Charge. </t>
  </si>
  <si>
    <t>26.8</t>
  </si>
  <si>
    <t xml:space="preserve">P/F 50 mm thick extruded polystyrene rigid insulation board of required size underdeck on ceiling surface </t>
  </si>
  <si>
    <t xml:space="preserve">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t>
  </si>
  <si>
    <t>26.9</t>
  </si>
  <si>
    <t xml:space="preserve">P/F factory made solid Foam uPVC profile for kitchen cabinet frame (45 x 20 mm) </t>
  </si>
  <si>
    <t xml:space="preserve">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Engineer-in-charge. </t>
  </si>
  <si>
    <t>26.10</t>
  </si>
  <si>
    <t xml:space="preserve">P/F factory made Kitchen Cabinet Shutter/Partition 20 mm nominal thickness.. </t>
  </si>
  <si>
    <t xml:space="preserve">Providing and fixing factory made Kitchen Cabinet Shutter /Partition 20 mm nominal thickness of approved shade, quality and make, made from rigid foam sheets (Single extruded) having density 600 Kg/cum and laminated on both side by laminate Sheet/ PVC foil lamination. The exposed edges shall be sealed with PVC edge beading of same shade and colour. The shutter shall be fire retardent having necessary screw holding capacity. Shutter shall be fixed to frame using approved hinges with necessary stainless steel screws, all complete as per direction of Engineer-in-charge. </t>
  </si>
  <si>
    <t>26.11</t>
  </si>
  <si>
    <t xml:space="preserve">Providing and fixing concealed hinge of approved quality for 19-20mm thick door </t>
  </si>
  <si>
    <t xml:space="preserve">Providing and fixing concealed hinge of approved quality for 19-20mm thick door with stainless steel screws complete : </t>
  </si>
  <si>
    <t>26.12</t>
  </si>
  <si>
    <t xml:space="preserve">S/L bi-axial extruded high modulus polypropylene geogrid coforming to MORTH SPECIFICATION for base/sub-base reinforcement </t>
  </si>
  <si>
    <t xml:space="preserve">Supplying &amp; laying of bi-axial extruded high modulus polypropylene geogrid coforming to MORTH SPECIFICATION for base/ 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t>
  </si>
  <si>
    <t>26.13</t>
  </si>
  <si>
    <t xml:space="preserve">S/L of bi-axial extruded high modulus polypropylene geogrid coforming to MORTH SPECIFICATION for base/sub-base reinforcement having minimum tensile strength 20kN/m </t>
  </si>
  <si>
    <t xml:space="preserve">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t>
  </si>
  <si>
    <t>26.14</t>
  </si>
  <si>
    <t xml:space="preserve">S/L of bi-axial extruded high modulus polypropylene geogrid coforming to MORTH SPECIFICATION for base/sub-base reinforcement having minimum tensile strength 30kN/m in the longitudinal and transverse direction </t>
  </si>
  <si>
    <t xml:space="preserve">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t>
  </si>
  <si>
    <t>26.15</t>
  </si>
  <si>
    <t xml:space="preserve">S/L bi-axial extruded high modulus polypropylene geogrid coforming to MORTH SPECIFICATION for base/sub-base reinforcement having minimum tensile strength 40kN/m in the longitudinal and transverse direction </t>
  </si>
  <si>
    <t xml:space="preserve">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t>
  </si>
  <si>
    <t>26.16</t>
  </si>
  <si>
    <t xml:space="preserve">S/L drainage composite for use behind walls, between two different fills, alongside drains of road, below concrete lining of canals etc. </t>
  </si>
  <si>
    <t xml:space="preserve">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t>
  </si>
  <si>
    <t xml:space="preserve">Minimum thickness to be 7.2mm, with two filtering UV stabilized polypropylene nonwoven geotextile of minimum thickness of 0.75mm characteristic opening size (090) of 110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 </t>
  </si>
  <si>
    <t>26.17</t>
  </si>
  <si>
    <t xml:space="preserve">S/L of drainage composite for use behind walls, between two different fills, alongside drains of road, below concrete lining of canals etc. </t>
  </si>
  <si>
    <t xml:space="preserve">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easily accessible location including top and bottom, with all leads and lifts, manpower and machinery, materials, labour etc. complete and as directed by Engineer - In - Charge. </t>
  </si>
  <si>
    <t>26.18</t>
  </si>
  <si>
    <t xml:space="preserve">S/L high strength flexible geogrids (HSFG) as soil reinforcement / basal reinforcement as per MORTH 3100 and IRC 113 </t>
  </si>
  <si>
    <t xml:space="preserve">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t>
  </si>
  <si>
    <t>26.18.1</t>
  </si>
  <si>
    <t xml:space="preserve">Ultimate tensile strength- 100 kN/m </t>
  </si>
  <si>
    <t>26.18.2</t>
  </si>
  <si>
    <t xml:space="preserve">Ultimate tensile strength- 150 kN/m </t>
  </si>
  <si>
    <t>26.18.3</t>
  </si>
  <si>
    <t xml:space="preserve">Ultimate tensile strength- 200 kN/m </t>
  </si>
  <si>
    <t>26.18.4</t>
  </si>
  <si>
    <t xml:space="preserve">Ultimate tensile strength- 250 kN/m </t>
  </si>
  <si>
    <t>26.18.5</t>
  </si>
  <si>
    <t xml:space="preserve">Ultimate tensile strength- 300 kN/m </t>
  </si>
  <si>
    <t>26.18.6</t>
  </si>
  <si>
    <t xml:space="preserve">Ultimate tensile strength- 350 kN/m </t>
  </si>
  <si>
    <t>26.18.7</t>
  </si>
  <si>
    <t xml:space="preserve">Ultimate tensile strength- 400 kN/m </t>
  </si>
  <si>
    <t>26.18.8</t>
  </si>
  <si>
    <t xml:space="preserve">Ultimate tensile strength- 500 kN/m </t>
  </si>
  <si>
    <t>26.18.9</t>
  </si>
  <si>
    <t xml:space="preserve">Ultimate tensile strength- 600 kN/m </t>
  </si>
  <si>
    <t>26.18.10</t>
  </si>
  <si>
    <t xml:space="preserve">Ultimate tensile strength- 700 kN/m </t>
  </si>
  <si>
    <t>26.18.11</t>
  </si>
  <si>
    <t xml:space="preserve">Ultimate tensile strength- 800 kN/m </t>
  </si>
  <si>
    <t>26.18.12</t>
  </si>
  <si>
    <t xml:space="preserve">Ultimate tensile strength- 900 kN/m </t>
  </si>
  <si>
    <t>26.18.13</t>
  </si>
  <si>
    <t xml:space="preserve">Ultimate tensile strength- 1000 kN/m </t>
  </si>
  <si>
    <t>26.18.14</t>
  </si>
  <si>
    <t xml:space="preserve">Ultimate tensile strength- 1100 kN/m </t>
  </si>
  <si>
    <t>26.18.15</t>
  </si>
  <si>
    <t xml:space="preserve">Ultimate tensile strength- 1200 kN/m </t>
  </si>
  <si>
    <t>26.19</t>
  </si>
  <si>
    <t xml:space="preserve">Prvdng. Aluminium profile industrial troughed sheet of Alloy 31500/ 31000/ 40800, conforming to IS 1254, IS 737, IS 2676. </t>
  </si>
  <si>
    <t xml:space="preserve">Providing at all heights, levels and locations Aluminium profile industrial troughed sheet of Alloy 31500/ 31000/ 40800, conforming to IS 1254, IS 737, IS 2676. The sheet shall be fixed using self drilling/ self tapping SS screws of size 5.5x65 mm with EPDM seal complete upto required pitch in horizontal, vertical or curved surfaces i/c cutting to size and shape where required as per specifications, detail drawings and direction of Engineer -in- Charge. The rate shall be inclusive of all screws, seal, ridge, labour, scaffolding, machinery for fixing and approved sealent where required etc. but excluding the cost of purlins, rafters and trusses. </t>
  </si>
  <si>
    <t>26.19.1</t>
  </si>
  <si>
    <t xml:space="preserve">0.71 mm thick, the profile detail width 1044/920 mm, cover width 1000/875 mm. </t>
  </si>
  <si>
    <t>26.19.2</t>
  </si>
  <si>
    <t xml:space="preserve">0.91 mm thick, the profile detail width 1044/920 mm, cover width 1000/875 mm. </t>
  </si>
  <si>
    <t>26.22</t>
  </si>
  <si>
    <t xml:space="preserve">P/F false ceiling with integral densified calcium silicate false ceiling tiles of Size 595x595mm and frame work </t>
  </si>
  <si>
    <t xml:space="preserve">Providing and fixing false ceiling at all heights with integral densified calcium silicate reinforced with fibre and natural filler false ceiling tiles of Size 595x595mm of approved texture, design and patterns having NRC (Noise Reduction coefficient) of 0.50 (minimum) as per IS 8225:1987, Light reflectance of 85% (minimum). </t>
  </si>
  <si>
    <t xml:space="preserve">Non combustible as per BS:476 (part-4), fire performance as per BS:476 (part 6 &amp;7), humidity resistance of 100%, thermal conductivity &lt; 0.043 W/m K as per ASTM 518:1991, in true horizontal level suspended on interlocking metal T-Grid of hot dipped galvanised iron section of 0.33mm thick (galvanized @ 120 grams per sqm including both sides) comprising of main-T runners of size 24x38 mm of length 3000 mm, cross - T of size 24x32 mm of length 1200 mm and secondary intermediate cross-T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t>
  </si>
  <si>
    <t xml:space="preserve">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 </t>
  </si>
  <si>
    <t>26.22.1</t>
  </si>
  <si>
    <t xml:space="preserve">With 15 mm thick tegular edged light weight calcium silicate false ceiling tiles. </t>
  </si>
  <si>
    <t>26.22.2</t>
  </si>
  <si>
    <t xml:space="preserve">With 15 mm thick tegular/butt edged w/o perforation plain/designer light weight calcium silicate Anti-Microbial Bio-Safe coated tiles. </t>
  </si>
  <si>
    <t xml:space="preserve">With 15 mm thick tegular/butt edged without perforation plain/designer light weight calcium silicate Anti-Microbial Bio-Safe coated false ceiling tiles Confirming to JIS-Z2801 and ASTM G-21 </t>
  </si>
  <si>
    <t>26.23</t>
  </si>
  <si>
    <t xml:space="preserve">P/F false ceiling with integral densified calcium silicate false ceiling tiles of Size 595x595 with frame work </t>
  </si>
  <si>
    <t xml:space="preserve">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t>
  </si>
  <si>
    <t xml:space="preserve">Non combustible as per BS:476 (part-4), fire performance as per BS:476 (part 6 &amp;7), humidity resistance of 100%, thermal conductivity &lt; 0.043 W/m K as per ASTM 518:1991, in true horizontal level suspended on interlocking metal powder coated T-Grid of hot dipped galvanised iron section of 0.40 mm thick on Silhouette profile,rotary stiched double webbed white with 6mm reveal profile (white/black), comprising of main-T runners of size 15x42mm of length 3000 mm, cross - T of size 15x42 mm of length 1200 mm and secondary intermediate cross- T of size 15x42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 mm. </t>
  </si>
  <si>
    <t xml:space="preserve">Galvanised iron perimeter wall angle of size 22x19x0.40 mm of length 3000 mm to be fixed on periphery wall / partition with the help of plastic rawl plugs at 450 mm center to center and 40mm long dry wall S.S screws. The work shall be carried out as per specifications, drawing and as per directions of the Engineer-in-Charge. </t>
  </si>
  <si>
    <t>26.23.1</t>
  </si>
  <si>
    <t xml:space="preserve">With 15 mm thick integral densified micro edge light weight calcium silicate false ceiling tiles </t>
  </si>
  <si>
    <t>26.24</t>
  </si>
  <si>
    <t xml:space="preserve">P/F wall panelling with integral densified calcium silicate panels/tiles and frame work </t>
  </si>
  <si>
    <t xml:space="preserve">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 50mm long wedge type expanded zinc alloy dash fastner with 10mm bolt. </t>
  </si>
  <si>
    <t xml:space="preserve">This same channel is then to be fixed in horiziontal direction at 600mm center to center so as to form a grid of 600mm x 600mm. Glasswool of 50mm thickness is then to be inserted in the slots and finally calcium silicate non combustible panels/ 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roll and two coats of primer suitable for panelling as per manufacturer’s specification as per direction of Engineer-in-Charge all complete. </t>
  </si>
  <si>
    <t>26.24.1</t>
  </si>
  <si>
    <t xml:space="preserve">With 15 mm thick fully perforated square/butt edge light weight calcium silicate panels/ tiles </t>
  </si>
  <si>
    <t>26.25</t>
  </si>
  <si>
    <t xml:space="preserve">P/F 15 mm thick false ceiling tiles with integral densified calcium silicate false ceiling tiles </t>
  </si>
  <si>
    <t xml:space="preserve">Providing and fixing 15 mm thick false ceiling tiles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on the existing frame work consisting of T-sections and L - sections suitably fixed according to tile size as per direction of Engineer-in-charge. </t>
  </si>
  <si>
    <t>26.26</t>
  </si>
  <si>
    <t xml:space="preserve">P/F 15 mm thick false ceiling tiles with integral densified calcium silicate false ceiling tiles and frame work </t>
  </si>
  <si>
    <t xml:space="preserve">Providing &amp; fixing false ceiling at all heights with GRG (Glass Fibre Reinforced Gypsum) false ceiling tiles of Size 595x595 mm of approved texture, design and patterns having moisture content less than 2%, humidity resistance of 99%, NRC0.50 to 0.75 as per IS 8225:1987, Non combustible as per BS 476 (part 4)-1970 and light reflectance of 85% (minimum) to be laid in true horizontal level suspended on inter-locking metal T-Grid of hot dipped galvanised iron section of 0.33mm thick (galvanized @ 120 grams per sqm including both sides) comprising of main-T runners of size 15x32 mm of length 3000 mm, cross - T of size 15x32 mm of length 1200 mm and secondary intermediate cross-T of size 15x32 mm of length 600mm to form grid module of size 600 x 600 mm, suspended from ceiling using galvanised mild steel items (galvanizing @ 80 grams per sqm) i.e. 50 mm long, </t>
  </si>
  <si>
    <t xml:space="preserve">8 mm outer diameter M-6 dash fasteners, 6 mm dia fully threaded hanger rod upto 1000 mm length and L-shape level adjuster of size 85x25x2 mm. Galvanised iron perimeter wall angle of size 24x24x0.40 mm of length 3000 mm to be fixed on periphery wall / partition with the help of plastic rawl plugs at 450 mm center to center and 40 mm long dry wall wood screws. The work shall be carried out as per specifications, drawing and as per directions of the Engineer-in-Charge. </t>
  </si>
  <si>
    <t>26.26.1</t>
  </si>
  <si>
    <t xml:space="preserve">With semi perforated 12 mm thick micro tegular edged GRG false ceiling tiles. </t>
  </si>
  <si>
    <t>26.26.2</t>
  </si>
  <si>
    <t xml:space="preserve">With fully perforated 12 mm thick micro tegular edged or 10 mm thick square edged GRG false ceiling tiles. </t>
  </si>
  <si>
    <t>26.27</t>
  </si>
  <si>
    <t xml:space="preserve">Providing and fixing mineral fibre false ceiling tiles at all heights of size 595X595mm of approved texture, design and pattern. The tiles should have Humidity Resistance (RH) of 99%, Light Reflectance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 @ 80 gsm) 50 mm long 8mm outer diameter M-6 dash fasteners, 6 mm diameter fully threaded hanger rod up to 1000 mm length and L-shape level adjuster of size 85x25x2 mm, </t>
  </si>
  <si>
    <t xml:space="preserve">spaced at 1200 mm centre to centre along main ‘T’. The system should rest on periphery walls /partitions with the help of GI perimeter wall angle of size 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t>
  </si>
  <si>
    <t>26.27.1</t>
  </si>
  <si>
    <t xml:space="preserve">With 16 mm thick beveled tegular mineral fibre false ceiling tile (NRC 0.55 to 0.6) </t>
  </si>
  <si>
    <t>26.27.2</t>
  </si>
  <si>
    <t xml:space="preserve">With 20 mm thick beveled tegular mineral fibre false ceiling tile (NRC 0.7) </t>
  </si>
  <si>
    <t>26.27.3</t>
  </si>
  <si>
    <t xml:space="preserve">With 16 mm thick beveled tegular mineral fibre Antimicrobial false ceiling tile </t>
  </si>
  <si>
    <t xml:space="preserve">With 16 mm thick beveled tegular mineral fibre Antimicrobial false ceiling tile confirming to ISO 5 (class 100) specifications </t>
  </si>
  <si>
    <t>26.28</t>
  </si>
  <si>
    <t xml:space="preserve">Chipping of unsound/weak concrete material from slabs, beams, columns etc. with manual Chisel and/ or by standard power driven percussion type </t>
  </si>
  <si>
    <t xml:space="preserve">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t>
  </si>
  <si>
    <t>26.28.1</t>
  </si>
  <si>
    <t xml:space="preserve">75 mm average thickness </t>
  </si>
  <si>
    <t>26.28.2</t>
  </si>
  <si>
    <t xml:space="preserve">50 mm average thickness </t>
  </si>
  <si>
    <t>26.28.3</t>
  </si>
  <si>
    <t xml:space="preserve">25 mm average thickness </t>
  </si>
  <si>
    <t>26.29</t>
  </si>
  <si>
    <t xml:space="preserve">Cleaning of reinforcement from rust from the reinforcing bars to give it a total rust free steel surface by using alkaline chemical rust remover </t>
  </si>
  <si>
    <t xml:space="preserve">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t>
  </si>
  <si>
    <t>26.29.1</t>
  </si>
  <si>
    <t xml:space="preserve">Bars upto 12 mm diameter </t>
  </si>
  <si>
    <t>26.29.2</t>
  </si>
  <si>
    <t xml:space="preserve">Bars above 12 mm diameter </t>
  </si>
  <si>
    <t>26.30</t>
  </si>
  <si>
    <t xml:space="preserve">Drilling holes in reinforced or plain cement concrete with power driven drill machine to a minimum depth of 100mm upto 200mm in RCC beams, lintels, columns and slabs to introduce steel bars for sunshades/balconies </t>
  </si>
  <si>
    <t xml:space="preserve">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 </t>
  </si>
  <si>
    <t>26.30.1</t>
  </si>
  <si>
    <t xml:space="preserve">Upto and including 12mm dia. </t>
  </si>
  <si>
    <t>26.31</t>
  </si>
  <si>
    <t xml:space="preserve">P/M/A bonding coat of approved adhesive on chipped portion of RCC </t>
  </si>
  <si>
    <t xml:space="preserve">Providing, mixing and applying bonding coat of approved adhesive on chipped portion of RCC as per specifications and direction of Engineer-In-charge complete in all respect. </t>
  </si>
  <si>
    <t>26.31.1</t>
  </si>
  <si>
    <t xml:space="preserve">SBR Polymer (@10% of cement weight) modified cementitious bond coat @ 2.2 kg cement per sqm of surface area mixed with specified proportion of approved polymer </t>
  </si>
  <si>
    <t>26.31.2</t>
  </si>
  <si>
    <t xml:space="preserve">Epoxy bonding adhesive having coverage 2.20 sqm/kg of approved make. </t>
  </si>
  <si>
    <t>26.32</t>
  </si>
  <si>
    <t xml:space="preserve">P/M/A SBR polymer modified Cement mortar in proportion of 1:4 (1 cement: 4 graded coarse sand with polymer minimum 2% by wt. of cement used) </t>
  </si>
  <si>
    <t xml:space="preserve">Providing, mixing and applying SBR polymer (of approved make) modified Cement mortar in proportion of 1:4 (1 cement: 4 graded coarse sand with polymer minimum 2% by wt. of cement used) as per specifications and directions of Engineer-in-charge. </t>
  </si>
  <si>
    <t xml:space="preserve">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t>
  </si>
  <si>
    <t>26.32.1</t>
  </si>
  <si>
    <t xml:space="preserve">12 mm average thickness. </t>
  </si>
  <si>
    <t>26.32.2</t>
  </si>
  <si>
    <t xml:space="preserve">25 mm average thickness in 2 layers. </t>
  </si>
  <si>
    <t>26.32.3</t>
  </si>
  <si>
    <t xml:space="preserve">50 mm average thickness in 3 layers. </t>
  </si>
  <si>
    <t>26.33</t>
  </si>
  <si>
    <t xml:space="preserve">P/M/A SBR polymer modified plain/reinforced cement concrete for structural members </t>
  </si>
  <si>
    <t xml:space="preserve">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t>
  </si>
  <si>
    <t xml:space="preserve">Note: Rates shall be for finished surface area of concrete and shall include the cost of labour, concrete and appropriate approved Super- Plasticiser for rendering concrete as flowable and SBR polymer but shall exclude cost of reinforcement, bond coat, Shear Keys, centering and shuttering, strutting, propping etc. </t>
  </si>
  <si>
    <t xml:space="preserve">(Payment under this item shall be made only after proper wet curing has been done and surface has been satisfactorily evaluated by sounding/ tapping with a blunt metal instrument) </t>
  </si>
  <si>
    <t>26.33.1</t>
  </si>
  <si>
    <t xml:space="preserve">50mm thick in Grade M 25 with cement content not less than 330 kg per cum </t>
  </si>
  <si>
    <t>26.33.2</t>
  </si>
  <si>
    <t xml:space="preserve">75mm thick in Grade M 25 with cement content not less than 330 kg per cum </t>
  </si>
  <si>
    <t>26.34</t>
  </si>
  <si>
    <t xml:space="preserve">P/L SBR Polymer modified @ minimum 2% by wt. of cement used plain/ reinforced concrete jacket for the structural members e.g. columns, pillars, piers, beams etc </t>
  </si>
  <si>
    <t xml:space="preserve">Providing and laying SBR Polymer modified (of approved make @ minimum 2% by wt. of cement used) plain/ 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t>
  </si>
  <si>
    <t xml:space="preserve">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t>
  </si>
  <si>
    <t xml:space="preserve">(Payment under this item shall be made only after proper wet curing has been done and surface has been satisfactorily evaluated by sounding/tapping with a blunt metal instrument) </t>
  </si>
  <si>
    <t>26.34.1</t>
  </si>
  <si>
    <t>26.34.2</t>
  </si>
  <si>
    <t>26.34.3</t>
  </si>
  <si>
    <t xml:space="preserve">100mm thick in Grade M 25 with cement content not less than 330 kg per cum </t>
  </si>
  <si>
    <t>26.35</t>
  </si>
  <si>
    <t xml:space="preserve">Prvdg. and injecting grout into cracks etc concrete/ masonry at required pressure </t>
  </si>
  <si>
    <t xml:space="preserve">Providing and injecting approved grout in proportion recommended by the manufacturer into cracks/honey-comb area of concrete/ masonry by suitable gun/pump at required pressure including cutting of nipples after curing etc. complete as per directions of Engineer-in- Charge. (The payment shall be made on the basis of actual weight of approved grout injected.) </t>
  </si>
  <si>
    <t>26.35.1</t>
  </si>
  <si>
    <t xml:space="preserve">Stirrer mixed Acrylic Polymer @ 2% of weight of cement used) modified Cement slurry made with non shrink compound in CC/RCC work </t>
  </si>
  <si>
    <t xml:space="preserve">Stirrer mixed Acrylic Polymer of approved make @ 2% of weight of cement used) modified Cement slurry made with non shrink compound in concrete/RCC work </t>
  </si>
  <si>
    <t>26.35.2</t>
  </si>
  <si>
    <t xml:space="preserve">Stirrer mixed SBR Polymer (of approved make) modified Cement slurry made with Shrinkage Compensating Cement in concrete/RCC work. </t>
  </si>
  <si>
    <t>26.35.3</t>
  </si>
  <si>
    <t xml:space="preserve">Epoxy injection grout in concrete/RCC work of approved make </t>
  </si>
  <si>
    <t>26.36</t>
  </si>
  <si>
    <t xml:space="preserve">Providing, erecting, maintaining and removing temporary protective screens made out of specified fabric with all necessary fixing arrangement to ensure that it remains in position for the work duration </t>
  </si>
  <si>
    <t xml:space="preserve">Providing, erecting, maintaining and removing temporary protective screens made out of specified fabric with all necessary fixing arrangement to ensure that it remains in position for the work duration as required by the Engineer-in-charge. </t>
  </si>
  <si>
    <t>26.36.1</t>
  </si>
  <si>
    <t xml:space="preserve">Wooven PVC cloth </t>
  </si>
  <si>
    <t>26.37</t>
  </si>
  <si>
    <t xml:space="preserve">Cleaning of exposed concrete surface of sticking material including loose and foreign material by sand blasting with coarse sand followed by and including cleaning with oil free air blast </t>
  </si>
  <si>
    <t xml:space="preserve">Cleaning of exposed concrete surface of sticking material including loose and foreign material by sand blasting with coarse sand followed by and including cleaning with oil free air blast as per direction of Engineer in charge. </t>
  </si>
  <si>
    <t>26.38</t>
  </si>
  <si>
    <t xml:space="preserve">Shotcreting R.C.C. columns, beams and slabs etc. design mix concrete </t>
  </si>
  <si>
    <t xml:space="preserve">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Engineerin- Charge Note: Rates shall include the providing necessary ground wires etc. The levelling gauges, if used, shall be paid for separately. Payment under this item shall be made only after proper wet curing has been done and surface has been satisfactorily evaluated by sounding/ tapping with a blunt metal instrument. </t>
  </si>
  <si>
    <t>26.38.1</t>
  </si>
  <si>
    <t xml:space="preserve">25mm thick in Grade M 25 with cement content not less than 330 kg per cum </t>
  </si>
  <si>
    <t>26.38.2</t>
  </si>
  <si>
    <t>26.38.3</t>
  </si>
  <si>
    <t>26.39</t>
  </si>
  <si>
    <t xml:space="preserve">Providing and inserting 12mm dia galvanised steel injection nipple in honey comb area </t>
  </si>
  <si>
    <t xml:space="preserve">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t>
  </si>
  <si>
    <t>26.40</t>
  </si>
  <si>
    <t xml:space="preserve">P/F hard drawn steel wire fabric of size 75 x25 mm mesh or other suitable size wire mesh to be fixed &amp; firmly anchored to the concrete surface by means of "L" shaped mild steel shear key welded with existing reinforcement </t>
  </si>
  <si>
    <t xml:space="preserve">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Engineer-in-charge. </t>
  </si>
  <si>
    <t>26.41</t>
  </si>
  <si>
    <t xml:space="preserve">Designing, providing, installing and fixing factory finished custom designed cold form Light Gauge Steel Framed super structure comprising of steel wall panel, trusses, purlins etc </t>
  </si>
  <si>
    <t xml:space="preserve">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IS:801-1975. The wind load shall be as per provisions of IS 875 (part -III). LGSFS frame shall be designed as per IS: 801 using commercially available software such as Frame CAD Pro-11.7/ STAAD PRO-V8i/ ArchitekV2.5.16/ Revit architecture-2011 or equivalent. Proper usage of Connection Accessories like Heavy Duty Tension Ties, Light Duty Hold-ons, Twist Straps (to connect truss with wall frames), Strong Tie, Tie Rod, H-Brackets, Boxing Sections, L-Shaped Angles for better structural stability. </t>
  </si>
  <si>
    <t xml:space="preserve">The framing section shall be cold form C-type having minimum web depth 89 mm x 39mm flange x 11mm lip in required length as per structural design requirement duly punched with dimple/slot at required locations as per approved drawings. The slots will be along centre line of webs and shall be spaced minimum 250mm away from both ends of the member. The frame can be supplied in panelized or knock down condition in specific dimensions and fastened with screws extending through the steel beyond by minimum of three exposed threads. All self drilling tapping screws for joining the members shall have a Type II coating in accordance with ASTM B633(13) or equivalent corrosion protection of gauge 10 &amp; 12, TPI 16 &amp; 8 of length 20mm. </t>
  </si>
  <si>
    <t xml:space="preserve">The frames shall be fixed to RCC slab or Tie beam over Neoprene rubber using self expanding carbon steel anchor bolt of dia as per approved drawings. design subject to minimum 12mm diameter and 121mm length conforming to AISI 304 and 316 at 500mm c/c with minimum embedment of 100mm in RCC (RCC to be paid separately) and located not more than 300mm from corners or termination of bottom tracks complete in all respects. </t>
  </si>
  <si>
    <t xml:space="preserve">The item also includes the submission of stability reports duly examined and issued by any NIT/IIT. The rate includes the concept design, detailed design, fabrication of sections, transportation, installation and all required fixing arrangement at site as described above. </t>
  </si>
  <si>
    <t>26.42</t>
  </si>
  <si>
    <t xml:space="preserve">P/F of external wall system on Light gauge steel frame work </t>
  </si>
  <si>
    <t xml:space="preserve">Providing and fixing of external wall system on Light gauge steel frame work with outer face cement boards as per standard sizes fixed with self- drilling / taping screws / fasteners @ 60cm c/c of approved make. A groove of 2 mm to 3mm shall be maintained and grooves shall be sealed with silicon based sealant. The board shall be fixed in a staggered pattern. Screws shall be of counter sunk rib head of 1.60mm to 4 mm thick or 8 to 10 gauge of length varying from 25 to 45 mm and. Internal face 12.5 mm thick gypsum plaster board fixed on cement board as per standard sizes fixed with selfdrilling / taping screws / fasteners @ 60cm c/c of approved make, proper taping and jointing to be done using fiber mesh tape and epoxy and acrylic based jointing compound for seamless finish. (cost of frame work to be paid for separately) </t>
  </si>
  <si>
    <t>26.42.1</t>
  </si>
  <si>
    <t xml:space="preserve">Outer face 6mm thick fiber cement board fixed on 9mm thick fiber cement board, Inner Face - 12.5 mm thick gypsum plaster board fixed on 8 mm thick fibre cement board </t>
  </si>
  <si>
    <t xml:space="preserve">Outer face- Outer face having 6mm thick fiber cement board Type A, Category-IV as per IS:14862:2000 fixed on 9mm thick fiber cement board, Type A, Category-IV as per IS:14862:2000 (high pressure steam cured) Inner Face-12.5 mm thick gypsum plaster board conforming to IS 2095:2011 fixed on 8 mm thick fibre cement board of Type B, Category-Ill conforming to IS:14862:2000 (High pressure steam cured) </t>
  </si>
  <si>
    <t>26.42.1A</t>
  </si>
  <si>
    <t xml:space="preserve">Outer face- Outer face having 6mm thick fiber cement board Type A, Category-III as per IS:14862:2000 fixed on 9mm thick fiber cement board, Type A, Category-IV as per IS:14862:2000 (high pressure steam cured) Inner Face-12.5 mm thick gypsum plaster board conforming to IS 2095:2011 fixed on 8 mm thick fibre cement board of Type B, Category-Ill conforming to IS:14862:2000 (High pressure steam cured) </t>
  </si>
  <si>
    <t>26.42.2</t>
  </si>
  <si>
    <t xml:space="preserve">Outer face - 8 mm Board fixed on 10 mm thick cement bonded particle board. Inner face - 12.5 mm thick gypsum plaster board fixed on 8 mm thick cement bonded particle board. </t>
  </si>
  <si>
    <t xml:space="preserve">Outer face: Outer face having 8 mm thick cement bonded particle Board fixed on 10 mm thick cement bonded particle board. (Termite, Fire and Moisture Resistance) as per IS 14276:1995. Inner face:-12.5 mm thick gypsum plaster board conforming to IS 2095:2011 fixed on 8 mm thick cement bonded particle board (Termite, fire and moisture resistance) confirming to IS:14276:1995) </t>
  </si>
  <si>
    <t>26.43</t>
  </si>
  <si>
    <t xml:space="preserve">P/F internal wall panels on Light gauge steel frame work with 12.5mm thick gypsum plaster board </t>
  </si>
  <si>
    <t xml:space="preserve">Providing and fixing internal wall panels on Light gauge steel frame work with 12.5mm thick gypsum plaster board conforming IS 2095:2011 fixed on cement board as per standard sizes fixed with self-drilling / taping screws / fasteners @ 60cm c/c of approved make, self-drilling / taping screws / fasteners @ 60cm c/c of approved make, or 8 to 10 gauge of length varying from 25 to 45 mm. Proper taping and jointing to be done using fiber mesh tape and epoxy and acrylic based jointing compound for seamless finish. (cost of frame work to be paid for separately </t>
  </si>
  <si>
    <t>26.43.1</t>
  </si>
  <si>
    <t xml:space="preserve">Cement Fiber Board 8 mm thick as per IS 14862:2000 of type B (High pressure Steam Cured) </t>
  </si>
  <si>
    <t xml:space="preserve">Cement Fiber Board 8 mm thick of Type B, Category III as per IS 14862:2000 (High pressure Steam Cured) </t>
  </si>
  <si>
    <t>26.43.2</t>
  </si>
  <si>
    <t xml:space="preserve">Cement Bonded particle board 8 mm (Termite, Fire &amp; Moisture Resistance), as per IS:14276 : 1995 </t>
  </si>
  <si>
    <t>26.44</t>
  </si>
  <si>
    <t xml:space="preserve">Providing and fixing in all exterior face panels breathable vapour barrier underneath the cement fiber board as per National Building Code 2009 complete as per direction of Engineer-in-charge. </t>
  </si>
  <si>
    <t>26.45</t>
  </si>
  <si>
    <t xml:space="preserve">Supplying and installation of moisture resistant/fire resistant cement board as per standard sizes fixed with self-drilling / taping screws. Screws shall be of counter sunk rib head of 1.60mm to 4 mm thick or 8 to 10 gauge of length varying from 25 to 45 mm. </t>
  </si>
  <si>
    <t>26.45.1</t>
  </si>
  <si>
    <t xml:space="preserve">Cement Fiber Board 6 mm thick as per IS 14862:2000 of type B (High pressure Steam Cured) </t>
  </si>
  <si>
    <t>26.45.2</t>
  </si>
  <si>
    <t xml:space="preserve">Cement Bonded particle board 8 mm thick (Termite, Fire &amp; Moisture Resistance), as per IS:14276 : 1995 </t>
  </si>
  <si>
    <t>26.46</t>
  </si>
  <si>
    <t xml:space="preserve">Providing and installation of factory made Structural Stay in place lorm wont system witn double laced panels for wails, single faced panels for roof / foor slabs. L-shaped single faced panels for comers, with necessary scaffolding, struts, bracing etc. Complete as per CPWD specrficalion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 for services and plaslenng on either side of walls shall be paid for separately) Nole:- This item shall be adopted for building upto G+3 Storeys only excluding seismic zone V. </t>
  </si>
  <si>
    <t xml:space="preserve">Providing and fixing in position 200 mm thick factory made expanded polystyrene core (EPS) wall panels consisting of EPS core sandwitched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50 - 60 degree). </t>
  </si>
  <si>
    <t xml:space="preserve">The EPS core shall consists of 100 mm thick EPS of density not less than 20 kg/ per cum. Both the outer of the panel shall be finished with applying the layer of 50 mm thick cement mortar 1:3 [1 Cement: 3 coarse sand (not having more than 40% stone schips of size upto 6 mm)]with the help of shortcreting / guniting etc at a pressure not less than 1 bar (100Kn/sqm) and both surface finished with trowel. The fixing operations of wall panels shall be completed in all respect as per drawings and specifications and under the overall direction of Engineer-in-charge. </t>
  </si>
  <si>
    <t>26.47</t>
  </si>
  <si>
    <t xml:space="preserve">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70-75 mm thick layer of cement concrete 1:1.5: 3 (1 cement :1.5 coarse sand : 3 graded stone aggregate 20 mm nominal size). Fixing operations of roof/floor panels shall be completed in all respect as per drawings and specifications and under the overall direction of the Engineer-in-charge. </t>
  </si>
  <si>
    <t>26.48</t>
  </si>
  <si>
    <t xml:space="preserve">Providing and fixing of customized Aluminium form work for monolithic construction on RCC members with repetitive usage made up of aluninium sheets/plates of minimum 4mm thickness and grade 6061 (Type-6). The formwork comprises of (a) wall panel, roccker, kickerand internal soffit corner, external soffit corner, external corner, internal corner etc., (b) beam components i.e, beam side panel prop head for soffit beam, beams soffit panel, beam soffit bulk head and (c) deck components i.e. deck panel, deck prop, prop length, deck mid, soffit length, deck beam bar. The panels are held in position by a simple pin and wedge system that passes thorugh holes in the out side rib of each panel. The tolerance of finished panel shall not be less than (-1 mm) and shall conform to IS 14987-1999. Pins and wedges to be made of high grade hot dipped galvansied mild steel. </t>
  </si>
  <si>
    <t xml:space="preserve">Providing and fixing of customized Aluminum Form work for monolithic construction on RCC members with repetitive usage made up of aluminium sheets/plates of minimum 4 mm thickness and grade 6061 (Type-6). The formwork comprises of (a) wall panel rocker, kicker and internal soffit corner, external soffit corner, external corner, internal corner etc. (b) beam components i.e. beam side panel, prop head for soffit beam, beam soffit panel, beam soffit bulkhead and (c) deck components i.e. deck panel, deck prop, prop length, deck mid, soffit length, deck beam bar. The panels are held in position by a simple pin and wedge system that passes through holes in the outside rib of each panel. The tolerance of the finished panel sha not be less than (-1 mm) and shall confirm to IS 14987 -1999.Pins and wedges to be made of high grade hot dipped galvanised mild steel. This form work also comprises of MS angle Iron, 'Z' shaped brackets braced diagonally at 0.90 t0 1.00 metre centre to centre on external wall face just the level </t>
  </si>
  <si>
    <t xml:space="preserve">below on which to lay MS square tube panels (Challis) and guard railing supports to form working platform and 40 mm dia GI/MS telescopic adjustable props to support dech formwork and nbeam soffit panels, including de-shuttering the formwork from odd / even level to be shifted / lifted to next alternate odd/even level before which the points and shuttering surface thoroughly cleaned, pins greaing and shuttering surface oiling properly before fixing all complete including sealing of gap between kicker plate and wall panel and floors (if any) as per design of formwork as provided by shuttering supplier and as per direction of the Engineer-in-Charge including filling and finishing the holes of varied sizes and shapes (left by Keys/Pins of aluminum formwork while de-shuttering) with GP-2 cementitious polymer compound mixed with water in ration prescribed by the manufacturer to form consistent workable enough by in the holes upto full depth of wall using appropriate tools and finishing smooth all complete as per direction of Engineer-in-Charge. </t>
  </si>
  <si>
    <t>26.49</t>
  </si>
  <si>
    <t xml:space="preserve">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t>
  </si>
  <si>
    <t xml:space="preserve">Providing and fixing in position factory made EPS cement sandwich wall/ roof/ 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t>
  </si>
  <si>
    <t xml:space="preserve">All the operation shall be completed in all respect as per drawings, Manufacturers specifications and under the overall direction of Engineer-in-Charge (Cost of all the material is included except "C channel" which will be paid seperately). </t>
  </si>
  <si>
    <t>26.49.1</t>
  </si>
  <si>
    <t xml:space="preserve">Non load bearing panels 50mm thick of required size </t>
  </si>
  <si>
    <t>26.49.2</t>
  </si>
  <si>
    <t xml:space="preserve">Non load bearing panels 60mm thick of required size </t>
  </si>
  <si>
    <t>26.49.3</t>
  </si>
  <si>
    <t xml:space="preserve">Non load bearing panels 75mm thick of required size </t>
  </si>
  <si>
    <t>26.49.4</t>
  </si>
  <si>
    <t xml:space="preserve">Non load bearing panels 90mm thick of required size </t>
  </si>
  <si>
    <t>26.49.5</t>
  </si>
  <si>
    <t xml:space="preserve">Non load bearing panels 100mm thick of required size </t>
  </si>
  <si>
    <t>26.50</t>
  </si>
  <si>
    <t xml:space="preserve">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 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t>
  </si>
  <si>
    <t xml:space="preserve">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non-asbestos fibre cement board confirming to IS: 14862:2000. These solid wall panels are installed using Galvanized iron steel tracks/C channel of 1 mm thick of required sizes as recommended by manufacturer's and fixed to floor and RCC soffit in plumb to each other with steel screw/fasteners. </t>
  </si>
  <si>
    <t xml:space="preserve">The panel shall be fixed vertically with tongue &amp; groove joint with cement-based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 C channel" which will be paid separately). </t>
  </si>
  <si>
    <t>26.50.1</t>
  </si>
  <si>
    <t xml:space="preserve">26.50.1 Non load bearing panels 50mm thick of required size (minimum 4mm thick fibre cement board) </t>
  </si>
  <si>
    <t xml:space="preserve">Non load bearing panels 50 mm thick of required size (minimum 4 mm thick fibre cement board, Type B, category III as per IS : 14862 - 2000 on both faces. </t>
  </si>
  <si>
    <t>26.50.1A</t>
  </si>
  <si>
    <t xml:space="preserve">Non load bearing panels 50 mm thick of required size (minimum 4 mm thick fibre cement board, Type A, category III as per IS : 14862 - 2000 on both faces. </t>
  </si>
  <si>
    <t>26.50.1B</t>
  </si>
  <si>
    <t xml:space="preserve">Non load bearing panels 50 mm thick of required size (minimum 4 mm thick fibre cement board, Type A, category IV as per IS : 14862 - 2000 on both faces. </t>
  </si>
  <si>
    <t>26.50.2</t>
  </si>
  <si>
    <t xml:space="preserve">Non load bearing panels 75mm thick of required size (minimum 5mm thick fibre cement board) </t>
  </si>
  <si>
    <t xml:space="preserve">Non load bearing panels 75 mm thick of required size (minimum 4 mm thick fibre cement board, Type B, category III as per IS : 14862 - 2000 on both faces. </t>
  </si>
  <si>
    <t>26.50.2A</t>
  </si>
  <si>
    <t xml:space="preserve">Non load bearing panels 75 mm thick of required size (minimum 4 mm thick fibre cement board, Type A, category III as per IS : 14862 - 2000 on both faces. </t>
  </si>
  <si>
    <t>26.50.2B</t>
  </si>
  <si>
    <t xml:space="preserve">Non load bearing panels 75 mm thick of required size (minimum 4 mm thick fibre cement board, Type A, category IV as per IS : 14862 - 2000 on both faces. </t>
  </si>
  <si>
    <t>26.51</t>
  </si>
  <si>
    <t xml:space="preserve">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 </t>
  </si>
  <si>
    <t xml:space="preserve">Supplying of standard quality GFRG panel of 124 mm thickness with modular cavities purchased from GFRG panel manufacturing plant in the length and height, including cutting of door, window and ventilator opening as per the cutting drawing prepared by architects /design engineers for the construction of GFRG building and loaded in stillages for transportation to the construction site. Cost of panel includes security deposits, hire charges of stillages &amp; jaws, cost of transportation in trucks/ lorries without any damages upto 300 km including all leads and lifts from GFRG manufacturing plant to construction site and unloading at site using suitable fork lift/ crane. (Payment shall be made on the basis of area of one side of panel without reduction of opening of door/ window / Ventilators). For transportation above 300 Km additional charges to be paid. </t>
  </si>
  <si>
    <t>26.52</t>
  </si>
  <si>
    <t xml:space="preserve">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 applying a coat of water repellant coating Zycosil/equivalent or equivalent product (1 Zycosil/equivalent compound :10 water ) to saturation level over RCC plinth beam to provide water proofing treatment to joint between wall panel &amp; plinth beam as per the guide lines / instruction by the engineer in charge. (Cost of reinforcement, water proofing of walls and plinthb eam/GFRG panel below joints and installation of door/ window frames before filling of concrete shall be paid separately). The rate quoted shall include making provision for laying of lintels, beams, sunshades, staircase beams, lofts, plumbing work, electrical conduits and any structural insertion etc., as per the drawing and direction of the engineer in charge. The payment shall be made based on the actual exposed area (one side only) of the panel. </t>
  </si>
  <si>
    <t xml:space="preserve">Erection of CFRG panels in walls in all floors using suitable crane per instructions of Engineer-in-Charge, as per cutting drawings and structural drawings, in perfect line and plumb, above RCC plinth beam/ GFRG panel below and provide necessary lateral/ slanting support to keep the wall panel in safe position, providing &amp; tieing of Reinforcement as per structural drawings and applying a coat of water repellant coating Zycosil/ equivalent or equivalent product (1 Zycosil/equivalent compound : 10 water) to saturation level over RCC plinth beam to provide water proofing treatment to joint between wall panel and plinth beam as per guide lines / instruction by the engineer in charge. (Cost of reinforcement, water proofing of walls and plinth beam / GFRG panel below joints and installation of door / window frames before filling of concrete shall be paid for separately). </t>
  </si>
  <si>
    <t xml:space="preserve">The rate quoted shall include making provision for laying of lintels, beams, sunshades, staircase beams, lofts, plumbing work, electrical conduits and any structural insertion etc., as per the drawing and direction of the engineer in charge. The payment shall be made based on actual exposed area (on one side only) of the panel. </t>
  </si>
  <si>
    <t xml:space="preserve">The work shall be carried out as per the Special Conditions for Glass Fibre Reinforced Gypsum (GFRG) structures mentioned in NIT.Note: i) When cutting panel, ‘A’ side is to be for outside or external surface of respective external wall and B side is to be for internal surface of wall. ii) Erection of panel is to be with reference to both building plan and cutting drawing by following notational mark indicated in the cutting drawing as well as notional mark written on each panel cut as per cutting drawing. </t>
  </si>
  <si>
    <t>26.53</t>
  </si>
  <si>
    <t xml:space="preserve">Filling of empty cavities (as shown in the structural design drawing) with quarry dust mixed with 5% cement (by volume). After initial infill of 50 mm thick with M25 concrete at base/bottom of cavities to seal off, infill wall panel cavities in 3 stages as detailed below, (i) 1st pour / infill to be limited to 0.3 to 0.50 m height from bottom of the panel.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stage.(cost of laying M25 concrete shall be paid separately) (If any rain falls in between any stages of concrete pour, make sure to cover the panel top to prevent ingress of water or water falling into the cavities. </t>
  </si>
  <si>
    <t xml:space="preserve">Filling empty cavities (as shown in the structural drawing design) with quarry dust mixed with 5% of cement (by volume) after initial infill of 50 mm thick M25 Concrete at base bottom of cavities to seal off, infill wall panel cavities in 3 stages as detailed below, </t>
  </si>
  <si>
    <t xml:space="preserve">(i) First pour infill limited to 0.3 to 0.5 mm height from bottom of the panel. </t>
  </si>
  <si>
    <t xml:space="preserve">(ii) Second pour infill shall be done only after 90 minutes interval between successive pours. The maxmum height of infill shall be restricted to to 1.5 m height or up to the top level of door / window. </t>
  </si>
  <si>
    <t xml:space="preserve">(iii) Third pour infill. After an interval of 90 minutes of second pour infill or pour the balance height up to the bottom of embedded RCC tie beam. Pour enough water just required to dampen the dry mix enough to form cake form after each stage. </t>
  </si>
  <si>
    <t xml:space="preserve">(Cost of laying M25 Concrete shall be paid for seperately) </t>
  </si>
  <si>
    <t xml:space="preserve">(If any rain falls in between any stages of concrete pour, make sure to cover the panel top to prevent ingress of water or water falling into the cavities. In case of water collection over the concrete inside the panel, drill 10 mm hole in GFRG panel immediately above concrete filled level to drain out water before pour / infill of balance concreting). </t>
  </si>
  <si>
    <t>26.54</t>
  </si>
  <si>
    <t xml:space="preserve">Laying of GFRG panel as roof / floor slab panel and staircase panel using suitable crane as per instructions of Engineer-in-Charge, including providing support system with 25mm x 300mm-400 mm wide plywood, as runner with proper prop below proposed micro beams including(a)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(c) Provision for Electrical cabling, fan hooks and laying of pipes for plumbing work. (d) Concreting of Tie beam, micro beam and top of GFRG panels (50 mm thick) with M-25 cement concrete mix using coarse aggregate of size less than 20 mm including laying of 10 gauge 100x100 size weld mesh with 25 mm effective cover from the panel top. </t>
  </si>
  <si>
    <t xml:space="preserve">Laying GFRG Panel as Roof / Floor slab panel and stair case panel using suitable crane as per instructions of Engineer-in-Charge, including providing support system with 25 mm x 300 mm -400 mm wide plywood, as runner with proper prop below proposed micro beams including </t>
  </si>
  <si>
    <t xml:space="preserve">(a) Cutting of top flange of panel to 180 mm wide (leaving a 25 mm projection on either side) to provide RCC embedded micro beam as per cutting drawings and structural drawings. </t>
  </si>
  <si>
    <t xml:space="preserve">(b) Reinforcement of micro beams and tie beams to be provided in position with proper anchorage as per structural drawings. </t>
  </si>
  <si>
    <t xml:space="preserve">(c) Provision of Electrical cabling, fan hooks and laying of pipes for plumbing work </t>
  </si>
  <si>
    <t xml:space="preserve">(d) Concreting of Tie beam, micro beam and top of GFRG panels (50 mm thick) with M25 Cement Concrete Mix using concrete aggregate of size less than 20 mm including laying of 10 gauge 100x100 mm size weld mesh </t>
  </si>
  <si>
    <t>26.55</t>
  </si>
  <si>
    <t xml:space="preserve">Supplying and fixing 10 Gauge weld mesh of size 100mm x 100 mm for floor/roof slab concrete screed over the micro beams as reinforcement. The weld mesh shall be fixed as per drawing. </t>
  </si>
  <si>
    <t xml:space="preserve">Supplying and Fixing gauge weld mesh of size 100 mm x 100 mm for floor roof slab concrete screed over the micro beams as reinforcements. The weld mesh shall be fixed as per drawings. </t>
  </si>
  <si>
    <t>26.56</t>
  </si>
  <si>
    <t xml:space="preserve">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 </t>
  </si>
  <si>
    <t xml:space="preserve">Application of ZMB 60 / equivalent solution (100 kg ZMB 60 / equivalent solution, 1 Litre ZMB nano Thinner, 20 litre water and 1 Litre Zycoprime / equivalent = 122 litre/Kg) over already applied coat of Zycosil / equivalent and Zycoprime / equivalent solution on the top of all the RCC plinth beams by brush/spray coat before erection of GFRG over RCC plinth beams in GF. In the case of upper floors 150 mm wide on floor slab for all external walls, bath/ toilet/ wet areas (3 hours drying time) before erection of wall panel on upper floors including erection of parapet walls. </t>
  </si>
  <si>
    <t>26.57</t>
  </si>
  <si>
    <t xml:space="preserve">After erection of GFRG wall panels, seal all GFRG wall joints with paper tape temporarily. Water proofing treatment of vertical joints with Zycosil/equivalent water proofing Solution (1 litre of Zycosil/ equivalent &amp; 20 litres of water stirred first &amp; 2 litres of Zycoprime/ equivalent added and stirred (total 23 litres)) with 50 ml syringe till the gap and in filled concrete is completely saturated. After removing the paper seal, seal off the vertical joints with water proofing material "Grout RW/equivalent " (Sealing cost excluded.) </t>
  </si>
  <si>
    <t xml:space="preserve">After erection of GFRG wall panels, seal all GFRG wall joints with paper tape temporarily. Wtaer proofing treatment of vertical joints with Zycosil / equivalent water proofing solutions [1 Litre of Zycosil / equivalent &amp; 20 Litres of water stirred first &amp; 2 litre of Zycoprime / equivalent added and stirred (total 23 litres)] with 50 ml syringe till the gap and filled concrete is completely saturated. After removing the paper seal, seal off the vertical joints with water proofing material "Grout RW / Equivalent" (sealing cost excluded). </t>
  </si>
  <si>
    <t>26.58</t>
  </si>
  <si>
    <t xml:space="preserve">Filling of joints between RCC plinth beam / floor slab and wall panel of external walls, toilet / bath room / wet areas walls on all floor and parapet wall over roof slab, stair case head room at the time of erection of GFRG panels with Grout RW/equivalent sealant compound after the erection of panel before the infill of concrete in panel cavities and fine finish. This applies for all horizontal and vertical joints between GFRG wall and slab panels. </t>
  </si>
  <si>
    <t xml:space="preserve">Filling of joints between RCC plinth beam / floor slab and wall apnel of external wall, toilet / bath room / wet areas wall on all floor and parapet wall over roof slab, stair case head room at the time of erection of GFRG panels with grout RW / equivalent sealant compound after the erection of panel before the infill of concrete in panel cavities and fine finish. This applies to for all horizontal and vertical joints between GFRG wall and slab panels. </t>
  </si>
  <si>
    <t>26.59</t>
  </si>
  <si>
    <t xml:space="preserve">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 </t>
  </si>
  <si>
    <t xml:space="preserve">Water proofing of vertical joints (of external side and internal side) between door frame, window &amp; ventilator frame (on all four sides) of outer wall over the Zycosil / equivalent &amp; Zycoprime / equivalent solution already applied (before the intallation of door / window / ventilator frame in position) and finished with Grout RW / equivalent. </t>
  </si>
  <si>
    <t>26.60</t>
  </si>
  <si>
    <t xml:space="preserve">Water proofing treatment of RCC sunshade with Zycosil/equivalent water proofing Solution (1 litre of Zycosil/equivalent &amp; 20 litres of water stirred first &amp; 2 litres of Zycoprime/equivalent added and stirred (total 23 litres)) till it meets the saturation level and testing as per RILEM or by water drops test in which water drops do not absorb but drops remain or rolls. </t>
  </si>
  <si>
    <t xml:space="preserve">Water proofing treatment of RCC sunshade with Zycosil / equivalent water proffing solution [1 Litre Zycosil / equivalent &amp; 20 litres of water stirred first &amp; 2 litres of Zycoprime / equivalent added and stirred (total 23 litres)] till it meats the saturation level and testing as per RIELM or by water drops test in which water drop do not absorb but drop remains or rolls. </t>
  </si>
  <si>
    <t>26.61</t>
  </si>
  <si>
    <t xml:space="preserve">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 </t>
  </si>
  <si>
    <t xml:space="preserve">In-filling / sealing the joints between RCC lintel cum sunshade and wall (on all external side) in all floors by pushing in Grout RW / equivalent in paste form and coving 20 mm x 20 mm after applying a coat of Zycosil / equivalent &amp; Zycoprime / equivalent solution before cement plastering of top, bottom and sides of RCC sunshade. </t>
  </si>
  <si>
    <t>26.62</t>
  </si>
  <si>
    <t xml:space="preserve">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 </t>
  </si>
  <si>
    <t xml:space="preserve">Designing, providing, installing and fixing factory finished custom designed pregalvanised high tensile steel joists manufactured from G350 Z275 confirming to IS: 277-1992, minimum coating of galess 35 Mpa &amp; minimum tensile strength of 380 Mpa placed 1.23 metre apart to support the load of slab etc as per the design and direction of Engineer-in-Charge. </t>
  </si>
  <si>
    <t>26.63</t>
  </si>
  <si>
    <t xml:space="preserve">Providing and fixing special adjustable lockbars of mild steel E-250 to support the temporary plywood for work between joists during construction as per design &amp; directions of the Engineer-in-charge. </t>
  </si>
  <si>
    <t xml:space="preserve">Providing and fixing special adjustable lockbars of mild steel E-250 to support the temporary plywood for work between joists during construction as per design &amp; directions of the Engineer-in-charge </t>
  </si>
  <si>
    <t>26.64</t>
  </si>
  <si>
    <t xml:space="preserve">Centering and shuttering with 12mm thick shuttering plywood confirming to IS 4990:2011 and removal of form at all heights. Plywood will be supported on lock bars. </t>
  </si>
  <si>
    <t xml:space="preserve">Centering and shuttering with 12 mm thick shuttering of plywood confirming to IS 4990:2011 and removal of form at all heights. Plywood will be supported on lock bars. </t>
  </si>
  <si>
    <t>26.64.1</t>
  </si>
  <si>
    <t xml:space="preserve">Suspended floors, roofs, landings, balconies and access platform. </t>
  </si>
  <si>
    <t>26.65</t>
  </si>
  <si>
    <t xml:space="preserve">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 </t>
  </si>
  <si>
    <t xml:space="preserve">Providing and fixing roofing consists of 0.80 mm thick galvanised steel deck sheet confirming to IS: 277-1992 used as permanent shuttering over which MS wire mesh 3 mm laid at 100x100 mm grid including edge trim covered with concrete. This metal deck will be supported on structuralsteel beam with shear studs. (Structural steel like Beam, column, joists </t>
  </si>
  <si>
    <t>26.66</t>
  </si>
  <si>
    <t xml:space="preserve">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 (not having more than 40% stone chips of size upto 6 mm)}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t>
  </si>
  <si>
    <t xml:space="preserve">Providing and fixing in position, 130 mm thick factory made Expanded Polystyrine Core (EPS)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 mm dia at alternate row by welding. The EPS core shall consist of 60 mm thick EPS of density not less than 16 kg/ cum. </t>
  </si>
  <si>
    <t xml:space="preserve">Both the outer faces of the panel shall be finished by applying the layer of 35 mm thick cement mortar 1:3 [1 Cement : 3 Coarse Sand (not having more than 40% stone chips of sizes upto 6 mm)] with the help of shortcreting / guniting equipment etc at a pressure not less than 1 bar (100 MN/sqm) and both surfaces finished with trowel. Fixing operations of wall panels shall be completed in all respect as per drawings and spoecifications and under the overall direction of the Engineer-in-charge. </t>
  </si>
  <si>
    <t>26.67</t>
  </si>
  <si>
    <t xml:space="preserve">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density of 20-24 kg/m³ measured as per IS 5688-1982, Fire retardant property self extinguishing type as per EN 13501-1, bonded with special polymer modified cementitious adhesive confirming to EOTA ETAG 004 (European Technical Approval) formulated to bond polystyrene insulation boards to typical mineral substrate (according to ETAG 004) and Polypropylene mechanical fasteners with plastic pin confirming to EOTA ETAG 014 (European Technical Approval) having dia 10mm &amp; L=200mm on finished level wall and the junction between two adjacent EPS boards to be sealed with low expansion moisture cure Polyurethane Foam. </t>
  </si>
  <si>
    <t xml:space="preserve">Providing &amp; Fixing External Therma Insulation and composit system of first layer of self extinguishing type Expended Polystyrene (EPS) insulation board of 120 mm thick (max 1 m x 0.5 m section) confirming to IS 4671:1984, having thermal conductivity of 0.034 W/mK, (measured as per IS 3346 - 1980) density of 20 24 kg /cum measured as per IS 5688 - 1982, Fire retardant property self-extinguishing type as per EN 13501-1, bonded with special polymer modified cementious adhesive confirming to EOTA ETAG 004 (European Technical Approval) formulated to bond polystyrene insulation boards to typical mineral substrate (according ETAG 004) and polypropylene mechanical fasteners with plastic pin confirming to EOTA ETAG 014 (European Technical Approval) having dia 10 mm and length 200 mm on finished level wall and the junction between two adjacent EPS boards to be sealed with low expansion moisture cure Polyurethane Foam. </t>
  </si>
  <si>
    <t xml:space="preserve">Second layer consists of Fiberglass mesh covered with alkali resistant coating, mass per unit area more than 145 g / sqm mesh size 3.9 x 4.0 mm +/- 10 mm embedded in special polymer modified cementious base coat with hydrophobes and the corners will be protected with corner beads with alkali-resistant mesh wings atleast 10 cm wide mesh mass per unit area min 145 g/sqm. The surface will be levelled, finished, made smooth complete in all respect as per manufaturers specifications and as per direction of Engineer-in-Charge. </t>
  </si>
  <si>
    <t>26.68</t>
  </si>
  <si>
    <t xml:space="preserve">Providing and laying factory made Precast concrete solid blocks of 200 mm thickness of grade M10 made of C&amp;D waste from approvedmanufacturer in foundation and plinth in: </t>
  </si>
  <si>
    <t>26.68.1</t>
  </si>
  <si>
    <t>26.69</t>
  </si>
  <si>
    <t xml:space="preserve">Providing and laying factory made Precast concrete solid blocks of 200 mm thickness of grade M10 made of C&amp;D waste from approved manufacturer in superstructure above plinth level up to floor V level </t>
  </si>
  <si>
    <t>26.69.1</t>
  </si>
  <si>
    <t>26.70</t>
  </si>
  <si>
    <t xml:space="preserve">Providing and laying half block masonry with factory made Precast concrete solid blocks of 100 mm thickness of grade M10 made of C&amp;D waste from approved manufacturer in foundation and plinth in: </t>
  </si>
  <si>
    <t>26.70.1</t>
  </si>
  <si>
    <t xml:space="preserve">Cement mortar 1:6 (1 cement : 4 coarse sand) </t>
  </si>
  <si>
    <t>26.71</t>
  </si>
  <si>
    <t xml:space="preserve">Providing and laying half block masonry with factory made Precast concrete solid blocks of 100 mm thickness of grade M10 made of C&amp;D waste from approved manufacture in rsuperstructure above plinth level up to floor V level: </t>
  </si>
  <si>
    <t>26.71.1</t>
  </si>
  <si>
    <t>26.72</t>
  </si>
  <si>
    <t xml:space="preserve">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t>
  </si>
  <si>
    <t>26.73</t>
  </si>
  <si>
    <t xml:space="preserve">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extruder/Slipformer, finishing, curing and also provision of steam curing. Cutting, making necessary cutout/holes of required sizes for services in slab element after achieving required strength, yard handling &amp; stacking all complete as per approved shop drawings &amp; design mix as per the direction of the Engineer-in-charge. (Cost of strands should be paid separately). </t>
  </si>
  <si>
    <t xml:space="preserve">Fabrication &amp; Manufacturing of Prestressed Hollow Core slab (Hollow area 25 to 30%) of different thickness &amp; modular width 1200 mm in Controlled Factory Environment with approved methodology confirming to IS 10297:1982 by using long line casting method having arrangement of proper steel bed. Concreting should be done by batch mixing plant capable of producing zero slump concrete, transported through automatic shuttels of standard make &amp; layed on bed with the help of extruder/ Slipformer, finishing, curing and also provision of steam curing. Cutting, making necessary cutout/ holes of required sizes for services in slab element after achieving required strength, yard handling &amp; stacking all complete as per approved shop drawings &amp; design mix as per the direction of the Engineer-in-charge. (Cost of strands should be paid separately). </t>
  </si>
  <si>
    <t xml:space="preserve">Note: Excess/less cement over the specified cement content used as per design mix is payable/ recoverable separately) </t>
  </si>
  <si>
    <t>26.73.1</t>
  </si>
  <si>
    <t xml:space="preserve">Concrete Grade-M-40 (cement content 400 kg) </t>
  </si>
  <si>
    <t>26.73.1.1</t>
  </si>
  <si>
    <t xml:space="preserve">100 mm thick hollow core slab </t>
  </si>
  <si>
    <t>26.73.1.2</t>
  </si>
  <si>
    <t xml:space="preserve">120 mm thick hollow core slab </t>
  </si>
  <si>
    <t>26.73.1.3</t>
  </si>
  <si>
    <t xml:space="preserve">150 mm thick hollow core slab </t>
  </si>
  <si>
    <t>26.73.1.4</t>
  </si>
  <si>
    <t xml:space="preserve">200 mm thick hollow core slab </t>
  </si>
  <si>
    <t>26.73.1.5</t>
  </si>
  <si>
    <t xml:space="preserve">250 mm thick hollow core slab </t>
  </si>
  <si>
    <t>26.73.1.6</t>
  </si>
  <si>
    <t xml:space="preserve">300 mm thick hollow core slab </t>
  </si>
  <si>
    <t>26.73.1.7</t>
  </si>
  <si>
    <t xml:space="preserve">350 mm thick hollow core slab </t>
  </si>
  <si>
    <t>26.73.1.8</t>
  </si>
  <si>
    <t xml:space="preserve">400 mm thick hollow core slab </t>
  </si>
  <si>
    <t>26.73.2</t>
  </si>
  <si>
    <t xml:space="preserve">Extra for using M-50 (Cement content 425 kg) instead of M-40 </t>
  </si>
  <si>
    <t>26.73.2.1</t>
  </si>
  <si>
    <t>26.73.2.2</t>
  </si>
  <si>
    <t>26.73.2.3</t>
  </si>
  <si>
    <t>26.73.2.4</t>
  </si>
  <si>
    <t>26.73.2.5</t>
  </si>
  <si>
    <t>26.73.2.6</t>
  </si>
  <si>
    <t>26.73.2.7</t>
  </si>
  <si>
    <t>26.73.2.8</t>
  </si>
  <si>
    <t>26.73.3</t>
  </si>
  <si>
    <t xml:space="preserve">Extra for using M-60 (Cement content 440 kg) instead of M-40 </t>
  </si>
  <si>
    <t>26.73.3.1</t>
  </si>
  <si>
    <t>26.73.3.2</t>
  </si>
  <si>
    <t>26.73.3.3</t>
  </si>
  <si>
    <t>26.73.3.4</t>
  </si>
  <si>
    <t>26.73.3.5</t>
  </si>
  <si>
    <t>26.73.3.6</t>
  </si>
  <si>
    <t>26.73.3.7</t>
  </si>
  <si>
    <t>26.73.3.8</t>
  </si>
  <si>
    <t>26.74</t>
  </si>
  <si>
    <t xml:space="preserve">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Engineer-in-Charge (Cost of reinforcement, Mechanical, Electrical and Plumbing inserts will be paid separately). </t>
  </si>
  <si>
    <t>26.74.1</t>
  </si>
  <si>
    <t xml:space="preserve">Concrete grade M-35 (Cement content 370 kgs) </t>
  </si>
  <si>
    <t>26.74.2</t>
  </si>
  <si>
    <t xml:space="preserve">Extra for using M-40 (Cement content 400 kg) instead of M-35 </t>
  </si>
  <si>
    <t>26.74.3</t>
  </si>
  <si>
    <t xml:space="preserve">Extra for using M-50 (Cement content 425 kg) instead of M-35 </t>
  </si>
  <si>
    <t>26.74.4</t>
  </si>
  <si>
    <t xml:space="preserve">Extra for using M-60 (Cement content 440 kg) instead of M-35 </t>
  </si>
  <si>
    <t>26.75</t>
  </si>
  <si>
    <t xml:space="preserve">Providing &amp; laying in position Prestressing steel strands (low relaxation) on hollow core bed by using mechanical pulling arrangement like Rabbit/ Bed master including all accessories for Stressing &amp; destressing operations as per approved make conforming to IS1343 &amp; grade FY-1860 etc, complete as per drawings and direction of Engineer -in-charge. </t>
  </si>
  <si>
    <t>26.76</t>
  </si>
  <si>
    <t xml:space="preserve">Transportation of Precast Elements by flat bed Trailor (Double / Triple axle 40ft Length with proper accessories like A frame etc) from factory, including the cost of loading , unloading &amp; stacking at site with the help of required capacity cranes. </t>
  </si>
  <si>
    <t>26.76.1</t>
  </si>
  <si>
    <t xml:space="preserve">Lead within 15km </t>
  </si>
  <si>
    <t xml:space="preserve">MT   </t>
  </si>
  <si>
    <t xml:space="preserve">One Metric Tonne                          </t>
  </si>
  <si>
    <t>26.76.2</t>
  </si>
  <si>
    <t xml:space="preserve">Add/Deduct over item 26.76.1 for every additional lead of 5 km </t>
  </si>
  <si>
    <t>26.77</t>
  </si>
  <si>
    <t xml:space="preserve">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 </t>
  </si>
  <si>
    <t>26.77.1</t>
  </si>
  <si>
    <t xml:space="preserve">Prestressed hollow core Slab up to 200 mm thickness </t>
  </si>
  <si>
    <t>26.77.2</t>
  </si>
  <si>
    <t xml:space="preserve">Prestressed hollow core slab above 200 mm up to 400 mm thickness </t>
  </si>
  <si>
    <t>26.77.3</t>
  </si>
  <si>
    <t xml:space="preserve">Solid concrete wall elements </t>
  </si>
  <si>
    <t>26.78</t>
  </si>
  <si>
    <t xml:space="preserve">Providing &amp; Applying weather proof sealant on outer joints of approved make confirming to IS &amp; directed by Engineer-in-charge. </t>
  </si>
  <si>
    <t>26.78.1</t>
  </si>
  <si>
    <t xml:space="preserve">Sealant 25mmx10mm at joints </t>
  </si>
  <si>
    <t>26.79</t>
  </si>
  <si>
    <t xml:space="preserve">Providing &amp; Laying of levelling sim pads required sizes (5x5cm to 10x10cm) of PVC / Rubber to adjust level of bearing surface of supporting members as per the direction of Engineer in charge. </t>
  </si>
  <si>
    <t>26.79.1</t>
  </si>
  <si>
    <t xml:space="preserve">2mm thick </t>
  </si>
  <si>
    <t>26.79.2</t>
  </si>
  <si>
    <t xml:space="preserve">5mm thick </t>
  </si>
  <si>
    <t>26.79.3</t>
  </si>
  <si>
    <t xml:space="preserve">10mm thick </t>
  </si>
  <si>
    <t>26.80</t>
  </si>
  <si>
    <t xml:space="preserve">Providing &amp; Grouting of dowel tubes / Shear keys / Joints of precast members with M-60 grade cementitious grout (Non Shrink) of approved make by suitable means ( Free flowing /pump),curing etc. Complete as per directions of Engineer-in-charge. (The payment shall be made on the basis of actual weight of approved grout injected.) </t>
  </si>
  <si>
    <t>26.80.1</t>
  </si>
  <si>
    <t xml:space="preserve">Stirrer mixed cementitious grout (non shrink) of approved make in dowel tubes / Shear keys / Joints of precast members. </t>
  </si>
  <si>
    <t>26.81</t>
  </si>
  <si>
    <t xml:space="preserve">Providing and fixing Scaffolding net of required width made of high density Polyethylene UV stabilized knitted on warp knitting machines having density 100grams/sqm and shading coefficient minimum 75% around the construction site/ for vertical extension as per requirement including fastening/tying with uilding/scaffolding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 </t>
  </si>
  <si>
    <t>26.82</t>
  </si>
  <si>
    <t xml:space="preserve">Providing and laying rigid EPS (cellular plastic material) blocks conforming to ASTM standards/specifications of minimum density 21.60 Kg/cum on floors, steps, stage etc. of required size and shape as per direction of the Engineer-in-Charge. This shall include the following operation. “The EPS blocks shall be cut to required shape and sizes including cuttings for passing of services, joined together with synthetic resin adhesives as per relevant specifications and packed/placed in position for stepped floor or platform formation. The top and sides surfaces to be provided with GI woven wire mesh of aperture 5.45 mm (with wire dia 0.90 mm) secured to EPS blocks with wire pins/clips. Horizontal top surface to be provided with 20 mm thick cement concrete 1:2:4 (1 cement : 2 coarse sand : 4 graded stone aggregate upto 6mm chippings) and vertical surface to be provided with 12mm cement plaster 1:4 (1 cement : 4 coarse sand). </t>
  </si>
  <si>
    <t xml:space="preserve">The concrete/plastered surfaces so prepared shall be scratched with wire brushes to form burrs, so as to act as base for flooring or veneering/panelling to be done later as per approved design (which shall be paid for separately complete as per direction of the Engineer-in-Charge. </t>
  </si>
  <si>
    <t>26.83</t>
  </si>
  <si>
    <t xml:space="preserve">Applying stamping finish to the top surface of freshly laid plain/reinforced cement concrete of specified grade in porticos, sidewalks, driveways, pool decks and open yards as per direction of the Engineer-in-Charge. The process shall include the following:- </t>
  </si>
  <si>
    <t xml:space="preserve">Applying stamping finish to the top surface of freshly laid plain / reinforced cement concrete of specified grade in portico, side walks, drive ways, pool decks and open yard as per direction of the Engineer-in-Charge. </t>
  </si>
  <si>
    <t xml:space="preserve">* The concrete shall be placed and screened to the finished grade and floated to the uniform surface by using standard finishing techniques. approved color hardener @ 2.7 kg/sqm shall be applied evenly to the surface of the fresh concrete by the dry shake method by sprinkling in twoor more shakes floated after each shake and trowel only after final floating. The approved released agent @ 0.113 Kg/Sqm shall be applied evenly to the trowelled surface before stamping or the said release agent can be applied to the flexible polyurethene stamp moulds of approved design and in required sizes to achieve final stamping pattern. These stampings shall be placed on the surface of concrete in three to four pieces at a time and tapped gently with rammers of sufficient size and weight to leave proper stamp marks and the process repeated for the remaining concrete surface till the whole surface to be stamped is completed within the time while the concrete is in plastic stage of setting. </t>
  </si>
  <si>
    <t xml:space="preserve">* After stamping, the curing shall be done as per manufacturers specifications. After initial curing the imprinted joints shall be grouted using cement slurry mixed with color hardener as per the requirement. The surface shall be sealed by applying acrylic based sealer not less than 0.167 litre/Sqm on finished surface. </t>
  </si>
  <si>
    <t xml:space="preserve">* The construction joints shall be provided by grove cutting of size 4 mm x 20 mm in panel size 3 m x 3 m or lesser as per the site conditions and filling the same with 10 mm baker rod and providing &amp; laying (PU) Polyurethane based joint sealer of approved make as per manufacturer’s specifications and finished by applying polyurethene resin based topprotective clear coat of minimum 80 micron applied with rollers on properly cured and dry clean surface. (The cost of concrete for flooring is not included in the item, which shall be paid for seperately). </t>
  </si>
  <si>
    <t>26.84</t>
  </si>
  <si>
    <t xml:space="preserve">Supplying and laying of Uni-Axial Woven Polyster Geogrid conforming to MORTH 3100 and IRC113, as soil reinforcement/basal reinforcement including accessories like tie-strips, nuts &amp; bolts and loops/lugs for joining reinforcing elements with the facia pannels, overlaps and other protective elements for synthetic geo-grids and all other activities required for reinforced soil walls, slopes etc complete as per design requirements, manufacturer specifications and as per direction of engineer-in- charge. </t>
  </si>
  <si>
    <t>26.84.1</t>
  </si>
  <si>
    <t xml:space="preserve">Uni Axial Woven polyster geogrid of minimum tensile strength 40KN/m in the Longitudinal direction and 20 KN/m in the Transverse direction. </t>
  </si>
  <si>
    <t>26.84.2</t>
  </si>
  <si>
    <t xml:space="preserve">Uni Axial Woven polyster geogrid of minimum tensile strength 60KN/m in the Longitudinal direction and 20 KN/m in the Transverse direction. </t>
  </si>
  <si>
    <t>26.84.3</t>
  </si>
  <si>
    <t xml:space="preserve">Uni Axial Woven polyster geogrid of minimum tensile strength 80 KN/m in the Longitudinal direction and 30 KN/m in the Transverse direction. </t>
  </si>
  <si>
    <t>26.84.4</t>
  </si>
  <si>
    <t xml:space="preserve">Uni Axial Woven polyster geogrid of minimum tensile strength 100KN/m in the Longitudinal direction and 30 KN/m in the Transverse direction. </t>
  </si>
  <si>
    <t>26.84.5</t>
  </si>
  <si>
    <t xml:space="preserve">Uni Axial Woven polyster geogrid of minimum tensile strength 120KN/m in the Longitudinal direction and 30 KN/m in the Transverse direction. </t>
  </si>
  <si>
    <t>26.84.6</t>
  </si>
  <si>
    <t xml:space="preserve">Uni Axial Woven polyster geogrid of minimum tensile strength 150KN/m in the Longitudinal direction and 30 KN/m in the Transverse direction. </t>
  </si>
  <si>
    <t>26.84.7</t>
  </si>
  <si>
    <t xml:space="preserve">Uni Axial Woven polyster geogrid of minimum tensile strength 200KN/m in the Longitudinal direction and 30 KN/m in the Transverse direction. </t>
  </si>
  <si>
    <t>26.84.8</t>
  </si>
  <si>
    <t xml:space="preserve">Uni Axial Woven polyster geogrid of minimum tensile strength 250KN/m in the Longitudinal direction and 30 KN/m in the Transverse direction. </t>
  </si>
  <si>
    <t>26.84.9</t>
  </si>
  <si>
    <t xml:space="preserve">Uni Axial Woven polyster geogrid of minimum tensile strength 300KN/m in the Longitudinal direction and 30 KN/m in the Transverse direction. </t>
  </si>
  <si>
    <t>26.85</t>
  </si>
  <si>
    <t xml:space="preserve">Supplying and laying of Bi-Axial Woven Polyster Geogrid conforming to MORTH 3100 and IRC113, as soil reinforcement/basal reinforcement of granular road base and sub base, area stalilization, track bed stabilization, load transfer platforms Including accessories like tiestrips, nuts &amp; bolts and loops/lugs for joining reinforcing elements with the facia pannels, overlaps and other protective elements for synthetic geo-grids and all other activities required etc. complete as per design requirements, manufacturer specifications and as per direction of engineer-in- charge. </t>
  </si>
  <si>
    <t>26.85.1</t>
  </si>
  <si>
    <t xml:space="preserve">Bi Axial Woven polyster geogrid of minimum tensile strength 20KN/m in both Longitudinal and Transverse direction. </t>
  </si>
  <si>
    <t>26.85.2</t>
  </si>
  <si>
    <t xml:space="preserve">Bi Axial Woven polyster geogrid of minimum tensile strength 40KN/m in both Longitudinal and Transverse direction. </t>
  </si>
  <si>
    <t>26.85.3</t>
  </si>
  <si>
    <t xml:space="preserve">Bi Axial Woven polyster geogrid of minimum tensile strength 60KN/m in both Longitudinal and Transverse direction. </t>
  </si>
  <si>
    <t>26.86</t>
  </si>
  <si>
    <t xml:space="preserve">Providing and fixing factory made single extruded WPC (Wood Polymer Composite) solid door/window/Ceosetory windows &amp; other Frames/Chowkhat comprising of virgin PVC polymer of K value 58-60 (Suspension Grade), calcium carbonate and natural fibers (wood powder/ rice husk/wheat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termite/borer proof, water/moisture proof and fire retardant and fixed in position with M.S hold fast/lugs/SS dash fasteners of required dia and length complete as per direction of Engineer-In- Charge. (M.S hold fast/lugs or SS dash fasteners shall be paid for separately). </t>
  </si>
  <si>
    <t xml:space="preserve">Providing and fixing factory made single extruded WPC (Wood Polymer Composite) solid door/ window/ Ceosetory windows &amp; other Frames/ Chowkhat comprising of virgin PVC polymer of K value 58-60 (Suspension Grade), calcium carbonate and natural fibers (wood powder/ rice husk/ wheat husk) and non toxic additives (maximum toxicity index of 12 for 100 gms) fabricated with miter joints after applying PVC solvent cement and screwed with full body threaded star headed SS screws having minimum frame density of 750 kg/cum, screw withdrawal strength of 2200 N (Face) &amp; 1100 N (Edge), minimum compressive strength of 58 N/mm2, modulus of elasticity 900 N/mm2 and resistance to spread of flame of Class A category with property of being termite/ borer proof, water/ moisture proof and fire retardant and fixed in position with M.S hold fast/ lugs/ SS dash fasteners of required dia and length complete as per direction of Engineer-In- Charge. </t>
  </si>
  <si>
    <t xml:space="preserve">(M.S hold fast/ lugs or SS dash fasteners shall be paid for separately). Note: For WPC solid door/ window frames, minus 5mm tolerance in dimensions i.e depth and width of profile shall be acceptable. Variationin profile dimensions on plus side shall be acceptable but no extra payment on this account shall be made. </t>
  </si>
  <si>
    <t>26.86.1</t>
  </si>
  <si>
    <t xml:space="preserve">Frame size 45 x 70 mm </t>
  </si>
  <si>
    <t>26.86.2</t>
  </si>
  <si>
    <t xml:space="preserve">Frame size 45 x 85 mm </t>
  </si>
  <si>
    <t>26.86.3</t>
  </si>
  <si>
    <t xml:space="preserve">Frame size 50 x 100 mm </t>
  </si>
  <si>
    <t>26.86.4</t>
  </si>
  <si>
    <t xml:space="preserve">Frame size 50 x 125 mm </t>
  </si>
  <si>
    <t>26.86.5</t>
  </si>
  <si>
    <t xml:space="preserve">Frame size 65 x 100 mm </t>
  </si>
  <si>
    <t>26.86.6</t>
  </si>
  <si>
    <t xml:space="preserve">Frame size 65 x 125 mm </t>
  </si>
  <si>
    <t>26.86.7</t>
  </si>
  <si>
    <t xml:space="preserve">Frame size 65 x 150 mm </t>
  </si>
  <si>
    <t>26.87</t>
  </si>
  <si>
    <t xml:space="preserve">Providing and fixing factory made single extruded WPC (Wood Polymer Composite) solid plain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butt hinges of required size with necessary full body threaded star headed counter sunk S.S screws, all as per direction of Engineer-In- Charge. (Note: stainless steel butt hinges and necessary S.S screws shall be paid separately) </t>
  </si>
  <si>
    <t xml:space="preserve">Providing and fixing factory made single extruded WPC (Wood Polymer Composite) solid plain flush door shutter of required size comprising of virgin polymer of K value 58-60 (Suspension Grade), calcium carbonate and natural fibers (wood powder/ rice husk/ 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 moisture proof and fire retardant and fixing with stainless steel butt hinges of required size with necessary full body threaded star headed counter sunk S.S screws, all as per direction of Engineer-In- Charge. </t>
  </si>
  <si>
    <t xml:space="preserve">(Note: stainless steel butt hinges and necessary S.S screws shall be paid separately) </t>
  </si>
  <si>
    <t>26.87.1</t>
  </si>
  <si>
    <t>26.87.2</t>
  </si>
  <si>
    <t>26.88</t>
  </si>
  <si>
    <t xml:space="preserve">Providing and fixing factory made single extruded WPC (Wood Polymer Composite) solid decorative type flush door shutter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WPC to be laminated with PVC foil of minimum 14 microns thick of approved design pasted with hot melt adhesive on both faces of shutter and fixing with stainless steel butt hinges of required size with necessary full body threaded star headed counter sunk S.S screws, all as per direction of Engineer-In- Charge. (Note: stainless steel butt hinges and necessary S.S screws shall be paid separately) </t>
  </si>
  <si>
    <t>26.88.1</t>
  </si>
  <si>
    <t>26.88.2</t>
  </si>
  <si>
    <t>26.89</t>
  </si>
  <si>
    <t xml:space="preserve">Providing and fixing factory made single extruded WPC (Wood Polymer Composite) solid board one side white color and other side of board laminted with PVC foil of minimum 14 micron thickness of approved design pasted with hot melt adhesive for cup boards, work stations and bathroom/kitchen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piano hinges/soft close clip on concealed hinges of required size with necessary full body threaded star headed counter sunk S.S screws, all as per direction of Engineer-In- Charge. (Note: stainless steel piano hinges/soft close clip on concealed hinges and necessary S.S screws shall be paid separately) </t>
  </si>
  <si>
    <t xml:space="preserve">Providing and fixing factory made single extruded WPC (Wood Polymer Composite) solid board one side white color and other side of board laminted with PVC foil of minimum 14 micron thickness of approved design pasted with hot melt adhesive for cup boards, work stations and bathroom/kitchen cabinet etc. of required sizes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 moisture proof and fire retardant and fixing with stainless steel piano hinges/soft close clip on concealed hinges of required size with necessary full body threaded star headed counter sunk S.S screws, all as per direction of Engineer-In- Charge. </t>
  </si>
  <si>
    <t xml:space="preserve">(Note: stainless steel piano hinges/soft close clip on concealed hinges and necessary S.S screws shall be paid separately) </t>
  </si>
  <si>
    <t>26.89.1</t>
  </si>
  <si>
    <t>26.89.2</t>
  </si>
  <si>
    <t>26.90</t>
  </si>
  <si>
    <t xml:space="preserve">Providing and fixing factory made single extruded WPC (Wood Polymer Composite) solid plain white color board for backing of cup boards and bathroom/kitchen cabinets etc. of required size comprising of virgin polymer of K value 58-60 (Suspension Grade), calcium carbonate and natural fibers (wood powder/ rice husk/wheat husk) and non toxic additives (maximum toxicity index of 12 for 100 gms) having minimum density of 650 kg/cum and screw withdrawal strength of 1800 N (Face) &amp; 900 N (Edge), minimum compressive strength 50 N/mm2, modulus of elasticity 850 N/mm2 and resistance to spread of flame of Class A category with property of being termite/borer proof, water/moisture proof and fire retardant and fixing with stainless steel screws etc. all as per direction of Engineer-In- Charge. (Note: stainless steel screws shall be paid separately) </t>
  </si>
  <si>
    <t>26.90.1</t>
  </si>
  <si>
    <t xml:space="preserve">6 mm thick </t>
  </si>
  <si>
    <t>26.90.2</t>
  </si>
  <si>
    <t>26.91</t>
  </si>
  <si>
    <t xml:space="preserve">Providing and fixing factory made 18 mm thick single extruded WPC (Wood Polymer Composite) solid plain white colour board Jali, CNC (Computer numeric control) routed of approved design by Engineer-in -charge which are machine cut for duct/shaft covering, partitions and facades comprising of virgin polymer of K value 58-60 (Suspension Grade), calcium corbonate and natural fibers (wood powder/ rice husk/wheat husk) and non toxic additives(maximum toxicity index of 12 for 100 gms) having minimum density of 650 kg/cum and screw withdrawal strength of 1800 N (Face) minimum compressive strength 50 N/mm2, modulus of elasticity 850 N/mm2 and resistance to spread of flame of Class A category with properties of being termite/borer proof, water/moisture proof and fire retardant and fixing on M.S (mild steel) frame made of 25 x 25 x 1.5 mm square hollow box section including applying a priming coat of approved steel primer, placed at grid made at 1.0 x 1.0 m or as per requirement at site with necessary stainless steel fasteners and SS screws etc., all complete as per direction of Engineer-In- Charge. </t>
  </si>
  <si>
    <t xml:space="preserve">(Note: M.S (mild steel) framework with priming coat and necessary SS fasteners and SS screws shall be paid separately. </t>
  </si>
  <si>
    <t>26.92</t>
  </si>
  <si>
    <t xml:space="preserve">Providing and fixing of façade at all heights with extruded hollow Clay / Terracotta ventilated rainscreen tiles of height 250/ 300/ 400mm and length of 595 mm of approved texture,design and pattern having Flexural Strength/ Modulus of Rupture of ? 14 N/m² and maximum water absorption of 10% tested as per ISO 10545-4:2004(E) and ISO 10545-3:1995 respectively in true level fixed to a supporting aluminium framework(Alloy 6063 T5/T6) consisting of vertical 'T' (for intermediates)/ 'L'(for ends/ termination)/ Tubular sections (at corners)of size 80x60x2mm/ 40x60x2mm/ 40x40x2mm respectively, spaced at maximum spacing of 600mm c/c matching to the tile vertical grid, and horizontal aluminium 'C'-clamps of size 56x25x2mm thickness of length 150mm at junction of tiles and of length 75mm at wall ends/ corners fixed on top of the vertical sections at spacing of 250/ 300/ 400mm c/c matching to the tile horizontal grid with two numbers of self-drilling / self-tapping SS screws of size 5.5x25 mm with EPDM washers. </t>
  </si>
  <si>
    <t xml:space="preserve">The vertical 'T'/'L/ Tubular' sections shall be fixed to the wall using HDG (hot-dip-galvanized) steel L-brackets (galvanizing thickness of minimum 80 microns)of size 110x80x6 mm at intermediate vertical aluminium profiles and of size 220x110x12mm 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/Tubular profiles using two numbers self-drilling/ self-tapping SS screws of size 5.5x25mm with EPDM washers. EPDM gaskets to be fixed in between brackets and vertical profiles. The tiles shall be mounted on the ‘C’ clamps such that the tiles are supported at top and bottom at both ends. </t>
  </si>
  <si>
    <t xml:space="preserve">The tiles shall be additionally secured to the horizontal ‘C’ clamps using special SS clips of required size which shall be inserted and pressed into position on the ‘C’ clamps holding the tiles and the cut-tiles shall be glued at points to the horizontal ‘C’ clamps by using MS Polymer sealant adhesive. The vertical joint open groove between two adjacent tiles shall be 5mm. 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 Scaffolding wherever required to be paid separately. </t>
  </si>
  <si>
    <t>26.92.1</t>
  </si>
  <si>
    <t xml:space="preserve">With 16mm thickness (+/- 10%) terracotta tiles of grey colour </t>
  </si>
  <si>
    <t>26.92.2</t>
  </si>
  <si>
    <t xml:space="preserve">With 16mm thickness (+/- 10%) terracotta tiles of other than grey colour </t>
  </si>
  <si>
    <t>26.93</t>
  </si>
  <si>
    <t xml:space="preserve">Providing and fixing of façade at all heights with extruded hollow Clay / Terracotta ventilated rainscreen tiles of height 259/ 309/ 409mm and lengthof 1190 mm of approved texture,design and pattern having Flexural Strength/ Modulus of Rupture of ? 14 N/m² and maximum water absorption of 10% tested as per ISO 10545-4:2004(E) and ISO 10545-3:1995 respectively in true level fixed to a supporting aluminium framework (Alloy 6063 T5/T6) consisting of vertical 'T' (for intermediates)/ 'L' (for ends/ termination)/ Tubular sections (at corners)of size 80x60x2mm/ 40x60x2mm/ 40x40x2mm respectively, spaced at maximum spacing of 1200mm c/c matching to the tile vertical grid, and horizontal aluminium 'C'-clamps of size 56x34x2mm thickness of length 150mm at junction of tiles and of length 75mm at wall ends/ corners fixed on top of the vertical sections at spacing of 250/ 300/ 400mm c/c matching to the tile horizontal grid with two numbers of self-drilling / self-tapping SS screws of size 5.5x25 mm with EPDM washers. </t>
  </si>
  <si>
    <t xml:space="preserve">The vertical 'T'/'L/ Tubular' sections shall be fixed to the wall using HDG (hot-dip-galvanized) steel Lbrackets (galvanizing thickness of minimum 80 microns) of size 110x80x6 mm at intermediate vertical aluminium profiles and of size 220x110x12 mmat outer corners and stainless steel grade 304,M10 full threaded anchor fasteners with nylon sleeve 100mm long (for brick work) and M8 expansion anchor fasteners 75mm long for concrete surface, spacing of brackets to be based on a structural/ static calculation. The brackets shall be of length 175mm at junction of two vertical aluminium profiles and of length 100mm at intermediate points of vertical profiles and shall be fixed to the vertical aluminium T / L / Tubular profiles using two numbers self-drilling/ self-tapping SS screws of size 5.5x25 mm with EPDM washers.“EPDM gaskets to be fixed in between brackets and vertical profiles. The tiles shall be mounted on the ‘C’ clamps such that the tiles are supported at top and bottom at both ends. The tiles shall be mounted on the Cclamps with EPDM profiles in between such that the tiles are supported at top and bottom at both ends. The vertical joint open groove between two adjacent tiles shall be 10mm. </t>
  </si>
  <si>
    <t xml:space="preserve">The tiles and system shall be designed to resist wind load as per IS 875 (Part 3) according to different zones. The tiles shall be installed using the ventilated rain screen principle with provision for natural ventilation of the space between the façade tiles and the structural wall. The work shall be carried out as per specification, drawing and as per direction of the Engineer-in-Charge. Note: Scaffolding wherever required to be paid separately. </t>
  </si>
  <si>
    <t>26.93.1</t>
  </si>
  <si>
    <t xml:space="preserve">With 24mm thickness (+/- 10%) terracotta tiles of grey colour </t>
  </si>
  <si>
    <t>26.93.2</t>
  </si>
  <si>
    <t xml:space="preserve">With 24mm thickness (+/- 10%) terracotta tiles of other than grey colour </t>
  </si>
  <si>
    <t>26.94</t>
  </si>
  <si>
    <t xml:space="preserve">Designing, shop fabricating, supplying , erecting, stripping and shifting of customized Modular Tunnel Formwork system for cast-in-situ monolithic RCC structures, using precision steel cubical formworks are molds with minimum 3mm thick hot rolled plain painted/hot dip galvanized M.S. sheets for panel in contact area with necessary framing and allied accessories as per CPWD specifications including transporting, storage, assembly, hoisting and placing in position for supporting and holding the formwork in place till initial setting of the concrete then stripping the formwork, propping to support horizontal surface cleaning and oiling etc. for shifting to the next cycle, inclusive of all labour, machines and T&amp;P requirements taking all safety measures etc. as per design and cycle programme all complete as per directions of the Engineer-in-Charge. Design of Tunnel Formwork system shall be provided by concerned service provider/ vendor and the rate is inclusive of all the elements and all operations for all heights. </t>
  </si>
  <si>
    <t>26.95</t>
  </si>
  <si>
    <t xml:space="preserve">Providing and installation of factory made Structural Stay in place form work system with double faced panels for walls, single faced panels for roofs/floor slabs, L shaped single faced panels for corners with necessary scafolding, struts, bracing etc as per CPWD specification and directions of the Engineer in Charge. Design of walls and other members to be provided by the supplier &amp; shall be duly vetted by any engineering institute of National repute such as IITs, NITs etc. and nothing extra shall be payable on this account (Additional steel reinforcement/dowels, design mix concrete of specified grade, electrical and plumbing conduits inserts for services and plastering on either side of walls shall be paid for seperately). </t>
  </si>
  <si>
    <t xml:space="preserve">NOTE: This item shall be adopted for building up to G+3 storey only excluding seismic zone V. </t>
  </si>
  <si>
    <t>26.95.1</t>
  </si>
  <si>
    <t xml:space="preserve">Double Panel of required thickness (110 mmor above) with minimum weight of panel as 11.05 kg per sqm for walls with corresponding corners and jambs strips. </t>
  </si>
  <si>
    <t>26.95.2</t>
  </si>
  <si>
    <t xml:space="preserve">Single panel for slabs with minimum weight of panel as 4.05 kg/sqm for walls with corresponding corners and jambs strips. </t>
  </si>
  <si>
    <t>26.96</t>
  </si>
  <si>
    <t xml:space="preserve">Providing and placing 'Stay in Place PVC Wall formwork' made up of extruded Unplasticised Poly Vinyl Chloride (uPVC) consisting of Main panel, 3 way Connector, Starter Channel, Joint Panel, Connection Panels, Door/Window frame/trim panels etc. all complete as per manufacturer design and for all heights as per direction of Engineer-in-charge. (Note: Suitable for in fill walls with appropriate Structural system). </t>
  </si>
  <si>
    <t>26.96.1</t>
  </si>
  <si>
    <t xml:space="preserve">125 mm wide Stay in Place PVC Wallform made of minimum 2.50 mm thick sections and minimum weight 21.97 kg /sqm of formwork. </t>
  </si>
  <si>
    <t>26.96.2</t>
  </si>
  <si>
    <t xml:space="preserve">Total of the Sub-Head - New  Technologies And  Materials :  </t>
  </si>
  <si>
    <t>Grand Total :</t>
  </si>
  <si>
    <t xml:space="preserve">Total of Schedule Items (CI applicable) : </t>
  </si>
  <si>
    <t xml:space="preserve">Total of LMR Items (CI not applicable) : </t>
  </si>
  <si>
    <t>Junior Telecom Officer (Civil)</t>
  </si>
  <si>
    <t>BSNL Civil Sub-Division</t>
  </si>
  <si>
    <t>NALGONDA</t>
  </si>
  <si>
    <t>Sub-Divisional Engineer (Civil)</t>
  </si>
  <si>
    <t>Executive Engineer (Civil)</t>
  </si>
  <si>
    <t>BSNL Civil Dn-I</t>
  </si>
  <si>
    <t>HYDERABAD</t>
  </si>
  <si>
    <t>ABSTRACT OF COST</t>
  </si>
  <si>
    <t>S.H. No.</t>
  </si>
  <si>
    <t>Description of Sub-Head</t>
  </si>
  <si>
    <t>Amount (Rs)</t>
  </si>
  <si>
    <t>01.</t>
  </si>
  <si>
    <t xml:space="preserve">Earth Work                                                                 </t>
  </si>
  <si>
    <t>:</t>
  </si>
  <si>
    <t>02.</t>
  </si>
  <si>
    <t xml:space="preserve">Concrete Work                                                              </t>
  </si>
  <si>
    <t>03.</t>
  </si>
  <si>
    <t xml:space="preserve">Reinforced Cement Concrete                                                 </t>
  </si>
  <si>
    <t>04.</t>
  </si>
  <si>
    <t xml:space="preserve">Masonry Work                                                               </t>
  </si>
  <si>
    <t>05.</t>
  </si>
  <si>
    <t xml:space="preserve">Stone Work                                                                 </t>
  </si>
  <si>
    <t>06.</t>
  </si>
  <si>
    <t xml:space="preserve">Cladding Work                                                              </t>
  </si>
  <si>
    <t>07.</t>
  </si>
  <si>
    <t xml:space="preserve">Wood  and P.V.C. Work                                                      </t>
  </si>
  <si>
    <t>08.</t>
  </si>
  <si>
    <t xml:space="preserve">Steel Work                                                                 </t>
  </si>
  <si>
    <t>09.</t>
  </si>
  <si>
    <t xml:space="preserve">Flooring                                                                   </t>
  </si>
  <si>
    <t>10.</t>
  </si>
  <si>
    <t xml:space="preserve">Roofing                                                                    </t>
  </si>
  <si>
    <t>11.</t>
  </si>
  <si>
    <t xml:space="preserve">Finishing                                                                  </t>
  </si>
  <si>
    <t>12.</t>
  </si>
  <si>
    <t xml:space="preserve">Repairs to Buildings                                                       </t>
  </si>
  <si>
    <t>13.</t>
  </si>
  <si>
    <t xml:space="preserve">Dismantling and Demolishing                                                </t>
  </si>
  <si>
    <t>14.</t>
  </si>
  <si>
    <t xml:space="preserve">Road Work                                                                  </t>
  </si>
  <si>
    <t>15.</t>
  </si>
  <si>
    <t xml:space="preserve">Sanitary Installations                                                     </t>
  </si>
  <si>
    <t>16.</t>
  </si>
  <si>
    <t xml:space="preserve">Water Supply                                                               </t>
  </si>
  <si>
    <t>17.</t>
  </si>
  <si>
    <t xml:space="preserve">Drainage                                                                   </t>
  </si>
  <si>
    <t>18.</t>
  </si>
  <si>
    <t xml:space="preserve">Pile Work                                                                  </t>
  </si>
  <si>
    <t>19.</t>
  </si>
  <si>
    <t xml:space="preserve">Aluminium Work                                                             </t>
  </si>
  <si>
    <t>20.</t>
  </si>
  <si>
    <t xml:space="preserve">Water Proofing                                                             </t>
  </si>
  <si>
    <t>21.</t>
  </si>
  <si>
    <t xml:space="preserve">Rain Water Harvesting and Tube Well                                        </t>
  </si>
  <si>
    <t>22.</t>
  </si>
  <si>
    <t xml:space="preserve">Conservation of Heritage Buildings                                         </t>
  </si>
  <si>
    <t>23.</t>
  </si>
  <si>
    <t xml:space="preserve">Structural Glazing and Aluminium Co                                        </t>
  </si>
  <si>
    <t>24.</t>
  </si>
  <si>
    <t xml:space="preserve">New  Technologies and  Materials                                           </t>
  </si>
  <si>
    <t>Total :</t>
  </si>
  <si>
    <t>Add GST @ 18.00% on (A)</t>
  </si>
  <si>
    <t>Add contingencies @ 5% on (A)</t>
  </si>
  <si>
    <t>Grand Total</t>
  </si>
  <si>
    <t>Say</t>
  </si>
  <si>
    <t>This estimate has been prepared in Jalli's App - 2023 (Civil)</t>
  </si>
  <si>
    <t>Read Me</t>
  </si>
  <si>
    <t>This is a estimate proforma containing all the items of CPWD published DSR-2023, generated using Jalli's App - 2023.</t>
  </si>
  <si>
    <t>Data has been compiled and verified by many Engineers from BSNL and other Departments and from all over India (see the table below)</t>
  </si>
  <si>
    <t xml:space="preserve">Though, the data has been verified thoroughly, this file may contain certain mistakes/omissions. </t>
  </si>
  <si>
    <t>Hence, the users of this file are advised to verify the correctness of the data with original DSR-2023 and Correction Slips (if any) published by CPWD.</t>
  </si>
  <si>
    <t>Neither the author/publisher nor his associates, who compiled or verified  the data for this file, are responsible for the damages/ losses whatsoever may be, that may occur directly or indirectly due to the incorrect data of this file.</t>
  </si>
  <si>
    <t>This is not a replica of DSR-2023 published by the CPWD, but a standard Detailed Estimate Proforma which is normally used in Civil Engineering Departments of various Central / State Government or PSUs.</t>
  </si>
  <si>
    <r>
      <t xml:space="preserve">Please drop an e-mail to me at </t>
    </r>
    <r>
      <rPr>
        <b/>
        <sz val="11"/>
        <color theme="1"/>
        <rFont val="Calibri"/>
        <family val="2"/>
        <scheme val="minor"/>
      </rPr>
      <t>rambabujalli@gmail.com</t>
    </r>
    <r>
      <rPr>
        <sz val="11"/>
        <color theme="1"/>
        <rFont val="Calibri"/>
        <family val="2"/>
        <scheme val="minor"/>
      </rPr>
      <t xml:space="preserve"> for any queries regarding this file and confine your querry to this file only.</t>
    </r>
  </si>
  <si>
    <t>This file will be updated as and when errors are noticed and the file is corrected / CS is released for DSR-2023, keep visiting our website www.jallisapp.com to download the updated version.</t>
  </si>
  <si>
    <t>On behalf of all , my Sincere thanks to the following Officers who compiled / verified the data for making this file!</t>
  </si>
  <si>
    <t>Participated in compiling the data Sri / Smt</t>
  </si>
  <si>
    <t>Nurul Haque, Kolkata</t>
  </si>
  <si>
    <t>Sabya sachi mitra, Kolkata</t>
  </si>
  <si>
    <t>Vijay Prakah Sharma, Ranchi, Jharkhand.</t>
  </si>
  <si>
    <t>CRR Varma, Hyderabad, TS</t>
  </si>
  <si>
    <t>G.Ashok Kumar, AP</t>
  </si>
  <si>
    <t>K.Lakshmana Babu, Visakhapatnam, AP</t>
  </si>
  <si>
    <t>Anurag Mishra, Gorakhpur UP.</t>
  </si>
  <si>
    <t>Nandini Moorthy, Chennai</t>
  </si>
  <si>
    <t>Kondal Rao P, Vijayawada, AP</t>
  </si>
  <si>
    <t>K.Senthil Velan, TN</t>
  </si>
  <si>
    <t>Anil Jotani, Rajkot, GJ.</t>
  </si>
  <si>
    <t>Jitendra Singh, Kolkata.</t>
  </si>
  <si>
    <t>Deepak Chaudhary</t>
  </si>
  <si>
    <t>Vijay Kubhar, Tumkur, Karnataka.</t>
  </si>
  <si>
    <t>Anup Pathak, Nagpur</t>
  </si>
  <si>
    <t>Dilip Parwani</t>
  </si>
  <si>
    <t>Pawan Kumawat, Jaipur</t>
  </si>
  <si>
    <t>Vinod KV, Kerala</t>
  </si>
  <si>
    <t>Sudheer Agrawal, Lucknow</t>
  </si>
  <si>
    <t>Jitendra Jani, Ahmedabad</t>
  </si>
  <si>
    <t>GDR Prasad AIR, Hyderabad</t>
  </si>
  <si>
    <t>Pujan Kit CPWD, Kolkata</t>
  </si>
  <si>
    <t>ST Patil DoP</t>
  </si>
  <si>
    <t>Yogendra Kumar</t>
  </si>
  <si>
    <t>-Rambabu Jalli</t>
  </si>
  <si>
    <t>Hyderabad</t>
  </si>
  <si>
    <t>e-mail : rambabujalli@gmail.com</t>
  </si>
  <si>
    <t>website :</t>
  </si>
  <si>
    <t>www.jallisapp.com</t>
  </si>
  <si>
    <t>17.22B</t>
  </si>
  <si>
    <t>Providing and fixing CP Brass Single lever telephonic wall mixer of quality &amp; make as approved by Engineer in charge.</t>
  </si>
  <si>
    <t>(a) 15 mm nominal dia</t>
  </si>
  <si>
    <t>DSR 2023 IN MS EXCEL WITH FORMULAS (Updated on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</si>
</sst>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Rs. &quot;#####\,##\,##\,###&quot;/-&quot;"/>
  </numFmts>
  <fonts count="8" x14ac:knownFonts="1">
    <font>
      <sz val="11"/>
      <color theme="1"/>
      <name val="Calibri"/>
      <family val="2"/>
      <scheme val="minor"/>
    </font>
    <font>
      <b/>
      <sz val="11"/>
      <color theme="1"/>
      <name val="Calibri"/>
      <family val="2"/>
      <scheme val="minor"/>
    </font>
    <font>
      <sz val="11"/>
      <color theme="1"/>
      <name val="Arial"/>
      <family val="2"/>
    </font>
    <font>
      <b/>
      <i/>
      <sz val="10"/>
      <color theme="1"/>
      <name val="Times New Roman"/>
      <family val="1"/>
    </font>
    <font>
      <sz val="12"/>
      <color theme="1"/>
      <name val="Arial"/>
      <family val="2"/>
    </font>
    <font>
      <b/>
      <sz val="13"/>
      <color theme="1"/>
      <name val="Calibri"/>
      <family val="2"/>
      <scheme val="minor"/>
    </font>
    <font>
      <u/>
      <sz val="11"/>
      <color theme="10"/>
      <name val="Calibri"/>
      <family val="2"/>
      <scheme val="minor"/>
    </font>
    <font>
      <b/>
      <u/>
      <sz val="11"/>
      <color theme="1"/>
      <name val="Calibri"/>
      <family val="2"/>
      <scheme val="minor"/>
    </font>
  </fonts>
  <fills count="2">
    <fill>
      <patternFill patternType="none"/>
    </fill>
    <fill>
      <patternFill patternType="gray125"/>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indexed="64"/>
      </right>
      <top style="thin">
        <color indexed="64"/>
      </top>
      <bottom style="thin">
        <color auto="1"/>
      </bottom>
      <diagonal/>
    </border>
    <border>
      <left style="thin">
        <color indexed="64"/>
      </left>
      <right style="thin">
        <color indexed="64"/>
      </right>
      <top style="thin">
        <color indexed="64"/>
      </top>
      <bottom style="thin">
        <color auto="1"/>
      </bottom>
      <diagonal/>
    </border>
    <border>
      <left style="thin">
        <color auto="1"/>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auto="1"/>
      </left>
      <right style="thin">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71">
    <xf numFmtId="0" fontId="0" fillId="0" borderId="0" xfId="0"/>
    <xf numFmtId="49" fontId="0" fillId="0" borderId="0" xfId="0" applyNumberFormat="1" applyAlignment="1">
      <alignment horizontal="left" vertical="top"/>
    </xf>
    <xf numFmtId="0" fontId="0" fillId="0" borderId="0" xfId="0" applyAlignment="1">
      <alignment horizontal="justify" vertical="top" wrapText="1"/>
    </xf>
    <xf numFmtId="2" fontId="0" fillId="0" borderId="0" xfId="0" applyNumberFormat="1"/>
    <xf numFmtId="2" fontId="0" fillId="0" borderId="0" xfId="0" applyNumberFormat="1" applyAlignment="1">
      <alignment horizontal="right" vertical="top"/>
    </xf>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top" wrapText="1"/>
    </xf>
    <xf numFmtId="0" fontId="3" fillId="0" borderId="0" xfId="0" applyFont="1" applyAlignment="1">
      <alignment horizontal="left" vertical="top"/>
    </xf>
    <xf numFmtId="0" fontId="1" fillId="0" borderId="2" xfId="0" applyFont="1" applyBorder="1" applyAlignment="1">
      <alignment horizontal="center"/>
    </xf>
    <xf numFmtId="0" fontId="0" fillId="0" borderId="2" xfId="0" applyBorder="1" applyAlignment="1">
      <alignment horizontal="center"/>
    </xf>
    <xf numFmtId="2" fontId="1" fillId="0" borderId="2" xfId="0" applyNumberFormat="1" applyFont="1" applyBorder="1" applyAlignment="1">
      <alignment horizontal="right"/>
    </xf>
    <xf numFmtId="0" fontId="4" fillId="0" borderId="0" xfId="0" applyFont="1" applyAlignment="1">
      <alignment horizontal="center" vertical="center"/>
    </xf>
    <xf numFmtId="0" fontId="4" fillId="0" borderId="0" xfId="0" applyFont="1" applyAlignment="1">
      <alignment vertical="center"/>
    </xf>
    <xf numFmtId="2" fontId="4" fillId="0" borderId="0" xfId="0" applyNumberFormat="1" applyFont="1" applyAlignment="1">
      <alignment vertical="center"/>
    </xf>
    <xf numFmtId="0" fontId="4" fillId="0" borderId="0" xfId="0" quotePrefix="1" applyFont="1" applyAlignment="1">
      <alignment horizontal="center" vertical="center"/>
    </xf>
    <xf numFmtId="2" fontId="4" fillId="0" borderId="3" xfId="0" applyNumberFormat="1" applyFont="1" applyBorder="1" applyAlignment="1">
      <alignment vertical="center"/>
    </xf>
    <xf numFmtId="2" fontId="0" fillId="0" borderId="3" xfId="0" applyNumberFormat="1" applyBorder="1"/>
    <xf numFmtId="0" fontId="0" fillId="0" borderId="0" xfId="0" applyAlignment="1">
      <alignment horizontal="right"/>
    </xf>
    <xf numFmtId="0" fontId="0" fillId="0" borderId="0" xfId="0" applyAlignment="1">
      <alignment horizontal="right" vertical="center"/>
    </xf>
    <xf numFmtId="165" fontId="5" fillId="0" borderId="0" xfId="0" applyNumberFormat="1" applyFont="1"/>
    <xf numFmtId="49" fontId="0" fillId="0" borderId="8" xfId="0" applyNumberFormat="1" applyBorder="1" applyAlignment="1">
      <alignment horizontal="left" vertical="top"/>
    </xf>
    <xf numFmtId="49" fontId="1" fillId="0" borderId="8" xfId="0" applyNumberFormat="1" applyFont="1" applyBorder="1" applyAlignment="1">
      <alignment horizontal="center" vertical="center"/>
    </xf>
    <xf numFmtId="0" fontId="1" fillId="0" borderId="9" xfId="0" applyFont="1" applyBorder="1" applyAlignment="1">
      <alignment horizontal="center" vertical="center" wrapText="1"/>
    </xf>
    <xf numFmtId="2" fontId="1" fillId="0" borderId="9" xfId="0" applyNumberFormat="1" applyFont="1" applyBorder="1" applyAlignment="1">
      <alignment horizontal="center" vertical="center"/>
    </xf>
    <xf numFmtId="0" fontId="0" fillId="0" borderId="9" xfId="0" applyBorder="1" applyAlignment="1">
      <alignment horizontal="justify" vertical="top" wrapText="1"/>
    </xf>
    <xf numFmtId="2" fontId="0" fillId="0" borderId="9" xfId="0" applyNumberFormat="1" applyBorder="1" applyAlignment="1">
      <alignment horizontal="right" vertical="top"/>
    </xf>
    <xf numFmtId="0" fontId="0" fillId="0" borderId="9" xfId="0" applyBorder="1" applyAlignment="1">
      <alignment horizontal="left" vertical="top"/>
    </xf>
    <xf numFmtId="0" fontId="0" fillId="0" borderId="9" xfId="0" applyBorder="1" applyAlignment="1">
      <alignment horizontal="center" vertical="top" wrapText="1"/>
    </xf>
    <xf numFmtId="2" fontId="1" fillId="0" borderId="9" xfId="0" applyNumberFormat="1" applyFont="1" applyBorder="1" applyAlignment="1">
      <alignment horizontal="right" vertical="top"/>
    </xf>
    <xf numFmtId="49" fontId="0" fillId="0" borderId="10" xfId="0" applyNumberFormat="1" applyBorder="1" applyAlignment="1">
      <alignment horizontal="left" vertical="top"/>
    </xf>
    <xf numFmtId="49" fontId="0" fillId="0" borderId="12" xfId="0" applyNumberFormat="1" applyBorder="1" applyAlignment="1">
      <alignment horizontal="left" vertical="top"/>
    </xf>
    <xf numFmtId="164" fontId="0" fillId="0" borderId="9" xfId="0" applyNumberFormat="1" applyBorder="1" applyAlignment="1">
      <alignment horizontal="right" vertical="center"/>
    </xf>
    <xf numFmtId="2" fontId="0" fillId="0" borderId="11" xfId="0" applyNumberFormat="1" applyBorder="1" applyAlignment="1">
      <alignment horizontal="right" vertical="center"/>
    </xf>
    <xf numFmtId="0" fontId="0" fillId="0" borderId="5" xfId="0" applyBorder="1" applyAlignment="1">
      <alignment horizontal="center"/>
    </xf>
    <xf numFmtId="0" fontId="0" fillId="0" borderId="5" xfId="0" applyBorder="1"/>
    <xf numFmtId="0" fontId="0" fillId="0" borderId="0" xfId="0" applyAlignment="1">
      <alignment horizontal="left"/>
    </xf>
    <xf numFmtId="0" fontId="6" fillId="0" borderId="5" xfId="1" applyBorder="1" applyAlignment="1" applyProtection="1"/>
    <xf numFmtId="0" fontId="6" fillId="0" borderId="5" xfId="1" applyBorder="1"/>
    <xf numFmtId="0" fontId="0" fillId="0" borderId="0" xfId="0" quotePrefix="1" applyAlignment="1">
      <alignment vertical="top"/>
    </xf>
    <xf numFmtId="0" fontId="0" fillId="0" borderId="0" xfId="0" applyAlignment="1">
      <alignment vertical="top"/>
    </xf>
    <xf numFmtId="0" fontId="0" fillId="0" borderId="0" xfId="0" applyAlignment="1">
      <alignment horizontal="left" vertical="top" wrapText="1"/>
    </xf>
    <xf numFmtId="0" fontId="1" fillId="0" borderId="0" xfId="0" applyFont="1" applyAlignment="1">
      <alignment horizontal="center"/>
    </xf>
    <xf numFmtId="0" fontId="2" fillId="0" borderId="0" xfId="0" applyFont="1" applyAlignment="1">
      <alignment horizontal="justify" vertical="top" wrapText="1"/>
    </xf>
    <xf numFmtId="0" fontId="0" fillId="0" borderId="11" xfId="0" applyBorder="1" applyAlignment="1">
      <alignment horizontal="right" vertical="top" wrapText="1"/>
    </xf>
    <xf numFmtId="0" fontId="3" fillId="0" borderId="9" xfId="0" applyFont="1" applyBorder="1" applyAlignment="1">
      <alignment horizontal="right" vertical="top" wrapText="1"/>
    </xf>
    <xf numFmtId="49" fontId="1" fillId="0" borderId="8" xfId="0" applyNumberFormat="1" applyFont="1" applyBorder="1" applyAlignment="1">
      <alignment horizontal="left" vertical="top" indent="4"/>
    </xf>
    <xf numFmtId="49" fontId="1" fillId="0" borderId="9" xfId="0" applyNumberFormat="1" applyFont="1" applyBorder="1" applyAlignment="1">
      <alignment horizontal="left" vertical="top" indent="4"/>
    </xf>
    <xf numFmtId="0" fontId="0" fillId="0" borderId="9" xfId="0" applyBorder="1" applyAlignment="1">
      <alignment horizontal="right" vertical="top" wrapText="1"/>
    </xf>
    <xf numFmtId="0" fontId="0" fillId="0" borderId="9" xfId="0" applyBorder="1" applyAlignment="1">
      <alignment horizontal="right" vertical="top"/>
    </xf>
    <xf numFmtId="49" fontId="1" fillId="0" borderId="6" xfId="0" applyNumberFormat="1" applyFont="1" applyBorder="1" applyAlignment="1">
      <alignment horizontal="center" vertical="top"/>
    </xf>
    <xf numFmtId="49" fontId="1" fillId="0" borderId="7" xfId="0" applyNumberFormat="1" applyFont="1" applyBorder="1" applyAlignment="1">
      <alignment horizontal="center" vertical="top"/>
    </xf>
    <xf numFmtId="2" fontId="2" fillId="0" borderId="13" xfId="0" applyNumberFormat="1" applyFont="1" applyBorder="1" applyAlignment="1">
      <alignment horizontal="justify" vertical="top" wrapText="1"/>
    </xf>
    <xf numFmtId="2" fontId="2" fillId="0" borderId="9" xfId="0" applyNumberFormat="1" applyFont="1" applyBorder="1" applyAlignment="1">
      <alignment horizontal="justify" vertical="top" wrapText="1"/>
    </xf>
    <xf numFmtId="2" fontId="1" fillId="0" borderId="9" xfId="0" applyNumberFormat="1" applyFont="1" applyBorder="1" applyAlignment="1">
      <alignment horizontal="center" vertical="center"/>
    </xf>
    <xf numFmtId="0" fontId="0" fillId="0" borderId="1"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0" xfId="0" applyAlignment="1">
      <alignment horizontal="justify" vertical="top" wrapText="1"/>
    </xf>
    <xf numFmtId="0" fontId="1" fillId="0" borderId="5" xfId="0" applyFont="1" applyBorder="1" applyAlignment="1">
      <alignment horizontal="center"/>
    </xf>
    <xf numFmtId="0" fontId="1" fillId="0" borderId="0" xfId="0" applyFont="1" applyAlignment="1">
      <alignment horizontal="left" vertical="top" wrapText="1"/>
    </xf>
    <xf numFmtId="0" fontId="7" fillId="0" borderId="0" xfId="0" applyFont="1" applyAlignment="1">
      <alignment horizontal="center"/>
    </xf>
    <xf numFmtId="0" fontId="1" fillId="0" borderId="0" xfId="0" applyFont="1" applyAlignment="1">
      <alignment horizontal="justify" vertical="top" wrapText="1"/>
    </xf>
    <xf numFmtId="0" fontId="7" fillId="0" borderId="0" xfId="0" applyFont="1" applyAlignment="1">
      <alignment horizontal="left"/>
    </xf>
    <xf numFmtId="49" fontId="0" fillId="0" borderId="11" xfId="0" applyNumberFormat="1" applyBorder="1" applyAlignment="1">
      <alignment horizontal="left" vertical="top"/>
    </xf>
    <xf numFmtId="0" fontId="0" fillId="0" borderId="11" xfId="0" applyBorder="1" applyAlignment="1">
      <alignment horizontal="justify" vertical="top" wrapText="1"/>
    </xf>
    <xf numFmtId="2" fontId="0" fillId="0" borderId="11" xfId="0" applyNumberFormat="1" applyBorder="1" applyAlignment="1">
      <alignment horizontal="right" vertical="top"/>
    </xf>
    <xf numFmtId="0" fontId="0" fillId="0" borderId="11" xfId="0" applyBorder="1" applyAlignment="1">
      <alignment horizontal="left" vertical="top"/>
    </xf>
    <xf numFmtId="0" fontId="0" fillId="0" borderId="11" xfId="0"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jallisapp.com/" TargetMode="External"/><Relationship Id="rId1" Type="http://schemas.openxmlformats.org/officeDocument/2006/relationships/hyperlink" Target="mailto:rambabujall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CFA02-C85A-4C0D-8B93-1DAC4EB7E94D}">
  <dimension ref="A1:F50"/>
  <sheetViews>
    <sheetView view="pageBreakPreview" zoomScaleNormal="100" zoomScaleSheetLayoutView="100" workbookViewId="0">
      <selection activeCell="J11" sqref="J11"/>
    </sheetView>
  </sheetViews>
  <sheetFormatPr defaultRowHeight="15" x14ac:dyDescent="0.25"/>
  <cols>
    <col min="1" max="1" width="8.7109375" style="6" customWidth="1"/>
    <col min="2" max="2" width="43.28515625" customWidth="1"/>
    <col min="3" max="3" width="5.7109375" style="6" customWidth="1"/>
    <col min="4" max="4" width="18.7109375" style="3" customWidth="1"/>
    <col min="5" max="5" width="5.28515625" customWidth="1"/>
    <col min="6" max="6" width="0" hidden="1" customWidth="1"/>
  </cols>
  <sheetData>
    <row r="1" spans="1:6" x14ac:dyDescent="0.25">
      <c r="A1" s="42" t="s">
        <v>9667</v>
      </c>
      <c r="B1" s="42"/>
      <c r="C1" s="42"/>
      <c r="D1" s="42"/>
      <c r="E1" s="42"/>
      <c r="F1">
        <f>Schedule!G4255</f>
        <v>12497954</v>
      </c>
    </row>
    <row r="2" spans="1:6" ht="15" customHeight="1" x14ac:dyDescent="0.25">
      <c r="A2" s="43" t="s">
        <v>1</v>
      </c>
      <c r="B2" s="43"/>
      <c r="C2" s="43"/>
      <c r="D2" s="43"/>
    </row>
    <row r="4" spans="1:6" x14ac:dyDescent="0.25">
      <c r="A4" s="9" t="s">
        <v>9668</v>
      </c>
      <c r="B4" s="9" t="s">
        <v>9669</v>
      </c>
      <c r="C4" s="10"/>
      <c r="D4" s="11" t="s">
        <v>9670</v>
      </c>
    </row>
    <row r="6" spans="1:6" s="13" customFormat="1" ht="18" customHeight="1" x14ac:dyDescent="0.25">
      <c r="A6" s="15" t="s">
        <v>9671</v>
      </c>
      <c r="B6" s="13" t="s">
        <v>9672</v>
      </c>
      <c r="C6" s="12" t="s">
        <v>9673</v>
      </c>
      <c r="D6" s="14">
        <f>Schedule!G119</f>
        <v>76358</v>
      </c>
    </row>
    <row r="7" spans="1:6" s="13" customFormat="1" ht="18" customHeight="1" x14ac:dyDescent="0.25">
      <c r="A7" s="15" t="s">
        <v>9674</v>
      </c>
      <c r="B7" s="13" t="s">
        <v>9675</v>
      </c>
      <c r="C7" s="12" t="s">
        <v>9673</v>
      </c>
      <c r="D7" s="14">
        <f>Schedule!G217</f>
        <v>480106</v>
      </c>
    </row>
    <row r="8" spans="1:6" s="13" customFormat="1" ht="18" customHeight="1" x14ac:dyDescent="0.25">
      <c r="A8" s="15" t="s">
        <v>9676</v>
      </c>
      <c r="B8" s="13" t="s">
        <v>9677</v>
      </c>
      <c r="C8" s="12" t="s">
        <v>9673</v>
      </c>
      <c r="D8" s="14">
        <f>Schedule!G391</f>
        <v>839767</v>
      </c>
    </row>
    <row r="9" spans="1:6" s="13" customFormat="1" ht="18" customHeight="1" x14ac:dyDescent="0.25">
      <c r="A9" s="15" t="s">
        <v>9678</v>
      </c>
      <c r="B9" s="13" t="s">
        <v>9679</v>
      </c>
      <c r="C9" s="12" t="s">
        <v>9673</v>
      </c>
      <c r="D9" s="14">
        <f>Schedule!G468</f>
        <v>390279</v>
      </c>
    </row>
    <row r="10" spans="1:6" s="13" customFormat="1" ht="18" customHeight="1" x14ac:dyDescent="0.25">
      <c r="A10" s="15" t="s">
        <v>9680</v>
      </c>
      <c r="B10" s="13" t="s">
        <v>9681</v>
      </c>
      <c r="C10" s="12" t="s">
        <v>9673</v>
      </c>
      <c r="D10" s="14">
        <f>Schedule!G553</f>
        <v>2195632</v>
      </c>
    </row>
    <row r="11" spans="1:6" s="13" customFormat="1" ht="18" customHeight="1" x14ac:dyDescent="0.25">
      <c r="A11" s="15" t="s">
        <v>9682</v>
      </c>
      <c r="B11" s="13" t="s">
        <v>9683</v>
      </c>
      <c r="C11" s="12" t="s">
        <v>9673</v>
      </c>
      <c r="D11" s="14">
        <f>Schedule!G658</f>
        <v>454723</v>
      </c>
    </row>
    <row r="12" spans="1:6" s="13" customFormat="1" ht="18" customHeight="1" x14ac:dyDescent="0.25">
      <c r="A12" s="15" t="s">
        <v>9684</v>
      </c>
      <c r="B12" s="13" t="s">
        <v>9685</v>
      </c>
      <c r="C12" s="12" t="s">
        <v>9673</v>
      </c>
      <c r="D12" s="14">
        <f>Schedule!G1200</f>
        <v>1941900</v>
      </c>
    </row>
    <row r="13" spans="1:6" s="13" customFormat="1" ht="18" customHeight="1" x14ac:dyDescent="0.25">
      <c r="A13" s="15" t="s">
        <v>9686</v>
      </c>
      <c r="B13" s="13" t="s">
        <v>9687</v>
      </c>
      <c r="C13" s="12" t="s">
        <v>9673</v>
      </c>
      <c r="D13" s="14">
        <f>Schedule!G1272</f>
        <v>56882</v>
      </c>
    </row>
    <row r="14" spans="1:6" s="13" customFormat="1" ht="18" customHeight="1" x14ac:dyDescent="0.25">
      <c r="A14" s="15" t="s">
        <v>9688</v>
      </c>
      <c r="B14" s="13" t="s">
        <v>9689</v>
      </c>
      <c r="C14" s="12" t="s">
        <v>9673</v>
      </c>
      <c r="D14" s="14">
        <f>Schedule!G1451</f>
        <v>242519</v>
      </c>
    </row>
    <row r="15" spans="1:6" s="13" customFormat="1" ht="18" customHeight="1" x14ac:dyDescent="0.25">
      <c r="A15" s="15" t="s">
        <v>9690</v>
      </c>
      <c r="B15" s="13" t="s">
        <v>9691</v>
      </c>
      <c r="C15" s="12" t="s">
        <v>9673</v>
      </c>
      <c r="D15" s="14">
        <f>Schedule!G1655</f>
        <v>118019</v>
      </c>
    </row>
    <row r="16" spans="1:6" s="13" customFormat="1" ht="18" customHeight="1" x14ac:dyDescent="0.25">
      <c r="A16" s="15" t="s">
        <v>9692</v>
      </c>
      <c r="B16" s="13" t="s">
        <v>9693</v>
      </c>
      <c r="C16" s="12" t="s">
        <v>9673</v>
      </c>
      <c r="D16" s="14">
        <f>Schedule!G1885</f>
        <v>35733</v>
      </c>
    </row>
    <row r="17" spans="1:6" s="13" customFormat="1" ht="18" customHeight="1" x14ac:dyDescent="0.25">
      <c r="A17" s="15" t="s">
        <v>9694</v>
      </c>
      <c r="B17" s="13" t="s">
        <v>9695</v>
      </c>
      <c r="C17" s="12" t="s">
        <v>9673</v>
      </c>
      <c r="D17" s="14">
        <f>Schedule!G2024</f>
        <v>693389</v>
      </c>
    </row>
    <row r="18" spans="1:6" s="13" customFormat="1" ht="18" customHeight="1" x14ac:dyDescent="0.25">
      <c r="A18" s="15" t="s">
        <v>9696</v>
      </c>
      <c r="B18" s="13" t="s">
        <v>9697</v>
      </c>
      <c r="C18" s="12" t="s">
        <v>9673</v>
      </c>
      <c r="D18" s="14">
        <f>Schedule!G2143</f>
        <v>82595</v>
      </c>
    </row>
    <row r="19" spans="1:6" s="13" customFormat="1" ht="18" customHeight="1" x14ac:dyDescent="0.25">
      <c r="A19" s="15" t="s">
        <v>9698</v>
      </c>
      <c r="B19" s="13" t="s">
        <v>9699</v>
      </c>
      <c r="C19" s="12" t="s">
        <v>9673</v>
      </c>
      <c r="D19" s="14">
        <f>Schedule!G2337</f>
        <v>382465</v>
      </c>
    </row>
    <row r="20" spans="1:6" s="13" customFormat="1" ht="18" customHeight="1" x14ac:dyDescent="0.25">
      <c r="A20" s="15" t="s">
        <v>9700</v>
      </c>
      <c r="B20" s="13" t="s">
        <v>9701</v>
      </c>
      <c r="C20" s="12" t="s">
        <v>9673</v>
      </c>
      <c r="D20" s="14">
        <f>Schedule!G2677</f>
        <v>549669</v>
      </c>
    </row>
    <row r="21" spans="1:6" s="13" customFormat="1" ht="18" customHeight="1" x14ac:dyDescent="0.25">
      <c r="A21" s="15" t="s">
        <v>9702</v>
      </c>
      <c r="B21" s="13" t="s">
        <v>9703</v>
      </c>
      <c r="C21" s="12" t="s">
        <v>9673</v>
      </c>
      <c r="D21" s="14">
        <f>Schedule!G3505</f>
        <v>1952347</v>
      </c>
    </row>
    <row r="22" spans="1:6" s="13" customFormat="1" ht="18" customHeight="1" x14ac:dyDescent="0.25">
      <c r="A22" s="15" t="s">
        <v>9704</v>
      </c>
      <c r="B22" s="13" t="s">
        <v>9705</v>
      </c>
      <c r="C22" s="12" t="s">
        <v>9673</v>
      </c>
      <c r="D22" s="14">
        <f>Schedule!G3684</f>
        <v>820929</v>
      </c>
    </row>
    <row r="23" spans="1:6" s="13" customFormat="1" ht="18" customHeight="1" x14ac:dyDescent="0.25">
      <c r="A23" s="15" t="s">
        <v>9706</v>
      </c>
      <c r="B23" s="13" t="s">
        <v>9707</v>
      </c>
      <c r="C23" s="12" t="s">
        <v>9673</v>
      </c>
      <c r="D23" s="14">
        <f>Schedule!G3747</f>
        <v>655287</v>
      </c>
    </row>
    <row r="24" spans="1:6" s="13" customFormat="1" ht="18" customHeight="1" x14ac:dyDescent="0.25">
      <c r="A24" s="15" t="s">
        <v>9708</v>
      </c>
      <c r="B24" s="13" t="s">
        <v>9709</v>
      </c>
      <c r="C24" s="12" t="s">
        <v>9673</v>
      </c>
      <c r="D24" s="14">
        <f>Schedule!G3805</f>
        <v>36680</v>
      </c>
    </row>
    <row r="25" spans="1:6" s="13" customFormat="1" ht="18" customHeight="1" x14ac:dyDescent="0.25">
      <c r="A25" s="15" t="s">
        <v>9710</v>
      </c>
      <c r="B25" s="13" t="s">
        <v>9711</v>
      </c>
      <c r="C25" s="12" t="s">
        <v>9673</v>
      </c>
      <c r="D25" s="14">
        <f>Schedule!G3866</f>
        <v>54919</v>
      </c>
    </row>
    <row r="26" spans="1:6" s="13" customFormat="1" ht="18" customHeight="1" x14ac:dyDescent="0.25">
      <c r="A26" s="15" t="s">
        <v>9712</v>
      </c>
      <c r="B26" s="13" t="s">
        <v>9713</v>
      </c>
      <c r="C26" s="12" t="s">
        <v>9673</v>
      </c>
      <c r="D26" s="14">
        <f>Schedule!G3920</f>
        <v>51686</v>
      </c>
    </row>
    <row r="27" spans="1:6" s="13" customFormat="1" ht="18" customHeight="1" x14ac:dyDescent="0.25">
      <c r="A27" s="15" t="s">
        <v>9714</v>
      </c>
      <c r="B27" s="13" t="s">
        <v>9715</v>
      </c>
      <c r="C27" s="12" t="s">
        <v>9673</v>
      </c>
      <c r="D27" s="14">
        <f>Schedule!G3933</f>
        <v>1886</v>
      </c>
    </row>
    <row r="28" spans="1:6" s="13" customFormat="1" ht="18" customHeight="1" x14ac:dyDescent="0.25">
      <c r="A28" s="15" t="s">
        <v>9716</v>
      </c>
      <c r="B28" s="13" t="s">
        <v>9717</v>
      </c>
      <c r="C28" s="12" t="s">
        <v>9673</v>
      </c>
      <c r="D28" s="14">
        <f>Schedule!G3948</f>
        <v>25428</v>
      </c>
    </row>
    <row r="29" spans="1:6" s="13" customFormat="1" ht="18" customHeight="1" x14ac:dyDescent="0.25">
      <c r="A29" s="15" t="s">
        <v>9718</v>
      </c>
      <c r="B29" s="13" t="s">
        <v>9719</v>
      </c>
      <c r="C29" s="12" t="s">
        <v>9673</v>
      </c>
      <c r="D29" s="16">
        <f>Schedule!G4252</f>
        <v>358756</v>
      </c>
    </row>
    <row r="30" spans="1:6" s="13" customFormat="1" ht="18" customHeight="1" x14ac:dyDescent="0.25">
      <c r="A30" s="12"/>
      <c r="B30" s="13" t="s">
        <v>9720</v>
      </c>
      <c r="C30" s="12" t="s">
        <v>9673</v>
      </c>
      <c r="D30" s="14">
        <f>SUM(D6:D29)</f>
        <v>12497954</v>
      </c>
      <c r="F30" s="14">
        <f>D30-F1</f>
        <v>0</v>
      </c>
    </row>
    <row r="31" spans="1:6" x14ac:dyDescent="0.25">
      <c r="B31" t="s">
        <v>9721</v>
      </c>
      <c r="C31" s="6" t="s">
        <v>9673</v>
      </c>
      <c r="D31" s="3">
        <f>ROUND(D30*18%,0)</f>
        <v>2249632</v>
      </c>
    </row>
    <row r="32" spans="1:6" x14ac:dyDescent="0.25">
      <c r="B32" t="s">
        <v>9722</v>
      </c>
      <c r="C32" s="6" t="s">
        <v>9673</v>
      </c>
      <c r="D32" s="17">
        <f>ROUND(D30*5%,0)</f>
        <v>624898</v>
      </c>
    </row>
    <row r="33" spans="2:5" x14ac:dyDescent="0.25">
      <c r="B33" s="18" t="s">
        <v>9723</v>
      </c>
      <c r="D33" s="3">
        <f>SUM(D30:D32)</f>
        <v>15372484</v>
      </c>
    </row>
    <row r="35" spans="2:5" ht="17.25" x14ac:dyDescent="0.3">
      <c r="B35" s="19" t="s">
        <v>9724</v>
      </c>
      <c r="D35" s="20">
        <f>ROUND((D33+30)/100,0)*100</f>
        <v>15372500</v>
      </c>
    </row>
    <row r="40" spans="2:5" x14ac:dyDescent="0.25">
      <c r="B40" t="s">
        <v>9660</v>
      </c>
      <c r="C40" s="41" t="s">
        <v>9663</v>
      </c>
      <c r="D40" s="41"/>
      <c r="E40" s="41"/>
    </row>
    <row r="41" spans="2:5" x14ac:dyDescent="0.25">
      <c r="B41" t="s">
        <v>9661</v>
      </c>
      <c r="C41" s="41" t="s">
        <v>9661</v>
      </c>
      <c r="D41" s="41"/>
      <c r="E41" s="41"/>
    </row>
    <row r="42" spans="2:5" x14ac:dyDescent="0.25">
      <c r="B42" t="s">
        <v>9662</v>
      </c>
      <c r="C42" s="41" t="s">
        <v>9662</v>
      </c>
      <c r="D42" s="41"/>
      <c r="E42" s="41"/>
    </row>
    <row r="43" spans="2:5" x14ac:dyDescent="0.25">
      <c r="C43" s="41"/>
      <c r="D43" s="41"/>
      <c r="E43" s="41"/>
    </row>
    <row r="48" spans="2:5" x14ac:dyDescent="0.25">
      <c r="C48" s="41" t="s">
        <v>9664</v>
      </c>
      <c r="D48" s="41"/>
      <c r="E48" s="41"/>
    </row>
    <row r="49" spans="3:5" x14ac:dyDescent="0.25">
      <c r="C49" s="41" t="s">
        <v>9665</v>
      </c>
      <c r="D49" s="41"/>
      <c r="E49" s="41"/>
    </row>
    <row r="50" spans="3:5" x14ac:dyDescent="0.25">
      <c r="C50" s="41" t="s">
        <v>9666</v>
      </c>
      <c r="D50" s="41"/>
      <c r="E50" s="41"/>
    </row>
  </sheetData>
  <mergeCells count="9">
    <mergeCell ref="C48:E48"/>
    <mergeCell ref="C49:E49"/>
    <mergeCell ref="C50:E50"/>
    <mergeCell ref="A1:E1"/>
    <mergeCell ref="A2:D2"/>
    <mergeCell ref="C40:E40"/>
    <mergeCell ref="C41:E41"/>
    <mergeCell ref="C42:E42"/>
    <mergeCell ref="C43:E43"/>
  </mergeCells>
  <pageMargins left="1.25" right="0.7" top="0.75" bottom="0.75" header="0.3" footer="0.3"/>
  <pageSetup scale="96" orientation="portrait" r:id="rId1"/>
  <headerFooter>
    <oddFooter>&amp;LEstimate prepared with Jalli's App - 2023 (Civil) :: &amp;REstimate Code :DSR_23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265"/>
  <sheetViews>
    <sheetView view="pageBreakPreview" topLeftCell="A2411" zoomScaleNormal="100" zoomScaleSheetLayoutView="100" workbookViewId="0">
      <selection activeCell="I2419" sqref="I2419"/>
    </sheetView>
  </sheetViews>
  <sheetFormatPr defaultRowHeight="15" x14ac:dyDescent="0.25"/>
  <cols>
    <col min="1" max="1" width="8.7109375" style="1" customWidth="1"/>
    <col min="2" max="2" width="45.7109375" style="2" customWidth="1"/>
    <col min="3" max="3" width="8.7109375" style="4" customWidth="1"/>
    <col min="4" max="4" width="5.7109375" style="5" customWidth="1"/>
    <col min="5" max="5" width="8.7109375" style="4" customWidth="1"/>
    <col min="6" max="6" width="11.7109375" style="7" customWidth="1"/>
    <col min="7" max="7" width="13.7109375" style="4" customWidth="1"/>
    <col min="8" max="8" width="0" hidden="1" customWidth="1"/>
  </cols>
  <sheetData>
    <row r="1" spans="1:8" x14ac:dyDescent="0.25">
      <c r="A1" s="50" t="s">
        <v>0</v>
      </c>
      <c r="B1" s="51"/>
      <c r="C1" s="51"/>
      <c r="D1" s="51"/>
      <c r="E1" s="51"/>
      <c r="F1" s="51"/>
      <c r="G1" s="51"/>
    </row>
    <row r="2" spans="1:8" ht="15" customHeight="1" x14ac:dyDescent="0.25">
      <c r="A2" s="31"/>
      <c r="B2" s="52" t="s">
        <v>1</v>
      </c>
      <c r="C2" s="53"/>
      <c r="D2" s="53"/>
      <c r="E2" s="53"/>
      <c r="F2" s="53"/>
      <c r="G2" s="53"/>
    </row>
    <row r="3" spans="1:8" x14ac:dyDescent="0.25">
      <c r="A3" s="22" t="s">
        <v>2</v>
      </c>
      <c r="B3" s="23" t="s">
        <v>3</v>
      </c>
      <c r="C3" s="54" t="s">
        <v>4</v>
      </c>
      <c r="D3" s="54"/>
      <c r="E3" s="24" t="s">
        <v>5</v>
      </c>
      <c r="F3" s="23" t="s">
        <v>6</v>
      </c>
      <c r="G3" s="24" t="s">
        <v>7</v>
      </c>
    </row>
    <row r="4" spans="1:8" x14ac:dyDescent="0.25">
      <c r="A4" s="46" t="s">
        <v>8</v>
      </c>
      <c r="B4" s="47"/>
      <c r="C4" s="47"/>
      <c r="D4" s="47"/>
      <c r="E4" s="47"/>
      <c r="F4" s="47"/>
      <c r="G4" s="47"/>
    </row>
    <row r="5" spans="1:8" ht="75" x14ac:dyDescent="0.25">
      <c r="A5" s="21" t="s">
        <v>9</v>
      </c>
      <c r="B5" s="25" t="s">
        <v>11</v>
      </c>
      <c r="C5" s="26"/>
      <c r="D5" s="27"/>
      <c r="E5" s="26"/>
      <c r="F5" s="28"/>
      <c r="G5" s="26"/>
      <c r="H5" t="s">
        <v>10</v>
      </c>
    </row>
    <row r="6" spans="1:8" ht="30" x14ac:dyDescent="0.25">
      <c r="A6" s="21" t="s">
        <v>12</v>
      </c>
      <c r="B6" s="25" t="s">
        <v>14</v>
      </c>
      <c r="C6" s="26">
        <v>1</v>
      </c>
      <c r="D6" s="27" t="s">
        <v>15</v>
      </c>
      <c r="E6" s="26">
        <v>129.85</v>
      </c>
      <c r="F6" s="28" t="s">
        <v>16</v>
      </c>
      <c r="G6" s="26">
        <f>ROUND(C6*E6,0)</f>
        <v>130</v>
      </c>
      <c r="H6" t="s">
        <v>13</v>
      </c>
    </row>
    <row r="7" spans="1:8" ht="150" x14ac:dyDescent="0.25">
      <c r="A7" s="21" t="s">
        <v>17</v>
      </c>
      <c r="B7" s="25" t="s">
        <v>19</v>
      </c>
      <c r="C7" s="26"/>
      <c r="D7" s="27"/>
      <c r="E7" s="26"/>
      <c r="F7" s="28"/>
      <c r="G7" s="26"/>
      <c r="H7" t="s">
        <v>18</v>
      </c>
    </row>
    <row r="8" spans="1:8" ht="30" x14ac:dyDescent="0.25">
      <c r="A8" s="21" t="s">
        <v>20</v>
      </c>
      <c r="B8" s="25" t="s">
        <v>14</v>
      </c>
      <c r="C8" s="26">
        <v>1</v>
      </c>
      <c r="D8" s="27" t="s">
        <v>21</v>
      </c>
      <c r="E8" s="26">
        <v>395.3</v>
      </c>
      <c r="F8" s="28" t="s">
        <v>22</v>
      </c>
      <c r="G8" s="26">
        <f>ROUND(C8*E8,0)</f>
        <v>395</v>
      </c>
      <c r="H8" t="s">
        <v>13</v>
      </c>
    </row>
    <row r="9" spans="1:8" ht="135" x14ac:dyDescent="0.25">
      <c r="A9" s="21" t="s">
        <v>23</v>
      </c>
      <c r="B9" s="25" t="s">
        <v>25</v>
      </c>
      <c r="C9" s="26"/>
      <c r="D9" s="27"/>
      <c r="E9" s="26"/>
      <c r="F9" s="28"/>
      <c r="G9" s="26"/>
      <c r="H9" t="s">
        <v>24</v>
      </c>
    </row>
    <row r="10" spans="1:8" ht="30" x14ac:dyDescent="0.25">
      <c r="A10" s="21" t="s">
        <v>26</v>
      </c>
      <c r="B10" s="25" t="s">
        <v>14</v>
      </c>
      <c r="C10" s="26">
        <v>1</v>
      </c>
      <c r="D10" s="27" t="s">
        <v>21</v>
      </c>
      <c r="E10" s="26">
        <v>197.9</v>
      </c>
      <c r="F10" s="28" t="s">
        <v>22</v>
      </c>
      <c r="G10" s="26">
        <f>ROUND(C10*E10,0)</f>
        <v>198</v>
      </c>
      <c r="H10" t="s">
        <v>13</v>
      </c>
    </row>
    <row r="11" spans="1:8" ht="45" x14ac:dyDescent="0.25">
      <c r="A11" s="21" t="s">
        <v>27</v>
      </c>
      <c r="B11" s="25" t="s">
        <v>29</v>
      </c>
      <c r="C11" s="26">
        <v>1</v>
      </c>
      <c r="D11" s="27" t="s">
        <v>21</v>
      </c>
      <c r="E11" s="26">
        <v>-5.25</v>
      </c>
      <c r="F11" s="28" t="s">
        <v>22</v>
      </c>
      <c r="G11" s="26">
        <f>ROUND(C11*E11,0)</f>
        <v>-5</v>
      </c>
      <c r="H11" t="s">
        <v>28</v>
      </c>
    </row>
    <row r="12" spans="1:8" ht="30" x14ac:dyDescent="0.25">
      <c r="A12" s="21" t="s">
        <v>30</v>
      </c>
      <c r="B12" s="25" t="s">
        <v>32</v>
      </c>
      <c r="C12" s="26">
        <v>1</v>
      </c>
      <c r="D12" s="27" t="s">
        <v>21</v>
      </c>
      <c r="E12" s="26">
        <v>-14.25</v>
      </c>
      <c r="F12" s="28" t="s">
        <v>22</v>
      </c>
      <c r="G12" s="26">
        <f>ROUND(C12*E12,0)</f>
        <v>-14</v>
      </c>
      <c r="H12" t="s">
        <v>31</v>
      </c>
    </row>
    <row r="13" spans="1:8" ht="90" x14ac:dyDescent="0.25">
      <c r="A13" s="21" t="s">
        <v>33</v>
      </c>
      <c r="B13" s="25" t="s">
        <v>35</v>
      </c>
      <c r="C13" s="26"/>
      <c r="D13" s="27"/>
      <c r="E13" s="26"/>
      <c r="F13" s="28"/>
      <c r="G13" s="26"/>
      <c r="H13" t="s">
        <v>34</v>
      </c>
    </row>
    <row r="14" spans="1:8" ht="30" x14ac:dyDescent="0.25">
      <c r="A14" s="21" t="s">
        <v>36</v>
      </c>
      <c r="B14" s="25" t="s">
        <v>14</v>
      </c>
      <c r="C14" s="26">
        <v>1</v>
      </c>
      <c r="D14" s="27" t="s">
        <v>21</v>
      </c>
      <c r="E14" s="26">
        <v>177.5</v>
      </c>
      <c r="F14" s="28" t="s">
        <v>22</v>
      </c>
      <c r="G14" s="26">
        <f>ROUND(C14*E14,0)</f>
        <v>178</v>
      </c>
      <c r="H14" t="s">
        <v>37</v>
      </c>
    </row>
    <row r="15" spans="1:8" ht="105" x14ac:dyDescent="0.25">
      <c r="A15" s="21" t="s">
        <v>38</v>
      </c>
      <c r="B15" s="25" t="s">
        <v>39</v>
      </c>
      <c r="C15" s="26"/>
      <c r="D15" s="27"/>
      <c r="E15" s="26"/>
      <c r="F15" s="28"/>
      <c r="G15" s="26"/>
      <c r="H15" t="s">
        <v>34</v>
      </c>
    </row>
    <row r="16" spans="1:8" ht="30" x14ac:dyDescent="0.25">
      <c r="A16" s="21" t="s">
        <v>40</v>
      </c>
      <c r="B16" s="25" t="s">
        <v>42</v>
      </c>
      <c r="C16" s="26">
        <v>1</v>
      </c>
      <c r="D16" s="27" t="s">
        <v>21</v>
      </c>
      <c r="E16" s="26">
        <v>498.9</v>
      </c>
      <c r="F16" s="28" t="s">
        <v>22</v>
      </c>
      <c r="G16" s="26">
        <f>ROUND(C16*E16,0)</f>
        <v>499</v>
      </c>
      <c r="H16" t="s">
        <v>41</v>
      </c>
    </row>
    <row r="17" spans="1:8" ht="30" x14ac:dyDescent="0.25">
      <c r="A17" s="21" t="s">
        <v>43</v>
      </c>
      <c r="B17" s="25" t="s">
        <v>45</v>
      </c>
      <c r="C17" s="26">
        <v>1</v>
      </c>
      <c r="D17" s="27" t="s">
        <v>21</v>
      </c>
      <c r="E17" s="26">
        <v>874.4</v>
      </c>
      <c r="F17" s="28" t="s">
        <v>22</v>
      </c>
      <c r="G17" s="26">
        <f>ROUND(C17*E17,0)</f>
        <v>874</v>
      </c>
      <c r="H17" t="s">
        <v>44</v>
      </c>
    </row>
    <row r="18" spans="1:8" ht="30" x14ac:dyDescent="0.25">
      <c r="A18" s="21" t="s">
        <v>46</v>
      </c>
      <c r="B18" s="25" t="s">
        <v>48</v>
      </c>
      <c r="C18" s="26">
        <v>1</v>
      </c>
      <c r="D18" s="27" t="s">
        <v>21</v>
      </c>
      <c r="E18" s="26">
        <v>1432.95</v>
      </c>
      <c r="F18" s="28" t="s">
        <v>22</v>
      </c>
      <c r="G18" s="26">
        <f>ROUND(C18*E18,0)</f>
        <v>1433</v>
      </c>
      <c r="H18" t="s">
        <v>47</v>
      </c>
    </row>
    <row r="19" spans="1:8" ht="120" x14ac:dyDescent="0.25">
      <c r="A19" s="21" t="s">
        <v>49</v>
      </c>
      <c r="B19" s="25" t="s">
        <v>51</v>
      </c>
      <c r="C19" s="26"/>
      <c r="D19" s="27"/>
      <c r="E19" s="26"/>
      <c r="F19" s="28"/>
      <c r="G19" s="26"/>
      <c r="H19" t="s">
        <v>50</v>
      </c>
    </row>
    <row r="20" spans="1:8" ht="30" x14ac:dyDescent="0.25">
      <c r="A20" s="21" t="s">
        <v>52</v>
      </c>
      <c r="B20" s="25" t="s">
        <v>13</v>
      </c>
      <c r="C20" s="26">
        <v>1</v>
      </c>
      <c r="D20" s="27" t="s">
        <v>21</v>
      </c>
      <c r="E20" s="26">
        <v>260.3</v>
      </c>
      <c r="F20" s="28" t="s">
        <v>22</v>
      </c>
      <c r="G20" s="26">
        <f>ROUND(C20*E20,0)</f>
        <v>260</v>
      </c>
      <c r="H20" t="s">
        <v>13</v>
      </c>
    </row>
    <row r="21" spans="1:8" ht="120" x14ac:dyDescent="0.25">
      <c r="A21" s="21" t="s">
        <v>53</v>
      </c>
      <c r="B21" s="25" t="s">
        <v>55</v>
      </c>
      <c r="C21" s="26"/>
      <c r="D21" s="27"/>
      <c r="E21" s="26"/>
      <c r="F21" s="28"/>
      <c r="G21" s="26"/>
      <c r="H21" t="s">
        <v>54</v>
      </c>
    </row>
    <row r="22" spans="1:8" ht="30" x14ac:dyDescent="0.25">
      <c r="A22" s="21" t="s">
        <v>56</v>
      </c>
      <c r="B22" s="25" t="s">
        <v>42</v>
      </c>
      <c r="C22" s="26">
        <v>1</v>
      </c>
      <c r="D22" s="27" t="s">
        <v>21</v>
      </c>
      <c r="E22" s="26">
        <v>632.95000000000005</v>
      </c>
      <c r="F22" s="28" t="s">
        <v>22</v>
      </c>
      <c r="G22" s="26">
        <f>ROUND(C22*E22,0)</f>
        <v>633</v>
      </c>
      <c r="H22" t="s">
        <v>41</v>
      </c>
    </row>
    <row r="23" spans="1:8" ht="30" x14ac:dyDescent="0.25">
      <c r="A23" s="21" t="s">
        <v>57</v>
      </c>
      <c r="B23" s="25" t="s">
        <v>45</v>
      </c>
      <c r="C23" s="26">
        <v>1</v>
      </c>
      <c r="D23" s="27" t="s">
        <v>21</v>
      </c>
      <c r="E23" s="26">
        <v>1049.8</v>
      </c>
      <c r="F23" s="28" t="s">
        <v>22</v>
      </c>
      <c r="G23" s="26">
        <f>ROUND(C23*E23,0)</f>
        <v>1050</v>
      </c>
      <c r="H23" t="s">
        <v>44</v>
      </c>
    </row>
    <row r="24" spans="1:8" ht="30" x14ac:dyDescent="0.25">
      <c r="A24" s="21" t="s">
        <v>58</v>
      </c>
      <c r="B24" s="25" t="s">
        <v>48</v>
      </c>
      <c r="C24" s="26">
        <v>1</v>
      </c>
      <c r="D24" s="27" t="s">
        <v>21</v>
      </c>
      <c r="E24" s="26">
        <v>1523.05</v>
      </c>
      <c r="F24" s="28" t="s">
        <v>22</v>
      </c>
      <c r="G24" s="26">
        <f>ROUND(C24*E24,0)</f>
        <v>1523</v>
      </c>
      <c r="H24" t="s">
        <v>59</v>
      </c>
    </row>
    <row r="25" spans="1:8" ht="135" x14ac:dyDescent="0.25">
      <c r="A25" s="21" t="s">
        <v>60</v>
      </c>
      <c r="B25" s="25" t="s">
        <v>62</v>
      </c>
      <c r="C25" s="26"/>
      <c r="D25" s="27"/>
      <c r="E25" s="26"/>
      <c r="F25" s="28"/>
      <c r="G25" s="26"/>
      <c r="H25" t="s">
        <v>61</v>
      </c>
    </row>
    <row r="26" spans="1:8" x14ac:dyDescent="0.25">
      <c r="A26" s="21" t="s">
        <v>63</v>
      </c>
      <c r="B26" s="25" t="s">
        <v>14</v>
      </c>
      <c r="C26" s="26"/>
      <c r="D26" s="27"/>
      <c r="E26" s="26"/>
      <c r="F26" s="28"/>
      <c r="G26" s="26"/>
      <c r="H26" t="s">
        <v>14</v>
      </c>
    </row>
    <row r="27" spans="1:8" x14ac:dyDescent="0.25">
      <c r="A27" s="21" t="s">
        <v>64</v>
      </c>
      <c r="B27" s="25" t="s">
        <v>66</v>
      </c>
      <c r="C27" s="26">
        <v>1</v>
      </c>
      <c r="D27" s="27" t="s">
        <v>67</v>
      </c>
      <c r="E27" s="26">
        <v>215.6</v>
      </c>
      <c r="F27" s="28" t="s">
        <v>68</v>
      </c>
      <c r="G27" s="26">
        <f>ROUND(C27*E27,0)</f>
        <v>216</v>
      </c>
      <c r="H27" t="s">
        <v>65</v>
      </c>
    </row>
    <row r="28" spans="1:8" ht="30" x14ac:dyDescent="0.25">
      <c r="A28" s="21" t="s">
        <v>69</v>
      </c>
      <c r="B28" s="25" t="s">
        <v>70</v>
      </c>
      <c r="C28" s="26">
        <v>1</v>
      </c>
      <c r="D28" s="27" t="s">
        <v>67</v>
      </c>
      <c r="E28" s="26">
        <v>352.15</v>
      </c>
      <c r="F28" s="28" t="s">
        <v>68</v>
      </c>
      <c r="G28" s="26">
        <f>ROUND(C28*E28,0)</f>
        <v>352</v>
      </c>
      <c r="H28" t="s">
        <v>70</v>
      </c>
    </row>
    <row r="29" spans="1:8" ht="30" x14ac:dyDescent="0.25">
      <c r="A29" s="21" t="s">
        <v>71</v>
      </c>
      <c r="B29" s="25" t="s">
        <v>73</v>
      </c>
      <c r="C29" s="26">
        <v>1</v>
      </c>
      <c r="D29" s="27" t="s">
        <v>67</v>
      </c>
      <c r="E29" s="26">
        <v>549.75</v>
      </c>
      <c r="F29" s="28" t="s">
        <v>68</v>
      </c>
      <c r="G29" s="26">
        <f>ROUND(C29*E29,0)</f>
        <v>550</v>
      </c>
      <c r="H29" t="s">
        <v>72</v>
      </c>
    </row>
    <row r="30" spans="1:8" ht="150" x14ac:dyDescent="0.25">
      <c r="A30" s="21" t="s">
        <v>74</v>
      </c>
      <c r="B30" s="25" t="s">
        <v>76</v>
      </c>
      <c r="C30" s="26"/>
      <c r="D30" s="27"/>
      <c r="E30" s="26"/>
      <c r="F30" s="28"/>
      <c r="G30" s="26"/>
      <c r="H30" t="s">
        <v>75</v>
      </c>
    </row>
    <row r="31" spans="1:8" x14ac:dyDescent="0.25">
      <c r="A31" s="21" t="s">
        <v>77</v>
      </c>
      <c r="B31" s="25" t="s">
        <v>79</v>
      </c>
      <c r="C31" s="26"/>
      <c r="D31" s="27"/>
      <c r="E31" s="26"/>
      <c r="F31" s="28"/>
      <c r="G31" s="26"/>
      <c r="H31" t="s">
        <v>78</v>
      </c>
    </row>
    <row r="32" spans="1:8" x14ac:dyDescent="0.25">
      <c r="A32" s="21" t="s">
        <v>80</v>
      </c>
      <c r="B32" s="25" t="s">
        <v>82</v>
      </c>
      <c r="C32" s="26">
        <v>1</v>
      </c>
      <c r="D32" s="27" t="s">
        <v>67</v>
      </c>
      <c r="E32" s="26">
        <v>403.3</v>
      </c>
      <c r="F32" s="28" t="s">
        <v>68</v>
      </c>
      <c r="G32" s="26">
        <f>ROUND(C32*E32,0)</f>
        <v>403</v>
      </c>
      <c r="H32" t="s">
        <v>81</v>
      </c>
    </row>
    <row r="33" spans="1:8" ht="30" x14ac:dyDescent="0.25">
      <c r="A33" s="21" t="s">
        <v>83</v>
      </c>
      <c r="B33" s="25" t="s">
        <v>85</v>
      </c>
      <c r="C33" s="26">
        <v>1</v>
      </c>
      <c r="D33" s="27" t="s">
        <v>67</v>
      </c>
      <c r="E33" s="26">
        <v>998.65</v>
      </c>
      <c r="F33" s="28" t="s">
        <v>68</v>
      </c>
      <c r="G33" s="26">
        <f>ROUND(C33*E33,0)</f>
        <v>999</v>
      </c>
      <c r="H33" t="s">
        <v>84</v>
      </c>
    </row>
    <row r="34" spans="1:8" ht="30" x14ac:dyDescent="0.25">
      <c r="A34" s="21" t="s">
        <v>86</v>
      </c>
      <c r="B34" s="25" t="s">
        <v>88</v>
      </c>
      <c r="C34" s="26">
        <v>1</v>
      </c>
      <c r="D34" s="27" t="s">
        <v>67</v>
      </c>
      <c r="E34" s="26">
        <v>1149.0999999999999</v>
      </c>
      <c r="F34" s="28" t="s">
        <v>68</v>
      </c>
      <c r="G34" s="26">
        <f>ROUND(C34*E34,0)</f>
        <v>1149</v>
      </c>
      <c r="H34" t="s">
        <v>87</v>
      </c>
    </row>
    <row r="35" spans="1:8" x14ac:dyDescent="0.25">
      <c r="A35" s="21" t="s">
        <v>89</v>
      </c>
      <c r="B35" s="25" t="s">
        <v>45</v>
      </c>
      <c r="C35" s="26"/>
      <c r="D35" s="27"/>
      <c r="E35" s="26"/>
      <c r="F35" s="28"/>
      <c r="G35" s="26"/>
      <c r="H35" t="s">
        <v>90</v>
      </c>
    </row>
    <row r="36" spans="1:8" x14ac:dyDescent="0.25">
      <c r="A36" s="21" t="s">
        <v>91</v>
      </c>
      <c r="B36" s="25" t="s">
        <v>82</v>
      </c>
      <c r="C36" s="26">
        <v>1</v>
      </c>
      <c r="D36" s="27" t="s">
        <v>67</v>
      </c>
      <c r="E36" s="26">
        <v>603.20000000000005</v>
      </c>
      <c r="F36" s="28" t="s">
        <v>68</v>
      </c>
      <c r="G36" s="26">
        <f>ROUND(C36*E36,0)</f>
        <v>603</v>
      </c>
      <c r="H36" t="s">
        <v>81</v>
      </c>
    </row>
    <row r="37" spans="1:8" ht="30" x14ac:dyDescent="0.25">
      <c r="A37" s="21" t="s">
        <v>92</v>
      </c>
      <c r="B37" s="25" t="s">
        <v>94</v>
      </c>
      <c r="C37" s="26">
        <v>1</v>
      </c>
      <c r="D37" s="27" t="s">
        <v>67</v>
      </c>
      <c r="E37" s="26">
        <v>1493.6</v>
      </c>
      <c r="F37" s="28" t="s">
        <v>68</v>
      </c>
      <c r="G37" s="26">
        <f>ROUND(C37*E37,0)</f>
        <v>1494</v>
      </c>
      <c r="H37" t="s">
        <v>93</v>
      </c>
    </row>
    <row r="38" spans="1:8" ht="30" x14ac:dyDescent="0.25">
      <c r="A38" s="21" t="s">
        <v>95</v>
      </c>
      <c r="B38" s="25" t="s">
        <v>97</v>
      </c>
      <c r="C38" s="26">
        <v>1</v>
      </c>
      <c r="D38" s="27" t="s">
        <v>67</v>
      </c>
      <c r="E38" s="26">
        <v>1718.45</v>
      </c>
      <c r="F38" s="28" t="s">
        <v>68</v>
      </c>
      <c r="G38" s="26">
        <f>ROUND(C38*E38,0)</f>
        <v>1718</v>
      </c>
      <c r="H38" t="s">
        <v>96</v>
      </c>
    </row>
    <row r="39" spans="1:8" x14ac:dyDescent="0.25">
      <c r="A39" s="21" t="s">
        <v>98</v>
      </c>
      <c r="B39" s="25" t="s">
        <v>48</v>
      </c>
      <c r="C39" s="26"/>
      <c r="D39" s="27"/>
      <c r="E39" s="26"/>
      <c r="F39" s="28"/>
      <c r="G39" s="26"/>
      <c r="H39" t="s">
        <v>99</v>
      </c>
    </row>
    <row r="40" spans="1:8" x14ac:dyDescent="0.25">
      <c r="A40" s="21" t="s">
        <v>100</v>
      </c>
      <c r="B40" s="25" t="s">
        <v>82</v>
      </c>
      <c r="C40" s="26">
        <v>1</v>
      </c>
      <c r="D40" s="27" t="s">
        <v>67</v>
      </c>
      <c r="E40" s="26">
        <v>826.8</v>
      </c>
      <c r="F40" s="28" t="s">
        <v>68</v>
      </c>
      <c r="G40" s="26">
        <f>ROUND(C40*E40,0)</f>
        <v>827</v>
      </c>
      <c r="H40" t="s">
        <v>65</v>
      </c>
    </row>
    <row r="41" spans="1:8" ht="30" x14ac:dyDescent="0.25">
      <c r="A41" s="21" t="s">
        <v>101</v>
      </c>
      <c r="B41" s="25" t="s">
        <v>94</v>
      </c>
      <c r="C41" s="26">
        <v>1</v>
      </c>
      <c r="D41" s="27" t="s">
        <v>67</v>
      </c>
      <c r="E41" s="26">
        <v>2047.3</v>
      </c>
      <c r="F41" s="28" t="s">
        <v>68</v>
      </c>
      <c r="G41" s="26">
        <f>ROUND(C41*E41,0)</f>
        <v>2047</v>
      </c>
      <c r="H41" t="s">
        <v>93</v>
      </c>
    </row>
    <row r="42" spans="1:8" ht="30" x14ac:dyDescent="0.25">
      <c r="A42" s="21" t="s">
        <v>102</v>
      </c>
      <c r="B42" s="25" t="s">
        <v>103</v>
      </c>
      <c r="C42" s="26">
        <v>1</v>
      </c>
      <c r="D42" s="27" t="s">
        <v>67</v>
      </c>
      <c r="E42" s="26">
        <v>2355.75</v>
      </c>
      <c r="F42" s="28" t="s">
        <v>68</v>
      </c>
      <c r="G42" s="26">
        <f>ROUND(C42*E42,0)</f>
        <v>2356</v>
      </c>
      <c r="H42" t="s">
        <v>96</v>
      </c>
    </row>
    <row r="43" spans="1:8" ht="75" x14ac:dyDescent="0.25">
      <c r="A43" s="21" t="s">
        <v>104</v>
      </c>
      <c r="B43" s="25" t="s">
        <v>106</v>
      </c>
      <c r="C43" s="26"/>
      <c r="D43" s="27"/>
      <c r="E43" s="26"/>
      <c r="F43" s="28"/>
      <c r="G43" s="26"/>
      <c r="H43" t="s">
        <v>105</v>
      </c>
    </row>
    <row r="44" spans="1:8" x14ac:dyDescent="0.25">
      <c r="A44" s="21" t="s">
        <v>107</v>
      </c>
      <c r="B44" s="25" t="s">
        <v>42</v>
      </c>
      <c r="C44" s="26"/>
      <c r="D44" s="27"/>
      <c r="E44" s="26"/>
      <c r="F44" s="28"/>
      <c r="G44" s="26"/>
      <c r="H44" t="s">
        <v>42</v>
      </c>
    </row>
    <row r="45" spans="1:8" ht="30" x14ac:dyDescent="0.25">
      <c r="A45" s="21" t="s">
        <v>108</v>
      </c>
      <c r="B45" s="25" t="s">
        <v>109</v>
      </c>
      <c r="C45" s="26">
        <v>1</v>
      </c>
      <c r="D45" s="27" t="s">
        <v>110</v>
      </c>
      <c r="E45" s="26">
        <v>729.8</v>
      </c>
      <c r="F45" s="28" t="s">
        <v>111</v>
      </c>
      <c r="G45" s="26">
        <f>ROUND(C45*E45,0)</f>
        <v>730</v>
      </c>
      <c r="H45" t="s">
        <v>109</v>
      </c>
    </row>
    <row r="46" spans="1:8" ht="30" x14ac:dyDescent="0.25">
      <c r="A46" s="21" t="s">
        <v>112</v>
      </c>
      <c r="B46" s="25" t="s">
        <v>113</v>
      </c>
      <c r="C46" s="26">
        <v>1</v>
      </c>
      <c r="D46" s="27" t="s">
        <v>110</v>
      </c>
      <c r="E46" s="26">
        <v>867.45</v>
      </c>
      <c r="F46" s="28" t="s">
        <v>111</v>
      </c>
      <c r="G46" s="26">
        <f>ROUND(C46*E46,0)</f>
        <v>867</v>
      </c>
      <c r="H46" t="s">
        <v>113</v>
      </c>
    </row>
    <row r="47" spans="1:8" x14ac:dyDescent="0.25">
      <c r="A47" s="21" t="s">
        <v>114</v>
      </c>
      <c r="B47" s="25" t="s">
        <v>115</v>
      </c>
      <c r="C47" s="26"/>
      <c r="D47" s="27"/>
      <c r="E47" s="26"/>
      <c r="F47" s="28"/>
      <c r="G47" s="26"/>
      <c r="H47" t="s">
        <v>115</v>
      </c>
    </row>
    <row r="48" spans="1:8" ht="30" x14ac:dyDescent="0.25">
      <c r="A48" s="21" t="s">
        <v>116</v>
      </c>
      <c r="B48" s="25" t="s">
        <v>109</v>
      </c>
      <c r="C48" s="26">
        <v>1</v>
      </c>
      <c r="D48" s="27" t="s">
        <v>110</v>
      </c>
      <c r="E48" s="26">
        <v>1091.45</v>
      </c>
      <c r="F48" s="28" t="s">
        <v>111</v>
      </c>
      <c r="G48" s="26">
        <f>ROUND(C48*E48,0)</f>
        <v>1091</v>
      </c>
      <c r="H48" t="s">
        <v>109</v>
      </c>
    </row>
    <row r="49" spans="1:8" ht="30" x14ac:dyDescent="0.25">
      <c r="A49" s="21" t="s">
        <v>117</v>
      </c>
      <c r="B49" s="25" t="s">
        <v>113</v>
      </c>
      <c r="C49" s="26">
        <v>1</v>
      </c>
      <c r="D49" s="27" t="s">
        <v>110</v>
      </c>
      <c r="E49" s="26">
        <v>1297.4000000000001</v>
      </c>
      <c r="F49" s="28" t="s">
        <v>111</v>
      </c>
      <c r="G49" s="26">
        <f>ROUND(C49*E49,0)</f>
        <v>1297</v>
      </c>
      <c r="H49" t="s">
        <v>113</v>
      </c>
    </row>
    <row r="50" spans="1:8" x14ac:dyDescent="0.25">
      <c r="A50" s="21" t="s">
        <v>118</v>
      </c>
      <c r="B50" s="25" t="s">
        <v>48</v>
      </c>
      <c r="C50" s="26"/>
      <c r="D50" s="27"/>
      <c r="E50" s="26"/>
      <c r="F50" s="28"/>
      <c r="G50" s="26"/>
      <c r="H50" t="s">
        <v>48</v>
      </c>
    </row>
    <row r="51" spans="1:8" ht="30" x14ac:dyDescent="0.25">
      <c r="A51" s="21" t="s">
        <v>119</v>
      </c>
      <c r="B51" s="25" t="s">
        <v>109</v>
      </c>
      <c r="C51" s="26">
        <v>1</v>
      </c>
      <c r="D51" s="27" t="s">
        <v>110</v>
      </c>
      <c r="E51" s="26">
        <v>1496.1</v>
      </c>
      <c r="F51" s="28" t="s">
        <v>111</v>
      </c>
      <c r="G51" s="26">
        <f>ROUND(C51*E51,0)</f>
        <v>1496</v>
      </c>
      <c r="H51" t="s">
        <v>109</v>
      </c>
    </row>
    <row r="52" spans="1:8" ht="30" x14ac:dyDescent="0.25">
      <c r="A52" s="21" t="s">
        <v>120</v>
      </c>
      <c r="B52" s="25" t="s">
        <v>113</v>
      </c>
      <c r="C52" s="26">
        <v>1</v>
      </c>
      <c r="D52" s="27" t="s">
        <v>110</v>
      </c>
      <c r="E52" s="26">
        <v>1778.15</v>
      </c>
      <c r="F52" s="28" t="s">
        <v>111</v>
      </c>
      <c r="G52" s="26">
        <f>ROUND(C52*E52,0)</f>
        <v>1778</v>
      </c>
      <c r="H52" t="s">
        <v>113</v>
      </c>
    </row>
    <row r="53" spans="1:8" ht="75" x14ac:dyDescent="0.25">
      <c r="A53" s="21" t="s">
        <v>121</v>
      </c>
      <c r="B53" s="25" t="s">
        <v>122</v>
      </c>
      <c r="C53" s="26"/>
      <c r="D53" s="27"/>
      <c r="E53" s="26"/>
      <c r="F53" s="28"/>
      <c r="G53" s="26"/>
      <c r="H53" t="s">
        <v>105</v>
      </c>
    </row>
    <row r="54" spans="1:8" x14ac:dyDescent="0.25">
      <c r="A54" s="21" t="s">
        <v>123</v>
      </c>
      <c r="B54" s="25" t="s">
        <v>42</v>
      </c>
      <c r="C54" s="26"/>
      <c r="D54" s="27"/>
      <c r="E54" s="26"/>
      <c r="F54" s="28"/>
      <c r="G54" s="26"/>
      <c r="H54" t="s">
        <v>42</v>
      </c>
    </row>
    <row r="55" spans="1:8" ht="30" x14ac:dyDescent="0.25">
      <c r="A55" s="21" t="s">
        <v>124</v>
      </c>
      <c r="B55" s="25" t="s">
        <v>113</v>
      </c>
      <c r="C55" s="26">
        <v>1</v>
      </c>
      <c r="D55" s="27" t="s">
        <v>110</v>
      </c>
      <c r="E55" s="26">
        <v>2352.25</v>
      </c>
      <c r="F55" s="28" t="s">
        <v>111</v>
      </c>
      <c r="G55" s="26">
        <f>ROUND(C55*E55,0)</f>
        <v>2352</v>
      </c>
      <c r="H55" t="s">
        <v>113</v>
      </c>
    </row>
    <row r="56" spans="1:8" ht="60" x14ac:dyDescent="0.25">
      <c r="A56" s="21" t="s">
        <v>125</v>
      </c>
      <c r="B56" s="25" t="s">
        <v>127</v>
      </c>
      <c r="C56" s="26"/>
      <c r="D56" s="27"/>
      <c r="E56" s="26"/>
      <c r="F56" s="28"/>
      <c r="G56" s="26"/>
      <c r="H56" t="s">
        <v>126</v>
      </c>
    </row>
    <row r="57" spans="1:8" ht="30" x14ac:dyDescent="0.25">
      <c r="A57" s="21" t="s">
        <v>128</v>
      </c>
      <c r="B57" s="25" t="s">
        <v>130</v>
      </c>
      <c r="C57" s="26">
        <v>1</v>
      </c>
      <c r="D57" s="27" t="s">
        <v>15</v>
      </c>
      <c r="E57" s="26">
        <v>139.94999999999999</v>
      </c>
      <c r="F57" s="28" t="s">
        <v>16</v>
      </c>
      <c r="G57" s="26">
        <f>ROUND(C57*E57,0)</f>
        <v>140</v>
      </c>
      <c r="H57" t="s">
        <v>129</v>
      </c>
    </row>
    <row r="58" spans="1:8" ht="30" x14ac:dyDescent="0.25">
      <c r="A58" s="21" t="s">
        <v>131</v>
      </c>
      <c r="B58" s="25" t="s">
        <v>133</v>
      </c>
      <c r="C58" s="26">
        <v>1</v>
      </c>
      <c r="D58" s="27" t="s">
        <v>15</v>
      </c>
      <c r="E58" s="26">
        <v>155.30000000000001</v>
      </c>
      <c r="F58" s="28" t="s">
        <v>16</v>
      </c>
      <c r="G58" s="26">
        <f>ROUND(C58*E58,0)</f>
        <v>155</v>
      </c>
      <c r="H58" t="s">
        <v>132</v>
      </c>
    </row>
    <row r="59" spans="1:8" ht="30" x14ac:dyDescent="0.25">
      <c r="A59" s="21" t="s">
        <v>134</v>
      </c>
      <c r="B59" s="25" t="s">
        <v>136</v>
      </c>
      <c r="C59" s="26">
        <v>1</v>
      </c>
      <c r="D59" s="27" t="s">
        <v>15</v>
      </c>
      <c r="E59" s="26">
        <v>189.65</v>
      </c>
      <c r="F59" s="28" t="s">
        <v>16</v>
      </c>
      <c r="G59" s="26">
        <f>ROUND(C59*E59,0)</f>
        <v>190</v>
      </c>
      <c r="H59" t="s">
        <v>135</v>
      </c>
    </row>
    <row r="60" spans="1:8" ht="75" x14ac:dyDescent="0.25">
      <c r="A60" s="21" t="s">
        <v>137</v>
      </c>
      <c r="B60" s="25" t="s">
        <v>139</v>
      </c>
      <c r="C60" s="26"/>
      <c r="D60" s="27"/>
      <c r="E60" s="26"/>
      <c r="F60" s="28"/>
      <c r="G60" s="26"/>
      <c r="H60" t="s">
        <v>138</v>
      </c>
    </row>
    <row r="61" spans="1:8" ht="30" x14ac:dyDescent="0.25">
      <c r="A61" s="21" t="s">
        <v>140</v>
      </c>
      <c r="B61" s="25" t="s">
        <v>130</v>
      </c>
      <c r="C61" s="26">
        <v>1</v>
      </c>
      <c r="D61" s="27" t="s">
        <v>15</v>
      </c>
      <c r="E61" s="26">
        <v>151.5</v>
      </c>
      <c r="F61" s="28" t="s">
        <v>16</v>
      </c>
      <c r="G61" s="26">
        <f>ROUND(C61*E61,0)</f>
        <v>152</v>
      </c>
      <c r="H61" t="s">
        <v>129</v>
      </c>
    </row>
    <row r="62" spans="1:8" ht="30" x14ac:dyDescent="0.25">
      <c r="A62" s="21" t="s">
        <v>141</v>
      </c>
      <c r="B62" s="25" t="s">
        <v>133</v>
      </c>
      <c r="C62" s="26">
        <v>1</v>
      </c>
      <c r="D62" s="27" t="s">
        <v>15</v>
      </c>
      <c r="E62" s="26">
        <v>184</v>
      </c>
      <c r="F62" s="28" t="s">
        <v>16</v>
      </c>
      <c r="G62" s="26">
        <f>ROUND(C62*E62,0)</f>
        <v>184</v>
      </c>
      <c r="H62" t="s">
        <v>135</v>
      </c>
    </row>
    <row r="63" spans="1:8" ht="30" x14ac:dyDescent="0.25">
      <c r="A63" s="21" t="s">
        <v>142</v>
      </c>
      <c r="B63" s="25" t="s">
        <v>136</v>
      </c>
      <c r="C63" s="26">
        <v>1</v>
      </c>
      <c r="D63" s="27" t="s">
        <v>15</v>
      </c>
      <c r="E63" s="26">
        <v>218.2</v>
      </c>
      <c r="F63" s="28" t="s">
        <v>16</v>
      </c>
      <c r="G63" s="26">
        <f>ROUND(C63*E63,0)</f>
        <v>218</v>
      </c>
      <c r="H63" t="s">
        <v>143</v>
      </c>
    </row>
    <row r="64" spans="1:8" ht="60" x14ac:dyDescent="0.25">
      <c r="A64" s="21" t="s">
        <v>144</v>
      </c>
      <c r="B64" s="25" t="s">
        <v>146</v>
      </c>
      <c r="C64" s="26"/>
      <c r="D64" s="27"/>
      <c r="E64" s="26"/>
      <c r="F64" s="28"/>
      <c r="G64" s="26"/>
      <c r="H64" t="s">
        <v>145</v>
      </c>
    </row>
    <row r="65" spans="1:8" ht="30" x14ac:dyDescent="0.25">
      <c r="A65" s="21" t="s">
        <v>147</v>
      </c>
      <c r="B65" s="25" t="s">
        <v>130</v>
      </c>
      <c r="C65" s="26">
        <v>1</v>
      </c>
      <c r="D65" s="27" t="s">
        <v>15</v>
      </c>
      <c r="E65" s="26">
        <v>125.8</v>
      </c>
      <c r="F65" s="28" t="s">
        <v>16</v>
      </c>
      <c r="G65" s="26">
        <f>ROUND(C65*E65,0)</f>
        <v>126</v>
      </c>
      <c r="H65" t="s">
        <v>129</v>
      </c>
    </row>
    <row r="66" spans="1:8" ht="30" x14ac:dyDescent="0.25">
      <c r="A66" s="21" t="s">
        <v>148</v>
      </c>
      <c r="B66" s="25" t="s">
        <v>133</v>
      </c>
      <c r="C66" s="26">
        <v>1</v>
      </c>
      <c r="D66" s="27" t="s">
        <v>15</v>
      </c>
      <c r="E66" s="26">
        <v>144.1</v>
      </c>
      <c r="F66" s="28" t="s">
        <v>16</v>
      </c>
      <c r="G66" s="26">
        <f>ROUND(C66*E66,0)</f>
        <v>144</v>
      </c>
      <c r="H66" t="s">
        <v>132</v>
      </c>
    </row>
    <row r="67" spans="1:8" ht="30" x14ac:dyDescent="0.25">
      <c r="A67" s="21" t="s">
        <v>149</v>
      </c>
      <c r="B67" s="25" t="s">
        <v>136</v>
      </c>
      <c r="C67" s="26">
        <v>1</v>
      </c>
      <c r="D67" s="27" t="s">
        <v>15</v>
      </c>
      <c r="E67" s="26">
        <v>163.15</v>
      </c>
      <c r="F67" s="28" t="s">
        <v>16</v>
      </c>
      <c r="G67" s="26">
        <f>ROUND(C67*E67,0)</f>
        <v>163</v>
      </c>
      <c r="H67" t="s">
        <v>135</v>
      </c>
    </row>
    <row r="68" spans="1:8" ht="60" x14ac:dyDescent="0.25">
      <c r="A68" s="21" t="s">
        <v>150</v>
      </c>
      <c r="B68" s="25" t="s">
        <v>152</v>
      </c>
      <c r="C68" s="26">
        <v>1</v>
      </c>
      <c r="D68" s="27" t="s">
        <v>15</v>
      </c>
      <c r="E68" s="26">
        <v>1692.45</v>
      </c>
      <c r="F68" s="28" t="s">
        <v>16</v>
      </c>
      <c r="G68" s="26">
        <f>ROUND(C68*E68,0)</f>
        <v>1692</v>
      </c>
      <c r="H68" t="s">
        <v>151</v>
      </c>
    </row>
    <row r="69" spans="1:8" ht="45" x14ac:dyDescent="0.25">
      <c r="A69" s="21" t="s">
        <v>153</v>
      </c>
      <c r="B69" s="25" t="s">
        <v>155</v>
      </c>
      <c r="C69" s="26"/>
      <c r="D69" s="27"/>
      <c r="E69" s="26"/>
      <c r="F69" s="28"/>
      <c r="G69" s="26"/>
      <c r="H69" t="s">
        <v>154</v>
      </c>
    </row>
    <row r="70" spans="1:8" ht="30" x14ac:dyDescent="0.25">
      <c r="A70" s="21" t="s">
        <v>156</v>
      </c>
      <c r="B70" s="25" t="s">
        <v>130</v>
      </c>
      <c r="C70" s="26">
        <v>1</v>
      </c>
      <c r="D70" s="27" t="s">
        <v>15</v>
      </c>
      <c r="E70" s="26">
        <v>72.05</v>
      </c>
      <c r="F70" s="28" t="s">
        <v>16</v>
      </c>
      <c r="G70" s="26">
        <f>ROUND(C70*E70,0)</f>
        <v>72</v>
      </c>
      <c r="H70" t="s">
        <v>130</v>
      </c>
    </row>
    <row r="71" spans="1:8" ht="30" x14ac:dyDescent="0.25">
      <c r="A71" s="21" t="s">
        <v>157</v>
      </c>
      <c r="B71" s="25" t="s">
        <v>133</v>
      </c>
      <c r="C71" s="26">
        <v>1</v>
      </c>
      <c r="D71" s="27" t="s">
        <v>15</v>
      </c>
      <c r="E71" s="26">
        <v>81.599999999999994</v>
      </c>
      <c r="F71" s="28" t="s">
        <v>16</v>
      </c>
      <c r="G71" s="26">
        <f>ROUND(C71*E71,0)</f>
        <v>82</v>
      </c>
      <c r="H71" t="s">
        <v>132</v>
      </c>
    </row>
    <row r="72" spans="1:8" ht="30" x14ac:dyDescent="0.25">
      <c r="A72" s="21" t="s">
        <v>158</v>
      </c>
      <c r="B72" s="25" t="s">
        <v>136</v>
      </c>
      <c r="C72" s="26">
        <v>1</v>
      </c>
      <c r="D72" s="27" t="s">
        <v>15</v>
      </c>
      <c r="E72" s="26">
        <v>97.25</v>
      </c>
      <c r="F72" s="28" t="s">
        <v>16</v>
      </c>
      <c r="G72" s="26">
        <f>ROUND(C72*E72,0)</f>
        <v>97</v>
      </c>
      <c r="H72" t="s">
        <v>135</v>
      </c>
    </row>
    <row r="73" spans="1:8" ht="60" x14ac:dyDescent="0.25">
      <c r="A73" s="21" t="s">
        <v>159</v>
      </c>
      <c r="B73" s="25" t="s">
        <v>161</v>
      </c>
      <c r="C73" s="26"/>
      <c r="D73" s="27"/>
      <c r="E73" s="26"/>
      <c r="F73" s="28"/>
      <c r="G73" s="26"/>
      <c r="H73" t="s">
        <v>160</v>
      </c>
    </row>
    <row r="74" spans="1:8" ht="30" x14ac:dyDescent="0.25">
      <c r="A74" s="21" t="s">
        <v>162</v>
      </c>
      <c r="B74" s="25" t="s">
        <v>130</v>
      </c>
      <c r="C74" s="26">
        <v>1</v>
      </c>
      <c r="D74" s="27" t="s">
        <v>15</v>
      </c>
      <c r="E74" s="26">
        <v>66.400000000000006</v>
      </c>
      <c r="F74" s="28" t="s">
        <v>16</v>
      </c>
      <c r="G74" s="26">
        <f>ROUND(C74*E74,0)</f>
        <v>66</v>
      </c>
      <c r="H74" t="s">
        <v>130</v>
      </c>
    </row>
    <row r="75" spans="1:8" ht="30" x14ac:dyDescent="0.25">
      <c r="A75" s="21" t="s">
        <v>163</v>
      </c>
      <c r="B75" s="25" t="s">
        <v>133</v>
      </c>
      <c r="C75" s="26">
        <v>1</v>
      </c>
      <c r="D75" s="27" t="s">
        <v>15</v>
      </c>
      <c r="E75" s="26">
        <v>81.650000000000006</v>
      </c>
      <c r="F75" s="28" t="s">
        <v>16</v>
      </c>
      <c r="G75" s="26">
        <f>ROUND(C75*E75,0)</f>
        <v>82</v>
      </c>
      <c r="H75" t="s">
        <v>132</v>
      </c>
    </row>
    <row r="76" spans="1:8" ht="30" x14ac:dyDescent="0.25">
      <c r="A76" s="21" t="s">
        <v>164</v>
      </c>
      <c r="B76" s="25" t="s">
        <v>136</v>
      </c>
      <c r="C76" s="26">
        <v>1</v>
      </c>
      <c r="D76" s="27" t="s">
        <v>15</v>
      </c>
      <c r="E76" s="26">
        <v>101.85</v>
      </c>
      <c r="F76" s="28" t="s">
        <v>16</v>
      </c>
      <c r="G76" s="26">
        <f>ROUND(C76*E76,0)</f>
        <v>102</v>
      </c>
      <c r="H76" t="s">
        <v>135</v>
      </c>
    </row>
    <row r="77" spans="1:8" ht="45" x14ac:dyDescent="0.25">
      <c r="A77" s="21" t="s">
        <v>165</v>
      </c>
      <c r="B77" s="25" t="s">
        <v>167</v>
      </c>
      <c r="C77" s="26"/>
      <c r="D77" s="27"/>
      <c r="E77" s="26"/>
      <c r="F77" s="28"/>
      <c r="G77" s="26"/>
      <c r="H77" t="s">
        <v>166</v>
      </c>
    </row>
    <row r="78" spans="1:8" ht="30" x14ac:dyDescent="0.25">
      <c r="A78" s="21" t="s">
        <v>168</v>
      </c>
      <c r="B78" s="25" t="s">
        <v>130</v>
      </c>
      <c r="C78" s="26">
        <v>1</v>
      </c>
      <c r="D78" s="27" t="s">
        <v>15</v>
      </c>
      <c r="E78" s="26">
        <v>44.85</v>
      </c>
      <c r="F78" s="28" t="s">
        <v>16</v>
      </c>
      <c r="G78" s="26">
        <f t="shared" ref="G78:G83" si="0">ROUND(C78*E78,0)</f>
        <v>45</v>
      </c>
      <c r="H78" t="s">
        <v>130</v>
      </c>
    </row>
    <row r="79" spans="1:8" ht="30" x14ac:dyDescent="0.25">
      <c r="A79" s="21" t="s">
        <v>169</v>
      </c>
      <c r="B79" s="25" t="s">
        <v>133</v>
      </c>
      <c r="C79" s="26">
        <v>1</v>
      </c>
      <c r="D79" s="27" t="s">
        <v>15</v>
      </c>
      <c r="E79" s="26">
        <v>54.95</v>
      </c>
      <c r="F79" s="28" t="s">
        <v>16</v>
      </c>
      <c r="G79" s="26">
        <f t="shared" si="0"/>
        <v>55</v>
      </c>
      <c r="H79" t="s">
        <v>132</v>
      </c>
    </row>
    <row r="80" spans="1:8" ht="30" x14ac:dyDescent="0.25">
      <c r="A80" s="21" t="s">
        <v>170</v>
      </c>
      <c r="B80" s="25" t="s">
        <v>136</v>
      </c>
      <c r="C80" s="26">
        <v>1</v>
      </c>
      <c r="D80" s="27" t="s">
        <v>15</v>
      </c>
      <c r="E80" s="26">
        <v>71.3</v>
      </c>
      <c r="F80" s="28" t="s">
        <v>16</v>
      </c>
      <c r="G80" s="26">
        <f t="shared" si="0"/>
        <v>71</v>
      </c>
      <c r="H80" t="s">
        <v>135</v>
      </c>
    </row>
    <row r="81" spans="1:8" ht="60" x14ac:dyDescent="0.25">
      <c r="A81" s="21" t="s">
        <v>171</v>
      </c>
      <c r="B81" s="25" t="s">
        <v>173</v>
      </c>
      <c r="C81" s="26">
        <v>1</v>
      </c>
      <c r="D81" s="27" t="s">
        <v>15</v>
      </c>
      <c r="E81" s="26">
        <v>872.55</v>
      </c>
      <c r="F81" s="28" t="s">
        <v>16</v>
      </c>
      <c r="G81" s="26">
        <f t="shared" si="0"/>
        <v>873</v>
      </c>
      <c r="H81" t="s">
        <v>172</v>
      </c>
    </row>
    <row r="82" spans="1:8" ht="75" x14ac:dyDescent="0.25">
      <c r="A82" s="21" t="s">
        <v>174</v>
      </c>
      <c r="B82" s="25" t="s">
        <v>176</v>
      </c>
      <c r="C82" s="26">
        <v>1</v>
      </c>
      <c r="D82" s="27" t="s">
        <v>21</v>
      </c>
      <c r="E82" s="26">
        <v>196</v>
      </c>
      <c r="F82" s="28" t="s">
        <v>22</v>
      </c>
      <c r="G82" s="26">
        <f t="shared" si="0"/>
        <v>196</v>
      </c>
      <c r="H82" t="s">
        <v>175</v>
      </c>
    </row>
    <row r="83" spans="1:8" ht="90" x14ac:dyDescent="0.25">
      <c r="A83" s="21" t="s">
        <v>177</v>
      </c>
      <c r="B83" s="25" t="s">
        <v>178</v>
      </c>
      <c r="C83" s="26">
        <v>1</v>
      </c>
      <c r="D83" s="27" t="s">
        <v>21</v>
      </c>
      <c r="E83" s="26">
        <v>700.5</v>
      </c>
      <c r="F83" s="28" t="s">
        <v>22</v>
      </c>
      <c r="G83" s="26">
        <f t="shared" si="0"/>
        <v>701</v>
      </c>
      <c r="H83" t="s">
        <v>105</v>
      </c>
    </row>
    <row r="84" spans="1:8" ht="45" x14ac:dyDescent="0.25">
      <c r="A84" s="21" t="s">
        <v>179</v>
      </c>
      <c r="B84" s="25" t="s">
        <v>181</v>
      </c>
      <c r="C84" s="26"/>
      <c r="D84" s="27"/>
      <c r="E84" s="26"/>
      <c r="F84" s="28"/>
      <c r="G84" s="26"/>
      <c r="H84" t="s">
        <v>180</v>
      </c>
    </row>
    <row r="85" spans="1:8" ht="30" x14ac:dyDescent="0.25">
      <c r="A85" s="21" t="s">
        <v>182</v>
      </c>
      <c r="B85" s="25" t="s">
        <v>13</v>
      </c>
      <c r="C85" s="26">
        <v>1</v>
      </c>
      <c r="D85" s="27" t="s">
        <v>21</v>
      </c>
      <c r="E85" s="26">
        <v>126.8</v>
      </c>
      <c r="F85" s="28" t="s">
        <v>22</v>
      </c>
      <c r="G85" s="26">
        <f>ROUND(C85*E85,0)</f>
        <v>127</v>
      </c>
      <c r="H85" t="s">
        <v>13</v>
      </c>
    </row>
    <row r="86" spans="1:8" ht="30" x14ac:dyDescent="0.25">
      <c r="A86" s="21" t="s">
        <v>183</v>
      </c>
      <c r="B86" s="25" t="s">
        <v>185</v>
      </c>
      <c r="C86" s="26">
        <v>1</v>
      </c>
      <c r="D86" s="27" t="s">
        <v>21</v>
      </c>
      <c r="E86" s="26">
        <v>227.4</v>
      </c>
      <c r="F86" s="28" t="s">
        <v>22</v>
      </c>
      <c r="G86" s="26">
        <f>ROUND(C86*E86,0)</f>
        <v>227</v>
      </c>
      <c r="H86" t="s">
        <v>184</v>
      </c>
    </row>
    <row r="87" spans="1:8" ht="45" x14ac:dyDescent="0.25">
      <c r="A87" s="21" t="s">
        <v>186</v>
      </c>
      <c r="B87" s="25" t="s">
        <v>188</v>
      </c>
      <c r="C87" s="26">
        <v>1</v>
      </c>
      <c r="D87" s="27" t="s">
        <v>21</v>
      </c>
      <c r="E87" s="26">
        <v>2123.75</v>
      </c>
      <c r="F87" s="28" t="s">
        <v>22</v>
      </c>
      <c r="G87" s="26">
        <f>ROUND(C87*E87,0)</f>
        <v>2124</v>
      </c>
      <c r="H87" t="s">
        <v>187</v>
      </c>
    </row>
    <row r="88" spans="1:8" ht="60" x14ac:dyDescent="0.25">
      <c r="A88" s="21" t="s">
        <v>189</v>
      </c>
      <c r="B88" s="25" t="s">
        <v>191</v>
      </c>
      <c r="C88" s="26"/>
      <c r="D88" s="27"/>
      <c r="E88" s="26"/>
      <c r="F88" s="28"/>
      <c r="G88" s="26"/>
      <c r="H88" t="s">
        <v>190</v>
      </c>
    </row>
    <row r="89" spans="1:8" ht="30" x14ac:dyDescent="0.25">
      <c r="A89" s="21" t="s">
        <v>192</v>
      </c>
      <c r="B89" s="25" t="s">
        <v>13</v>
      </c>
      <c r="C89" s="26">
        <v>1</v>
      </c>
      <c r="D89" s="27" t="s">
        <v>15</v>
      </c>
      <c r="E89" s="26">
        <v>34.15</v>
      </c>
      <c r="F89" s="28" t="s">
        <v>16</v>
      </c>
      <c r="G89" s="26">
        <f>ROUND(C89*E89,0)</f>
        <v>34</v>
      </c>
      <c r="H89" t="s">
        <v>13</v>
      </c>
    </row>
    <row r="90" spans="1:8" ht="30" x14ac:dyDescent="0.25">
      <c r="A90" s="21" t="s">
        <v>193</v>
      </c>
      <c r="B90" s="25" t="s">
        <v>195</v>
      </c>
      <c r="C90" s="26"/>
      <c r="D90" s="27"/>
      <c r="E90" s="26"/>
      <c r="F90" s="28"/>
      <c r="G90" s="26"/>
      <c r="H90" t="s">
        <v>194</v>
      </c>
    </row>
    <row r="91" spans="1:8" ht="30" x14ac:dyDescent="0.25">
      <c r="A91" s="21" t="s">
        <v>196</v>
      </c>
      <c r="B91" s="25" t="s">
        <v>13</v>
      </c>
      <c r="C91" s="26">
        <v>1</v>
      </c>
      <c r="D91" s="27" t="s">
        <v>15</v>
      </c>
      <c r="E91" s="26">
        <v>34.6</v>
      </c>
      <c r="F91" s="28" t="s">
        <v>16</v>
      </c>
      <c r="G91" s="26">
        <f>ROUND(C91*E91,0)</f>
        <v>35</v>
      </c>
      <c r="H91" t="s">
        <v>13</v>
      </c>
    </row>
    <row r="92" spans="1:8" ht="120" x14ac:dyDescent="0.25">
      <c r="A92" s="21" t="s">
        <v>197</v>
      </c>
      <c r="B92" s="25" t="s">
        <v>199</v>
      </c>
      <c r="C92" s="26"/>
      <c r="D92" s="27"/>
      <c r="E92" s="26"/>
      <c r="F92" s="28"/>
      <c r="G92" s="26"/>
      <c r="H92" t="s">
        <v>198</v>
      </c>
    </row>
    <row r="93" spans="1:8" x14ac:dyDescent="0.25">
      <c r="A93" s="21" t="s">
        <v>200</v>
      </c>
      <c r="B93" s="25" t="s">
        <v>13</v>
      </c>
      <c r="C93" s="26">
        <v>1</v>
      </c>
      <c r="D93" s="27" t="s">
        <v>201</v>
      </c>
      <c r="E93" s="26">
        <v>82.45</v>
      </c>
      <c r="F93" s="28" t="s">
        <v>202</v>
      </c>
      <c r="G93" s="26">
        <f t="shared" ref="G93:G98" si="1">ROUND(C93*E93,0)</f>
        <v>82</v>
      </c>
      <c r="H93" t="s">
        <v>13</v>
      </c>
    </row>
    <row r="94" spans="1:8" x14ac:dyDescent="0.25">
      <c r="A94" s="21" t="s">
        <v>203</v>
      </c>
      <c r="B94" s="25" t="s">
        <v>42</v>
      </c>
      <c r="C94" s="26">
        <v>1</v>
      </c>
      <c r="D94" s="27" t="s">
        <v>201</v>
      </c>
      <c r="E94" s="26">
        <v>194.25</v>
      </c>
      <c r="F94" s="28" t="s">
        <v>202</v>
      </c>
      <c r="G94" s="26">
        <f t="shared" si="1"/>
        <v>194</v>
      </c>
      <c r="H94" t="s">
        <v>42</v>
      </c>
    </row>
    <row r="95" spans="1:8" x14ac:dyDescent="0.25">
      <c r="A95" s="21" t="s">
        <v>204</v>
      </c>
      <c r="B95" s="25" t="s">
        <v>45</v>
      </c>
      <c r="C95" s="26">
        <v>1</v>
      </c>
      <c r="D95" s="27" t="s">
        <v>201</v>
      </c>
      <c r="E95" s="26">
        <v>319.3</v>
      </c>
      <c r="F95" s="28" t="s">
        <v>202</v>
      </c>
      <c r="G95" s="26">
        <f t="shared" si="1"/>
        <v>319</v>
      </c>
      <c r="H95" t="s">
        <v>45</v>
      </c>
    </row>
    <row r="96" spans="1:8" x14ac:dyDescent="0.25">
      <c r="A96" s="21" t="s">
        <v>205</v>
      </c>
      <c r="B96" s="25" t="s">
        <v>48</v>
      </c>
      <c r="C96" s="26">
        <v>1</v>
      </c>
      <c r="D96" s="27" t="s">
        <v>201</v>
      </c>
      <c r="E96" s="26">
        <v>461.3</v>
      </c>
      <c r="F96" s="28" t="s">
        <v>202</v>
      </c>
      <c r="G96" s="26">
        <f t="shared" si="1"/>
        <v>461</v>
      </c>
      <c r="H96" t="s">
        <v>48</v>
      </c>
    </row>
    <row r="97" spans="1:8" ht="90" x14ac:dyDescent="0.25">
      <c r="A97" s="21" t="s">
        <v>206</v>
      </c>
      <c r="B97" s="25" t="s">
        <v>208</v>
      </c>
      <c r="C97" s="26">
        <v>1</v>
      </c>
      <c r="D97" s="27" t="s">
        <v>15</v>
      </c>
      <c r="E97" s="26">
        <v>17.600000000000001</v>
      </c>
      <c r="F97" s="28" t="s">
        <v>16</v>
      </c>
      <c r="G97" s="26">
        <f t="shared" si="1"/>
        <v>18</v>
      </c>
      <c r="H97" t="s">
        <v>207</v>
      </c>
    </row>
    <row r="98" spans="1:8" ht="45" x14ac:dyDescent="0.25">
      <c r="A98" s="21" t="s">
        <v>209</v>
      </c>
      <c r="B98" s="25" t="s">
        <v>211</v>
      </c>
      <c r="C98" s="26">
        <v>1</v>
      </c>
      <c r="D98" s="27" t="s">
        <v>15</v>
      </c>
      <c r="E98" s="26">
        <v>8.9499999999999993</v>
      </c>
      <c r="F98" s="28" t="s">
        <v>16</v>
      </c>
      <c r="G98" s="26">
        <f t="shared" si="1"/>
        <v>9</v>
      </c>
      <c r="H98" t="s">
        <v>210</v>
      </c>
    </row>
    <row r="99" spans="1:8" ht="75" x14ac:dyDescent="0.25">
      <c r="A99" s="21" t="s">
        <v>212</v>
      </c>
      <c r="B99" s="25" t="s">
        <v>214</v>
      </c>
      <c r="C99" s="26"/>
      <c r="D99" s="27"/>
      <c r="E99" s="26"/>
      <c r="F99" s="28"/>
      <c r="G99" s="26"/>
      <c r="H99" t="s">
        <v>213</v>
      </c>
    </row>
    <row r="100" spans="1:8" ht="30" x14ac:dyDescent="0.25">
      <c r="A100" s="21" t="s">
        <v>215</v>
      </c>
      <c r="B100" s="25" t="s">
        <v>217</v>
      </c>
      <c r="C100" s="26">
        <v>1</v>
      </c>
      <c r="D100" s="27" t="s">
        <v>201</v>
      </c>
      <c r="E100" s="26">
        <v>532.35</v>
      </c>
      <c r="F100" s="28" t="s">
        <v>202</v>
      </c>
      <c r="G100" s="26">
        <f>ROUND(C100*E100,0)</f>
        <v>532</v>
      </c>
      <c r="H100" t="s">
        <v>216</v>
      </c>
    </row>
    <row r="101" spans="1:8" ht="30" x14ac:dyDescent="0.25">
      <c r="A101" s="21" t="s">
        <v>218</v>
      </c>
      <c r="B101" s="25" t="s">
        <v>220</v>
      </c>
      <c r="C101" s="26">
        <v>1</v>
      </c>
      <c r="D101" s="27" t="s">
        <v>201</v>
      </c>
      <c r="E101" s="26">
        <v>2373.5</v>
      </c>
      <c r="F101" s="28" t="s">
        <v>202</v>
      </c>
      <c r="G101" s="26">
        <f>ROUND(C101*E101,0)</f>
        <v>2374</v>
      </c>
      <c r="H101" t="s">
        <v>219</v>
      </c>
    </row>
    <row r="102" spans="1:8" ht="30" x14ac:dyDescent="0.25">
      <c r="A102" s="21" t="s">
        <v>221</v>
      </c>
      <c r="B102" s="25" t="s">
        <v>222</v>
      </c>
      <c r="C102" s="26">
        <v>1</v>
      </c>
      <c r="D102" s="27" t="s">
        <v>201</v>
      </c>
      <c r="E102" s="26">
        <v>11020.15</v>
      </c>
      <c r="F102" s="28" t="s">
        <v>202</v>
      </c>
      <c r="G102" s="26">
        <f>ROUND(C102*E102,0)</f>
        <v>11020</v>
      </c>
      <c r="H102" t="s">
        <v>219</v>
      </c>
    </row>
    <row r="103" spans="1:8" x14ac:dyDescent="0.25">
      <c r="A103" s="21" t="s">
        <v>223</v>
      </c>
      <c r="B103" s="25" t="s">
        <v>224</v>
      </c>
      <c r="C103" s="26">
        <v>1</v>
      </c>
      <c r="D103" s="27" t="s">
        <v>201</v>
      </c>
      <c r="E103" s="26">
        <v>22075.200000000001</v>
      </c>
      <c r="F103" s="28" t="s">
        <v>202</v>
      </c>
      <c r="G103" s="26">
        <f>ROUND(C103*E103,0)</f>
        <v>22075</v>
      </c>
      <c r="H103" t="s">
        <v>224</v>
      </c>
    </row>
    <row r="104" spans="1:8" ht="30" x14ac:dyDescent="0.25">
      <c r="A104" s="21" t="s">
        <v>225</v>
      </c>
      <c r="B104" s="25" t="s">
        <v>227</v>
      </c>
      <c r="C104" s="26"/>
      <c r="D104" s="27"/>
      <c r="E104" s="26"/>
      <c r="F104" s="28"/>
      <c r="G104" s="26"/>
      <c r="H104" t="s">
        <v>226</v>
      </c>
    </row>
    <row r="105" spans="1:8" ht="30" x14ac:dyDescent="0.25">
      <c r="A105" s="21" t="s">
        <v>228</v>
      </c>
      <c r="B105" s="25" t="s">
        <v>229</v>
      </c>
      <c r="C105" s="26">
        <v>1</v>
      </c>
      <c r="D105" s="27" t="s">
        <v>230</v>
      </c>
      <c r="E105" s="26">
        <v>234.75</v>
      </c>
      <c r="F105" s="28" t="s">
        <v>231</v>
      </c>
      <c r="G105" s="26">
        <f>ROUND(C105*E105,0)</f>
        <v>235</v>
      </c>
      <c r="H105" t="s">
        <v>229</v>
      </c>
    </row>
    <row r="106" spans="1:8" ht="45" x14ac:dyDescent="0.25">
      <c r="A106" s="21" t="s">
        <v>232</v>
      </c>
      <c r="B106" s="25" t="s">
        <v>234</v>
      </c>
      <c r="C106" s="26"/>
      <c r="D106" s="27"/>
      <c r="E106" s="26"/>
      <c r="F106" s="28"/>
      <c r="G106" s="26"/>
      <c r="H106" t="s">
        <v>233</v>
      </c>
    </row>
    <row r="107" spans="1:8" ht="75" x14ac:dyDescent="0.25">
      <c r="A107" s="21" t="s">
        <v>235</v>
      </c>
      <c r="B107" s="25" t="s">
        <v>237</v>
      </c>
      <c r="C107" s="26"/>
      <c r="D107" s="27"/>
      <c r="E107" s="26"/>
      <c r="F107" s="28"/>
      <c r="G107" s="26"/>
      <c r="H107" t="s">
        <v>236</v>
      </c>
    </row>
    <row r="108" spans="1:8" ht="30" x14ac:dyDescent="0.25">
      <c r="A108" s="21" t="s">
        <v>238</v>
      </c>
      <c r="B108" s="25" t="s">
        <v>239</v>
      </c>
      <c r="C108" s="26">
        <v>1</v>
      </c>
      <c r="D108" s="27" t="s">
        <v>67</v>
      </c>
      <c r="E108" s="26">
        <v>38.9</v>
      </c>
      <c r="F108" s="28" t="s">
        <v>68</v>
      </c>
      <c r="G108" s="26">
        <f>ROUND(C108*E108,0)</f>
        <v>39</v>
      </c>
      <c r="H108" t="s">
        <v>239</v>
      </c>
    </row>
    <row r="109" spans="1:8" ht="60" x14ac:dyDescent="0.25">
      <c r="A109" s="21" t="s">
        <v>240</v>
      </c>
      <c r="B109" s="25" t="s">
        <v>242</v>
      </c>
      <c r="C109" s="26"/>
      <c r="D109" s="27"/>
      <c r="E109" s="26"/>
      <c r="F109" s="28"/>
      <c r="G109" s="26"/>
      <c r="H109" t="s">
        <v>241</v>
      </c>
    </row>
    <row r="110" spans="1:8" ht="30" x14ac:dyDescent="0.25">
      <c r="A110" s="21" t="s">
        <v>243</v>
      </c>
      <c r="B110" s="25" t="s">
        <v>239</v>
      </c>
      <c r="C110" s="26">
        <v>1</v>
      </c>
      <c r="D110" s="27" t="s">
        <v>67</v>
      </c>
      <c r="E110" s="26">
        <v>53.45</v>
      </c>
      <c r="F110" s="28" t="s">
        <v>68</v>
      </c>
      <c r="G110" s="26">
        <f>ROUND(C110*E110,0)</f>
        <v>53</v>
      </c>
      <c r="H110" t="s">
        <v>239</v>
      </c>
    </row>
    <row r="111" spans="1:8" ht="75" x14ac:dyDescent="0.25">
      <c r="A111" s="21" t="s">
        <v>244</v>
      </c>
      <c r="B111" s="25" t="s">
        <v>246</v>
      </c>
      <c r="C111" s="26"/>
      <c r="D111" s="27"/>
      <c r="E111" s="26"/>
      <c r="F111" s="28"/>
      <c r="G111" s="26"/>
      <c r="H111" t="s">
        <v>245</v>
      </c>
    </row>
    <row r="112" spans="1:8" ht="30" x14ac:dyDescent="0.25">
      <c r="A112" s="21" t="s">
        <v>247</v>
      </c>
      <c r="B112" s="25" t="s">
        <v>248</v>
      </c>
      <c r="C112" s="26">
        <v>1</v>
      </c>
      <c r="D112" s="27" t="s">
        <v>15</v>
      </c>
      <c r="E112" s="26">
        <v>310.05</v>
      </c>
      <c r="F112" s="28" t="s">
        <v>16</v>
      </c>
      <c r="G112" s="26">
        <f>ROUND(C112*E112,0)</f>
        <v>310</v>
      </c>
      <c r="H112" t="s">
        <v>248</v>
      </c>
    </row>
    <row r="113" spans="1:8" ht="75" x14ac:dyDescent="0.25">
      <c r="A113" s="21" t="s">
        <v>249</v>
      </c>
      <c r="B113" s="25" t="s">
        <v>251</v>
      </c>
      <c r="C113" s="26"/>
      <c r="D113" s="27"/>
      <c r="E113" s="26"/>
      <c r="F113" s="28"/>
      <c r="G113" s="26"/>
      <c r="H113" t="s">
        <v>250</v>
      </c>
    </row>
    <row r="114" spans="1:8" ht="30" x14ac:dyDescent="0.25">
      <c r="A114" s="21" t="s">
        <v>252</v>
      </c>
      <c r="B114" s="25" t="s">
        <v>248</v>
      </c>
      <c r="C114" s="26">
        <v>1</v>
      </c>
      <c r="D114" s="27" t="s">
        <v>67</v>
      </c>
      <c r="E114" s="26">
        <v>43</v>
      </c>
      <c r="F114" s="28" t="s">
        <v>68</v>
      </c>
      <c r="G114" s="26">
        <f>ROUND(C114*E114,0)</f>
        <v>43</v>
      </c>
      <c r="H114" t="s">
        <v>248</v>
      </c>
    </row>
    <row r="115" spans="1:8" ht="90" x14ac:dyDescent="0.25">
      <c r="A115" s="21" t="s">
        <v>253</v>
      </c>
      <c r="B115" s="25" t="s">
        <v>255</v>
      </c>
      <c r="C115" s="26">
        <v>1</v>
      </c>
      <c r="D115" s="27" t="s">
        <v>67</v>
      </c>
      <c r="E115" s="26">
        <v>279.7</v>
      </c>
      <c r="F115" s="28" t="s">
        <v>68</v>
      </c>
      <c r="G115" s="26">
        <f>ROUND(C115*E115,0)</f>
        <v>280</v>
      </c>
      <c r="H115" t="s">
        <v>254</v>
      </c>
    </row>
    <row r="116" spans="1:8" ht="45" x14ac:dyDescent="0.25">
      <c r="A116" s="21" t="s">
        <v>256</v>
      </c>
      <c r="B116" s="25" t="s">
        <v>258</v>
      </c>
      <c r="C116" s="26">
        <v>1</v>
      </c>
      <c r="D116" s="27" t="s">
        <v>21</v>
      </c>
      <c r="E116" s="26">
        <v>93.05</v>
      </c>
      <c r="F116" s="28" t="s">
        <v>22</v>
      </c>
      <c r="G116" s="26">
        <f>ROUND(C116*E116,0)</f>
        <v>93</v>
      </c>
      <c r="H116" t="s">
        <v>257</v>
      </c>
    </row>
    <row r="117" spans="1:8" ht="60" x14ac:dyDescent="0.25">
      <c r="A117" s="21" t="s">
        <v>259</v>
      </c>
      <c r="B117" s="25" t="s">
        <v>261</v>
      </c>
      <c r="C117" s="26">
        <v>1</v>
      </c>
      <c r="D117" s="27" t="s">
        <v>21</v>
      </c>
      <c r="E117" s="26">
        <v>281.05</v>
      </c>
      <c r="F117" s="28" t="s">
        <v>22</v>
      </c>
      <c r="G117" s="26">
        <f>ROUND(C117*E117,0)</f>
        <v>281</v>
      </c>
      <c r="H117" t="s">
        <v>260</v>
      </c>
    </row>
    <row r="118" spans="1:8" ht="180" x14ac:dyDescent="0.25">
      <c r="A118" s="21" t="s">
        <v>262</v>
      </c>
      <c r="B118" s="25" t="s">
        <v>264</v>
      </c>
      <c r="C118" s="26">
        <v>1</v>
      </c>
      <c r="D118" s="27" t="s">
        <v>21</v>
      </c>
      <c r="E118" s="26">
        <v>308.2</v>
      </c>
      <c r="F118" s="28" t="s">
        <v>22</v>
      </c>
      <c r="G118" s="26">
        <f>ROUND(C118*E118,0)</f>
        <v>308</v>
      </c>
      <c r="H118" t="s">
        <v>263</v>
      </c>
    </row>
    <row r="119" spans="1:8" x14ac:dyDescent="0.25">
      <c r="A119" s="21"/>
      <c r="B119" s="45" t="s">
        <v>265</v>
      </c>
      <c r="C119" s="45"/>
      <c r="D119" s="45"/>
      <c r="E119" s="45"/>
      <c r="F119" s="45"/>
      <c r="G119" s="29">
        <f>SUM(G5:G118)</f>
        <v>76358</v>
      </c>
    </row>
    <row r="120" spans="1:8" x14ac:dyDescent="0.25">
      <c r="A120" s="46" t="s">
        <v>266</v>
      </c>
      <c r="B120" s="47"/>
      <c r="C120" s="47"/>
      <c r="D120" s="47"/>
      <c r="E120" s="47"/>
      <c r="F120" s="47"/>
      <c r="G120" s="47"/>
    </row>
    <row r="121" spans="1:8" ht="45" x14ac:dyDescent="0.25">
      <c r="A121" s="21" t="s">
        <v>267</v>
      </c>
      <c r="B121" s="25" t="s">
        <v>269</v>
      </c>
      <c r="C121" s="26"/>
      <c r="D121" s="27"/>
      <c r="E121" s="26"/>
      <c r="F121" s="28"/>
      <c r="G121" s="26"/>
      <c r="H121" t="s">
        <v>268</v>
      </c>
    </row>
    <row r="122" spans="1:8" ht="60" x14ac:dyDescent="0.25">
      <c r="A122" s="21" t="s">
        <v>270</v>
      </c>
      <c r="B122" s="25" t="s">
        <v>272</v>
      </c>
      <c r="C122" s="26">
        <v>1</v>
      </c>
      <c r="D122" s="27" t="s">
        <v>21</v>
      </c>
      <c r="E122" s="26">
        <v>8340.85</v>
      </c>
      <c r="F122" s="28" t="s">
        <v>22</v>
      </c>
      <c r="G122" s="26">
        <f t="shared" ref="G122:G140" si="2">ROUND(C122*E122,0)</f>
        <v>8341</v>
      </c>
      <c r="H122" t="s">
        <v>271</v>
      </c>
    </row>
    <row r="123" spans="1:8" ht="90" x14ac:dyDescent="0.25">
      <c r="A123" s="21" t="s">
        <v>273</v>
      </c>
      <c r="B123" s="25" t="s">
        <v>275</v>
      </c>
      <c r="C123" s="26">
        <v>1</v>
      </c>
      <c r="D123" s="27" t="s">
        <v>21</v>
      </c>
      <c r="E123" s="26">
        <v>8127.8</v>
      </c>
      <c r="F123" s="28" t="s">
        <v>22</v>
      </c>
      <c r="G123" s="26">
        <f t="shared" si="2"/>
        <v>8128</v>
      </c>
      <c r="H123" t="s">
        <v>274</v>
      </c>
    </row>
    <row r="124" spans="1:8" ht="60" x14ac:dyDescent="0.25">
      <c r="A124" s="21" t="s">
        <v>276</v>
      </c>
      <c r="B124" s="25" t="s">
        <v>278</v>
      </c>
      <c r="C124" s="26">
        <v>1</v>
      </c>
      <c r="D124" s="27" t="s">
        <v>21</v>
      </c>
      <c r="E124" s="26">
        <v>7878.5</v>
      </c>
      <c r="F124" s="28" t="s">
        <v>22</v>
      </c>
      <c r="G124" s="26">
        <f t="shared" si="2"/>
        <v>7879</v>
      </c>
      <c r="H124" t="s">
        <v>277</v>
      </c>
    </row>
    <row r="125" spans="1:8" ht="75" x14ac:dyDescent="0.25">
      <c r="A125" s="21" t="s">
        <v>279</v>
      </c>
      <c r="B125" s="25" t="s">
        <v>281</v>
      </c>
      <c r="C125" s="26">
        <v>1</v>
      </c>
      <c r="D125" s="27" t="s">
        <v>21</v>
      </c>
      <c r="E125" s="26">
        <v>7654.85</v>
      </c>
      <c r="F125" s="28" t="s">
        <v>22</v>
      </c>
      <c r="G125" s="26">
        <f t="shared" si="2"/>
        <v>7655</v>
      </c>
      <c r="H125" t="s">
        <v>280</v>
      </c>
    </row>
    <row r="126" spans="1:8" ht="60" x14ac:dyDescent="0.25">
      <c r="A126" s="21" t="s">
        <v>282</v>
      </c>
      <c r="B126" s="25" t="s">
        <v>284</v>
      </c>
      <c r="C126" s="26">
        <v>1</v>
      </c>
      <c r="D126" s="27" t="s">
        <v>21</v>
      </c>
      <c r="E126" s="26">
        <v>7780.3</v>
      </c>
      <c r="F126" s="28" t="s">
        <v>22</v>
      </c>
      <c r="G126" s="26">
        <f t="shared" si="2"/>
        <v>7780</v>
      </c>
      <c r="H126" t="s">
        <v>283</v>
      </c>
    </row>
    <row r="127" spans="1:8" ht="60" x14ac:dyDescent="0.25">
      <c r="A127" s="21" t="s">
        <v>285</v>
      </c>
      <c r="B127" s="25" t="s">
        <v>287</v>
      </c>
      <c r="C127" s="26">
        <v>1</v>
      </c>
      <c r="D127" s="27" t="s">
        <v>21</v>
      </c>
      <c r="E127" s="26">
        <v>7294.7</v>
      </c>
      <c r="F127" s="28" t="s">
        <v>22</v>
      </c>
      <c r="G127" s="26">
        <f t="shared" si="2"/>
        <v>7295</v>
      </c>
      <c r="H127" t="s">
        <v>286</v>
      </c>
    </row>
    <row r="128" spans="1:8" ht="60" x14ac:dyDescent="0.25">
      <c r="A128" s="21" t="s">
        <v>288</v>
      </c>
      <c r="B128" s="25" t="s">
        <v>290</v>
      </c>
      <c r="C128" s="26">
        <v>1</v>
      </c>
      <c r="D128" s="27" t="s">
        <v>21</v>
      </c>
      <c r="E128" s="26">
        <v>6347.75</v>
      </c>
      <c r="F128" s="28" t="s">
        <v>22</v>
      </c>
      <c r="G128" s="26">
        <f t="shared" si="2"/>
        <v>6348</v>
      </c>
      <c r="H128" t="s">
        <v>289</v>
      </c>
    </row>
    <row r="129" spans="1:8" ht="60" x14ac:dyDescent="0.25">
      <c r="A129" s="21" t="s">
        <v>291</v>
      </c>
      <c r="B129" s="25" t="s">
        <v>292</v>
      </c>
      <c r="C129" s="26">
        <v>1</v>
      </c>
      <c r="D129" s="27" t="s">
        <v>21</v>
      </c>
      <c r="E129" s="26">
        <v>5639.85</v>
      </c>
      <c r="F129" s="28" t="s">
        <v>22</v>
      </c>
      <c r="G129" s="26">
        <f t="shared" si="2"/>
        <v>5640</v>
      </c>
      <c r="H129" t="s">
        <v>289</v>
      </c>
    </row>
    <row r="130" spans="1:8" ht="60" x14ac:dyDescent="0.25">
      <c r="A130" s="21" t="s">
        <v>293</v>
      </c>
      <c r="B130" s="25" t="s">
        <v>295</v>
      </c>
      <c r="C130" s="26">
        <v>1</v>
      </c>
      <c r="D130" s="27" t="s">
        <v>21</v>
      </c>
      <c r="E130" s="26">
        <v>7178.75</v>
      </c>
      <c r="F130" s="28" t="s">
        <v>22</v>
      </c>
      <c r="G130" s="26">
        <f t="shared" si="2"/>
        <v>7179</v>
      </c>
      <c r="H130" t="s">
        <v>294</v>
      </c>
    </row>
    <row r="131" spans="1:8" ht="60" x14ac:dyDescent="0.25">
      <c r="A131" s="21" t="s">
        <v>296</v>
      </c>
      <c r="B131" s="25" t="s">
        <v>298</v>
      </c>
      <c r="C131" s="26">
        <v>1</v>
      </c>
      <c r="D131" s="27" t="s">
        <v>21</v>
      </c>
      <c r="E131" s="26">
        <v>5572</v>
      </c>
      <c r="F131" s="28" t="s">
        <v>22</v>
      </c>
      <c r="G131" s="26">
        <f t="shared" si="2"/>
        <v>5572</v>
      </c>
      <c r="H131" t="s">
        <v>297</v>
      </c>
    </row>
    <row r="132" spans="1:8" ht="60" x14ac:dyDescent="0.25">
      <c r="A132" s="21" t="s">
        <v>299</v>
      </c>
      <c r="B132" s="25" t="s">
        <v>301</v>
      </c>
      <c r="C132" s="26">
        <v>1</v>
      </c>
      <c r="D132" s="27" t="s">
        <v>21</v>
      </c>
      <c r="E132" s="26">
        <v>6812</v>
      </c>
      <c r="F132" s="28" t="s">
        <v>22</v>
      </c>
      <c r="G132" s="26">
        <f t="shared" si="2"/>
        <v>6812</v>
      </c>
      <c r="H132" t="s">
        <v>300</v>
      </c>
    </row>
    <row r="133" spans="1:8" ht="60" x14ac:dyDescent="0.25">
      <c r="A133" s="21" t="s">
        <v>302</v>
      </c>
      <c r="B133" s="25" t="s">
        <v>304</v>
      </c>
      <c r="C133" s="26">
        <v>1</v>
      </c>
      <c r="D133" s="27" t="s">
        <v>21</v>
      </c>
      <c r="E133" s="26">
        <v>5205.25</v>
      </c>
      <c r="F133" s="28" t="s">
        <v>22</v>
      </c>
      <c r="G133" s="26">
        <f t="shared" si="2"/>
        <v>5205</v>
      </c>
      <c r="H133" t="s">
        <v>303</v>
      </c>
    </row>
    <row r="134" spans="1:8" ht="60" x14ac:dyDescent="0.25">
      <c r="A134" s="21" t="s">
        <v>305</v>
      </c>
      <c r="B134" s="25" t="s">
        <v>307</v>
      </c>
      <c r="C134" s="26">
        <v>1</v>
      </c>
      <c r="D134" s="27" t="s">
        <v>21</v>
      </c>
      <c r="E134" s="26">
        <v>6518.6</v>
      </c>
      <c r="F134" s="28" t="s">
        <v>22</v>
      </c>
      <c r="G134" s="26">
        <f t="shared" si="2"/>
        <v>6519</v>
      </c>
      <c r="H134" t="s">
        <v>306</v>
      </c>
    </row>
    <row r="135" spans="1:8" ht="60" x14ac:dyDescent="0.25">
      <c r="A135" s="21" t="s">
        <v>308</v>
      </c>
      <c r="B135" s="25" t="s">
        <v>310</v>
      </c>
      <c r="C135" s="26">
        <v>1</v>
      </c>
      <c r="D135" s="27" t="s">
        <v>21</v>
      </c>
      <c r="E135" s="26">
        <v>4911.8500000000004</v>
      </c>
      <c r="F135" s="28" t="s">
        <v>22</v>
      </c>
      <c r="G135" s="26">
        <f t="shared" si="2"/>
        <v>4912</v>
      </c>
      <c r="H135" t="s">
        <v>309</v>
      </c>
    </row>
    <row r="136" spans="1:8" ht="45" x14ac:dyDescent="0.25">
      <c r="A136" s="21" t="s">
        <v>311</v>
      </c>
      <c r="B136" s="25" t="s">
        <v>313</v>
      </c>
      <c r="C136" s="26">
        <v>1</v>
      </c>
      <c r="D136" s="27" t="s">
        <v>21</v>
      </c>
      <c r="E136" s="26">
        <v>6189.65</v>
      </c>
      <c r="F136" s="28" t="s">
        <v>22</v>
      </c>
      <c r="G136" s="26">
        <f t="shared" si="2"/>
        <v>6190</v>
      </c>
      <c r="H136" t="s">
        <v>312</v>
      </c>
    </row>
    <row r="137" spans="1:8" ht="60" x14ac:dyDescent="0.25">
      <c r="A137" s="21" t="s">
        <v>314</v>
      </c>
      <c r="B137" s="25" t="s">
        <v>316</v>
      </c>
      <c r="C137" s="26">
        <v>1</v>
      </c>
      <c r="D137" s="27" t="s">
        <v>21</v>
      </c>
      <c r="E137" s="26">
        <v>6667.25</v>
      </c>
      <c r="F137" s="28" t="s">
        <v>22</v>
      </c>
      <c r="G137" s="26">
        <f t="shared" si="2"/>
        <v>6667</v>
      </c>
      <c r="H137" t="s">
        <v>315</v>
      </c>
    </row>
    <row r="138" spans="1:8" ht="75" x14ac:dyDescent="0.25">
      <c r="A138" s="21" t="s">
        <v>317</v>
      </c>
      <c r="B138" s="25" t="s">
        <v>319</v>
      </c>
      <c r="C138" s="26">
        <v>1</v>
      </c>
      <c r="D138" s="27" t="s">
        <v>21</v>
      </c>
      <c r="E138" s="26">
        <v>5130.6499999999996</v>
      </c>
      <c r="F138" s="28" t="s">
        <v>22</v>
      </c>
      <c r="G138" s="26">
        <f t="shared" si="2"/>
        <v>5131</v>
      </c>
      <c r="H138" t="s">
        <v>318</v>
      </c>
    </row>
    <row r="139" spans="1:8" ht="60" x14ac:dyDescent="0.25">
      <c r="A139" s="21" t="s">
        <v>320</v>
      </c>
      <c r="B139" s="25" t="s">
        <v>322</v>
      </c>
      <c r="C139" s="26">
        <v>1</v>
      </c>
      <c r="D139" s="27" t="s">
        <v>21</v>
      </c>
      <c r="E139" s="26">
        <v>6311.95</v>
      </c>
      <c r="F139" s="28" t="s">
        <v>22</v>
      </c>
      <c r="G139" s="26">
        <f t="shared" si="2"/>
        <v>6312</v>
      </c>
      <c r="H139" t="s">
        <v>321</v>
      </c>
    </row>
    <row r="140" spans="1:8" ht="75" x14ac:dyDescent="0.25">
      <c r="A140" s="21" t="s">
        <v>323</v>
      </c>
      <c r="B140" s="25" t="s">
        <v>325</v>
      </c>
      <c r="C140" s="26">
        <v>1</v>
      </c>
      <c r="D140" s="27" t="s">
        <v>21</v>
      </c>
      <c r="E140" s="26">
        <v>4796.3999999999996</v>
      </c>
      <c r="F140" s="28" t="s">
        <v>22</v>
      </c>
      <c r="G140" s="26">
        <f t="shared" si="2"/>
        <v>4796</v>
      </c>
      <c r="H140" t="s">
        <v>324</v>
      </c>
    </row>
    <row r="141" spans="1:8" ht="135" x14ac:dyDescent="0.25">
      <c r="A141" s="21" t="s">
        <v>326</v>
      </c>
      <c r="B141" s="25" t="s">
        <v>328</v>
      </c>
      <c r="C141" s="26"/>
      <c r="D141" s="27"/>
      <c r="E141" s="26"/>
      <c r="F141" s="28"/>
      <c r="G141" s="26"/>
      <c r="H141" t="s">
        <v>327</v>
      </c>
    </row>
    <row r="142" spans="1:8" ht="60" x14ac:dyDescent="0.25">
      <c r="A142" s="21" t="s">
        <v>329</v>
      </c>
      <c r="B142" s="25" t="s">
        <v>331</v>
      </c>
      <c r="C142" s="26">
        <v>1</v>
      </c>
      <c r="D142" s="27" t="s">
        <v>21</v>
      </c>
      <c r="E142" s="26">
        <v>10357.549999999999</v>
      </c>
      <c r="F142" s="28" t="s">
        <v>22</v>
      </c>
      <c r="G142" s="26">
        <f t="shared" ref="G142:G150" si="3">ROUND(C142*E142,0)</f>
        <v>10358</v>
      </c>
      <c r="H142" t="s">
        <v>330</v>
      </c>
    </row>
    <row r="143" spans="1:8" ht="90" x14ac:dyDescent="0.25">
      <c r="A143" s="21" t="s">
        <v>332</v>
      </c>
      <c r="B143" s="25" t="s">
        <v>334</v>
      </c>
      <c r="C143" s="26">
        <v>1</v>
      </c>
      <c r="D143" s="27" t="s">
        <v>21</v>
      </c>
      <c r="E143" s="26">
        <v>10144.5</v>
      </c>
      <c r="F143" s="28" t="s">
        <v>22</v>
      </c>
      <c r="G143" s="26">
        <f t="shared" si="3"/>
        <v>10145</v>
      </c>
      <c r="H143" t="s">
        <v>333</v>
      </c>
    </row>
    <row r="144" spans="1:8" ht="60" x14ac:dyDescent="0.25">
      <c r="A144" s="21" t="s">
        <v>335</v>
      </c>
      <c r="B144" s="25" t="s">
        <v>337</v>
      </c>
      <c r="C144" s="26">
        <v>1</v>
      </c>
      <c r="D144" s="27" t="s">
        <v>21</v>
      </c>
      <c r="E144" s="26">
        <v>9895.2000000000007</v>
      </c>
      <c r="F144" s="28" t="s">
        <v>22</v>
      </c>
      <c r="G144" s="26">
        <f t="shared" si="3"/>
        <v>9895</v>
      </c>
      <c r="H144" t="s">
        <v>336</v>
      </c>
    </row>
    <row r="145" spans="1:8" ht="90" x14ac:dyDescent="0.25">
      <c r="A145" s="21" t="s">
        <v>338</v>
      </c>
      <c r="B145" s="25" t="s">
        <v>340</v>
      </c>
      <c r="C145" s="26">
        <v>1</v>
      </c>
      <c r="D145" s="27" t="s">
        <v>21</v>
      </c>
      <c r="E145" s="26">
        <v>9671.5</v>
      </c>
      <c r="F145" s="28" t="s">
        <v>22</v>
      </c>
      <c r="G145" s="26">
        <f t="shared" si="3"/>
        <v>9672</v>
      </c>
      <c r="H145" t="s">
        <v>339</v>
      </c>
    </row>
    <row r="146" spans="1:8" ht="60" x14ac:dyDescent="0.25">
      <c r="A146" s="21" t="s">
        <v>341</v>
      </c>
      <c r="B146" s="25" t="s">
        <v>343</v>
      </c>
      <c r="C146" s="26">
        <v>1</v>
      </c>
      <c r="D146" s="27" t="s">
        <v>21</v>
      </c>
      <c r="E146" s="26">
        <v>9311.4</v>
      </c>
      <c r="F146" s="28" t="s">
        <v>22</v>
      </c>
      <c r="G146" s="26">
        <f t="shared" si="3"/>
        <v>9311</v>
      </c>
      <c r="H146" t="s">
        <v>342</v>
      </c>
    </row>
    <row r="147" spans="1:8" ht="60" x14ac:dyDescent="0.25">
      <c r="A147" s="21" t="s">
        <v>344</v>
      </c>
      <c r="B147" s="25" t="s">
        <v>346</v>
      </c>
      <c r="C147" s="26">
        <v>1</v>
      </c>
      <c r="D147" s="27" t="s">
        <v>21</v>
      </c>
      <c r="E147" s="26">
        <v>8364.4500000000007</v>
      </c>
      <c r="F147" s="28" t="s">
        <v>22</v>
      </c>
      <c r="G147" s="26">
        <f t="shared" si="3"/>
        <v>8364</v>
      </c>
      <c r="H147" t="s">
        <v>345</v>
      </c>
    </row>
    <row r="148" spans="1:8" ht="60" x14ac:dyDescent="0.25">
      <c r="A148" s="21" t="s">
        <v>347</v>
      </c>
      <c r="B148" s="25" t="s">
        <v>348</v>
      </c>
      <c r="C148" s="26">
        <v>1</v>
      </c>
      <c r="D148" s="27" t="s">
        <v>21</v>
      </c>
      <c r="E148" s="26">
        <v>7656.55</v>
      </c>
      <c r="F148" s="28" t="s">
        <v>22</v>
      </c>
      <c r="G148" s="26">
        <f t="shared" si="3"/>
        <v>7657</v>
      </c>
      <c r="H148" t="s">
        <v>345</v>
      </c>
    </row>
    <row r="149" spans="1:8" ht="60" x14ac:dyDescent="0.25">
      <c r="A149" s="21" t="s">
        <v>349</v>
      </c>
      <c r="B149" s="25" t="s">
        <v>351</v>
      </c>
      <c r="C149" s="26">
        <v>1</v>
      </c>
      <c r="D149" s="27" t="s">
        <v>21</v>
      </c>
      <c r="E149" s="26">
        <v>8519.2000000000007</v>
      </c>
      <c r="F149" s="28" t="s">
        <v>22</v>
      </c>
      <c r="G149" s="26">
        <f t="shared" si="3"/>
        <v>8519</v>
      </c>
      <c r="H149" t="s">
        <v>350</v>
      </c>
    </row>
    <row r="150" spans="1:8" ht="60" x14ac:dyDescent="0.25">
      <c r="A150" s="21" t="s">
        <v>352</v>
      </c>
      <c r="B150" s="25" t="s">
        <v>354</v>
      </c>
      <c r="C150" s="26">
        <v>1</v>
      </c>
      <c r="D150" s="27" t="s">
        <v>21</v>
      </c>
      <c r="E150" s="26">
        <v>6912.45</v>
      </c>
      <c r="F150" s="28" t="s">
        <v>22</v>
      </c>
      <c r="G150" s="26">
        <f t="shared" si="3"/>
        <v>6912</v>
      </c>
      <c r="H150" t="s">
        <v>353</v>
      </c>
    </row>
    <row r="151" spans="1:8" ht="30" x14ac:dyDescent="0.25">
      <c r="A151" s="21" t="s">
        <v>355</v>
      </c>
      <c r="B151" s="25" t="s">
        <v>357</v>
      </c>
      <c r="C151" s="26"/>
      <c r="D151" s="27"/>
      <c r="E151" s="26"/>
      <c r="F151" s="28"/>
      <c r="G151" s="26"/>
      <c r="H151" t="s">
        <v>356</v>
      </c>
    </row>
    <row r="152" spans="1:8" ht="30" x14ac:dyDescent="0.25">
      <c r="A152" s="21" t="s">
        <v>358</v>
      </c>
      <c r="B152" s="25" t="s">
        <v>360</v>
      </c>
      <c r="C152" s="26">
        <v>1</v>
      </c>
      <c r="D152" s="27" t="s">
        <v>15</v>
      </c>
      <c r="E152" s="26">
        <v>392.15</v>
      </c>
      <c r="F152" s="28" t="s">
        <v>16</v>
      </c>
      <c r="G152" s="26">
        <f>ROUND(C152*E152,0)</f>
        <v>392</v>
      </c>
      <c r="H152" t="s">
        <v>359</v>
      </c>
    </row>
    <row r="153" spans="1:8" ht="60" x14ac:dyDescent="0.25">
      <c r="A153" s="21" t="s">
        <v>361</v>
      </c>
      <c r="B153" s="25" t="s">
        <v>363</v>
      </c>
      <c r="C153" s="26">
        <v>1</v>
      </c>
      <c r="D153" s="27" t="s">
        <v>15</v>
      </c>
      <c r="E153" s="26">
        <v>842.5</v>
      </c>
      <c r="F153" s="28" t="s">
        <v>16</v>
      </c>
      <c r="G153" s="26">
        <f>ROUND(C153*E153,0)</f>
        <v>843</v>
      </c>
      <c r="H153" t="s">
        <v>362</v>
      </c>
    </row>
    <row r="154" spans="1:8" ht="30" x14ac:dyDescent="0.25">
      <c r="A154" s="21" t="s">
        <v>364</v>
      </c>
      <c r="B154" s="25" t="s">
        <v>366</v>
      </c>
      <c r="C154" s="26">
        <v>1</v>
      </c>
      <c r="D154" s="27" t="s">
        <v>15</v>
      </c>
      <c r="E154" s="26">
        <v>961.3</v>
      </c>
      <c r="F154" s="28" t="s">
        <v>16</v>
      </c>
      <c r="G154" s="26">
        <f>ROUND(C154*E154,0)</f>
        <v>961</v>
      </c>
      <c r="H154" t="s">
        <v>365</v>
      </c>
    </row>
    <row r="155" spans="1:8" ht="60" x14ac:dyDescent="0.25">
      <c r="A155" s="21" t="s">
        <v>367</v>
      </c>
      <c r="B155" s="25" t="s">
        <v>369</v>
      </c>
      <c r="C155" s="26"/>
      <c r="D155" s="27"/>
      <c r="E155" s="26"/>
      <c r="F155" s="28"/>
      <c r="G155" s="26"/>
      <c r="H155" t="s">
        <v>368</v>
      </c>
    </row>
    <row r="156" spans="1:8" ht="60" x14ac:dyDescent="0.25">
      <c r="A156" s="21" t="s">
        <v>370</v>
      </c>
      <c r="B156" s="25" t="s">
        <v>372</v>
      </c>
      <c r="C156" s="26">
        <v>1</v>
      </c>
      <c r="D156" s="27" t="s">
        <v>21</v>
      </c>
      <c r="E156" s="26">
        <v>8340.85</v>
      </c>
      <c r="F156" s="28" t="s">
        <v>22</v>
      </c>
      <c r="G156" s="26">
        <f>ROUND(C156*E156,0)</f>
        <v>8341</v>
      </c>
      <c r="H156" t="s">
        <v>371</v>
      </c>
    </row>
    <row r="157" spans="1:8" ht="90" x14ac:dyDescent="0.25">
      <c r="A157" s="21" t="s">
        <v>373</v>
      </c>
      <c r="B157" s="25" t="s">
        <v>375</v>
      </c>
      <c r="C157" s="26">
        <v>1</v>
      </c>
      <c r="D157" s="27" t="s">
        <v>21</v>
      </c>
      <c r="E157" s="26">
        <v>8127.8</v>
      </c>
      <c r="F157" s="28" t="s">
        <v>22</v>
      </c>
      <c r="G157" s="26">
        <f>ROUND(C157*E157,0)</f>
        <v>8128</v>
      </c>
      <c r="H157" t="s">
        <v>374</v>
      </c>
    </row>
    <row r="158" spans="1:8" ht="105" x14ac:dyDescent="0.25">
      <c r="A158" s="21" t="s">
        <v>376</v>
      </c>
      <c r="B158" s="25" t="s">
        <v>378</v>
      </c>
      <c r="C158" s="26"/>
      <c r="D158" s="27"/>
      <c r="E158" s="26"/>
      <c r="F158" s="28"/>
      <c r="G158" s="26"/>
      <c r="H158" t="s">
        <v>377</v>
      </c>
    </row>
    <row r="159" spans="1:8" ht="60" x14ac:dyDescent="0.25">
      <c r="A159" s="21" t="s">
        <v>379</v>
      </c>
      <c r="B159" s="25" t="s">
        <v>380</v>
      </c>
      <c r="C159" s="26">
        <v>1</v>
      </c>
      <c r="D159" s="27" t="s">
        <v>21</v>
      </c>
      <c r="E159" s="26">
        <v>10105.1</v>
      </c>
      <c r="F159" s="28" t="s">
        <v>22</v>
      </c>
      <c r="G159" s="26">
        <f>ROUND(C159*E159,0)</f>
        <v>10105</v>
      </c>
      <c r="H159" t="s">
        <v>330</v>
      </c>
    </row>
    <row r="160" spans="1:8" ht="75" x14ac:dyDescent="0.25">
      <c r="A160" s="21" t="s">
        <v>381</v>
      </c>
      <c r="B160" s="25" t="s">
        <v>383</v>
      </c>
      <c r="C160" s="26">
        <v>1</v>
      </c>
      <c r="D160" s="27" t="s">
        <v>21</v>
      </c>
      <c r="E160" s="26">
        <v>9893.4500000000007</v>
      </c>
      <c r="F160" s="28" t="s">
        <v>22</v>
      </c>
      <c r="G160" s="26">
        <f>ROUND(C160*E160,0)</f>
        <v>9893</v>
      </c>
      <c r="H160" t="s">
        <v>382</v>
      </c>
    </row>
    <row r="161" spans="1:8" ht="90" x14ac:dyDescent="0.25">
      <c r="A161" s="21" t="s">
        <v>384</v>
      </c>
      <c r="B161" s="25" t="s">
        <v>386</v>
      </c>
      <c r="C161" s="26"/>
      <c r="D161" s="27"/>
      <c r="E161" s="26"/>
      <c r="F161" s="28"/>
      <c r="G161" s="26"/>
      <c r="H161" t="s">
        <v>385</v>
      </c>
    </row>
    <row r="162" spans="1:8" ht="60" x14ac:dyDescent="0.25">
      <c r="A162" s="21" t="s">
        <v>387</v>
      </c>
      <c r="B162" s="25" t="s">
        <v>372</v>
      </c>
      <c r="C162" s="26">
        <v>1</v>
      </c>
      <c r="D162" s="27" t="s">
        <v>21</v>
      </c>
      <c r="E162" s="26">
        <v>8726.85</v>
      </c>
      <c r="F162" s="28" t="s">
        <v>22</v>
      </c>
      <c r="G162" s="26">
        <f>ROUND(C162*E162,0)</f>
        <v>8727</v>
      </c>
      <c r="H162" t="s">
        <v>388</v>
      </c>
    </row>
    <row r="163" spans="1:8" ht="75" x14ac:dyDescent="0.25">
      <c r="A163" s="21" t="s">
        <v>389</v>
      </c>
      <c r="B163" s="25" t="s">
        <v>391</v>
      </c>
      <c r="C163" s="26">
        <v>1</v>
      </c>
      <c r="D163" s="27" t="s">
        <v>21</v>
      </c>
      <c r="E163" s="26">
        <v>8514.85</v>
      </c>
      <c r="F163" s="28" t="s">
        <v>22</v>
      </c>
      <c r="G163" s="26">
        <f>ROUND(C163*E163,0)</f>
        <v>8515</v>
      </c>
      <c r="H163" t="s">
        <v>390</v>
      </c>
    </row>
    <row r="164" spans="1:8" ht="75" x14ac:dyDescent="0.25">
      <c r="A164" s="21" t="s">
        <v>392</v>
      </c>
      <c r="B164" s="25" t="s">
        <v>394</v>
      </c>
      <c r="C164" s="26"/>
      <c r="D164" s="27"/>
      <c r="E164" s="26"/>
      <c r="F164" s="28"/>
      <c r="G164" s="26"/>
      <c r="H164" t="s">
        <v>393</v>
      </c>
    </row>
    <row r="165" spans="1:8" ht="60" x14ac:dyDescent="0.25">
      <c r="A165" s="21" t="s">
        <v>395</v>
      </c>
      <c r="B165" s="25" t="s">
        <v>372</v>
      </c>
      <c r="C165" s="26">
        <v>1</v>
      </c>
      <c r="D165" s="27" t="s">
        <v>21</v>
      </c>
      <c r="E165" s="26">
        <v>17889.25</v>
      </c>
      <c r="F165" s="28" t="s">
        <v>22</v>
      </c>
      <c r="G165" s="26">
        <f>ROUND(C165*E165,0)</f>
        <v>17889</v>
      </c>
      <c r="H165" t="s">
        <v>396</v>
      </c>
    </row>
    <row r="166" spans="1:8" ht="90" x14ac:dyDescent="0.25">
      <c r="A166" s="21" t="s">
        <v>397</v>
      </c>
      <c r="B166" s="25" t="s">
        <v>399</v>
      </c>
      <c r="C166" s="26">
        <v>1</v>
      </c>
      <c r="D166" s="27" t="s">
        <v>21</v>
      </c>
      <c r="E166" s="26">
        <v>17677.25</v>
      </c>
      <c r="F166" s="28" t="s">
        <v>22</v>
      </c>
      <c r="G166" s="26">
        <f>ROUND(C166*E166,0)</f>
        <v>17677</v>
      </c>
      <c r="H166" t="s">
        <v>398</v>
      </c>
    </row>
    <row r="167" spans="1:8" ht="75" x14ac:dyDescent="0.25">
      <c r="A167" s="21" t="s">
        <v>400</v>
      </c>
      <c r="B167" s="25" t="s">
        <v>402</v>
      </c>
      <c r="C167" s="26"/>
      <c r="D167" s="27"/>
      <c r="E167" s="26"/>
      <c r="F167" s="28"/>
      <c r="G167" s="26"/>
      <c r="H167" t="s">
        <v>401</v>
      </c>
    </row>
    <row r="168" spans="1:8" ht="60" x14ac:dyDescent="0.25">
      <c r="A168" s="21" t="s">
        <v>403</v>
      </c>
      <c r="B168" s="25" t="s">
        <v>372</v>
      </c>
      <c r="C168" s="26">
        <v>1</v>
      </c>
      <c r="D168" s="27" t="s">
        <v>21</v>
      </c>
      <c r="E168" s="26">
        <v>14624.2</v>
      </c>
      <c r="F168" s="28" t="s">
        <v>22</v>
      </c>
      <c r="G168" s="26">
        <f t="shared" ref="G168:G185" si="4">ROUND(C168*E168,0)</f>
        <v>14624</v>
      </c>
      <c r="H168" t="s">
        <v>396</v>
      </c>
    </row>
    <row r="169" spans="1:8" ht="90" x14ac:dyDescent="0.25">
      <c r="A169" s="21" t="s">
        <v>404</v>
      </c>
      <c r="B169" s="25" t="s">
        <v>399</v>
      </c>
      <c r="C169" s="26">
        <v>1</v>
      </c>
      <c r="D169" s="27" t="s">
        <v>21</v>
      </c>
      <c r="E169" s="26">
        <v>14526.2</v>
      </c>
      <c r="F169" s="28" t="s">
        <v>22</v>
      </c>
      <c r="G169" s="26">
        <f t="shared" si="4"/>
        <v>14526</v>
      </c>
      <c r="H169" t="s">
        <v>405</v>
      </c>
    </row>
    <row r="170" spans="1:8" ht="195" x14ac:dyDescent="0.25">
      <c r="A170" s="21" t="s">
        <v>406</v>
      </c>
      <c r="B170" s="25" t="s">
        <v>408</v>
      </c>
      <c r="C170" s="26">
        <v>1</v>
      </c>
      <c r="D170" s="27" t="s">
        <v>201</v>
      </c>
      <c r="E170" s="26">
        <v>929.8</v>
      </c>
      <c r="F170" s="28" t="s">
        <v>202</v>
      </c>
      <c r="G170" s="26">
        <f t="shared" si="4"/>
        <v>930</v>
      </c>
      <c r="H170" t="s">
        <v>407</v>
      </c>
    </row>
    <row r="171" spans="1:8" ht="210" x14ac:dyDescent="0.25">
      <c r="A171" s="21" t="s">
        <v>409</v>
      </c>
      <c r="B171" s="25" t="s">
        <v>411</v>
      </c>
      <c r="C171" s="26">
        <v>1</v>
      </c>
      <c r="D171" s="27" t="s">
        <v>201</v>
      </c>
      <c r="E171" s="26">
        <v>900.15</v>
      </c>
      <c r="F171" s="28" t="s">
        <v>202</v>
      </c>
      <c r="G171" s="26">
        <f t="shared" si="4"/>
        <v>900</v>
      </c>
      <c r="H171" t="s">
        <v>410</v>
      </c>
    </row>
    <row r="172" spans="1:8" ht="210" x14ac:dyDescent="0.25">
      <c r="A172" s="21" t="s">
        <v>412</v>
      </c>
      <c r="B172" s="25" t="s">
        <v>414</v>
      </c>
      <c r="C172" s="26">
        <v>1</v>
      </c>
      <c r="D172" s="27" t="s">
        <v>201</v>
      </c>
      <c r="E172" s="26">
        <v>878.9</v>
      </c>
      <c r="F172" s="28" t="s">
        <v>202</v>
      </c>
      <c r="G172" s="26">
        <f t="shared" si="4"/>
        <v>879</v>
      </c>
      <c r="H172" t="s">
        <v>413</v>
      </c>
    </row>
    <row r="173" spans="1:8" ht="75" x14ac:dyDescent="0.25">
      <c r="A173" s="21" t="s">
        <v>415</v>
      </c>
      <c r="B173" s="25" t="s">
        <v>417</v>
      </c>
      <c r="C173" s="26">
        <v>1</v>
      </c>
      <c r="D173" s="27" t="s">
        <v>15</v>
      </c>
      <c r="E173" s="26">
        <v>410.85</v>
      </c>
      <c r="F173" s="28" t="s">
        <v>16</v>
      </c>
      <c r="G173" s="26">
        <f t="shared" si="4"/>
        <v>411</v>
      </c>
      <c r="H173" t="s">
        <v>416</v>
      </c>
    </row>
    <row r="174" spans="1:8" ht="105" x14ac:dyDescent="0.25">
      <c r="A174" s="21" t="s">
        <v>418</v>
      </c>
      <c r="B174" s="25" t="s">
        <v>419</v>
      </c>
      <c r="C174" s="26">
        <v>1</v>
      </c>
      <c r="D174" s="27" t="s">
        <v>15</v>
      </c>
      <c r="E174" s="26">
        <v>402.5</v>
      </c>
      <c r="F174" s="28" t="s">
        <v>16</v>
      </c>
      <c r="G174" s="26">
        <f t="shared" si="4"/>
        <v>403</v>
      </c>
      <c r="H174" t="s">
        <v>105</v>
      </c>
    </row>
    <row r="175" spans="1:8" ht="75" x14ac:dyDescent="0.25">
      <c r="A175" s="21" t="s">
        <v>420</v>
      </c>
      <c r="B175" s="25" t="s">
        <v>422</v>
      </c>
      <c r="C175" s="26">
        <v>1</v>
      </c>
      <c r="D175" s="27" t="s">
        <v>15</v>
      </c>
      <c r="E175" s="26">
        <v>495.75</v>
      </c>
      <c r="F175" s="28" t="s">
        <v>16</v>
      </c>
      <c r="G175" s="26">
        <f t="shared" si="4"/>
        <v>496</v>
      </c>
      <c r="H175" t="s">
        <v>421</v>
      </c>
    </row>
    <row r="176" spans="1:8" ht="105" x14ac:dyDescent="0.25">
      <c r="A176" s="21" t="s">
        <v>423</v>
      </c>
      <c r="B176" s="25" t="s">
        <v>425</v>
      </c>
      <c r="C176" s="26">
        <v>1</v>
      </c>
      <c r="D176" s="27" t="s">
        <v>15</v>
      </c>
      <c r="E176" s="26">
        <v>484.6</v>
      </c>
      <c r="F176" s="28" t="s">
        <v>16</v>
      </c>
      <c r="G176" s="26">
        <f t="shared" si="4"/>
        <v>485</v>
      </c>
      <c r="H176" t="s">
        <v>424</v>
      </c>
    </row>
    <row r="177" spans="1:8" ht="60" x14ac:dyDescent="0.25">
      <c r="A177" s="21" t="s">
        <v>426</v>
      </c>
      <c r="B177" s="25" t="s">
        <v>428</v>
      </c>
      <c r="C177" s="26">
        <v>1</v>
      </c>
      <c r="D177" s="27" t="s">
        <v>429</v>
      </c>
      <c r="E177" s="26">
        <v>18.149999999999999</v>
      </c>
      <c r="F177" s="28" t="s">
        <v>430</v>
      </c>
      <c r="G177" s="26">
        <f t="shared" si="4"/>
        <v>18</v>
      </c>
      <c r="H177" t="s">
        <v>427</v>
      </c>
    </row>
    <row r="178" spans="1:8" ht="90" x14ac:dyDescent="0.25">
      <c r="A178" s="21" t="s">
        <v>431</v>
      </c>
      <c r="B178" s="25" t="s">
        <v>433</v>
      </c>
      <c r="C178" s="26">
        <v>1</v>
      </c>
      <c r="D178" s="27" t="s">
        <v>15</v>
      </c>
      <c r="E178" s="26">
        <v>146.15</v>
      </c>
      <c r="F178" s="28" t="s">
        <v>16</v>
      </c>
      <c r="G178" s="26">
        <f t="shared" si="4"/>
        <v>146</v>
      </c>
      <c r="H178" t="s">
        <v>432</v>
      </c>
    </row>
    <row r="179" spans="1:8" ht="45" x14ac:dyDescent="0.25">
      <c r="A179" s="21" t="s">
        <v>434</v>
      </c>
      <c r="B179" s="25" t="s">
        <v>436</v>
      </c>
      <c r="C179" s="26">
        <v>1</v>
      </c>
      <c r="D179" s="27" t="s">
        <v>21</v>
      </c>
      <c r="E179" s="26">
        <v>169.45</v>
      </c>
      <c r="F179" s="28" t="s">
        <v>22</v>
      </c>
      <c r="G179" s="26">
        <f t="shared" si="4"/>
        <v>169</v>
      </c>
      <c r="H179" t="s">
        <v>435</v>
      </c>
    </row>
    <row r="180" spans="1:8" ht="180" x14ac:dyDescent="0.25">
      <c r="A180" s="21" t="s">
        <v>437</v>
      </c>
      <c r="B180" s="25" t="s">
        <v>439</v>
      </c>
      <c r="C180" s="26">
        <v>1</v>
      </c>
      <c r="D180" s="27" t="s">
        <v>429</v>
      </c>
      <c r="E180" s="26">
        <v>1098.8</v>
      </c>
      <c r="F180" s="28" t="s">
        <v>440</v>
      </c>
      <c r="G180" s="26">
        <f t="shared" si="4"/>
        <v>1099</v>
      </c>
      <c r="H180" t="s">
        <v>438</v>
      </c>
    </row>
    <row r="181" spans="1:8" ht="30" x14ac:dyDescent="0.25">
      <c r="A181" s="21" t="s">
        <v>441</v>
      </c>
      <c r="B181" s="25" t="s">
        <v>443</v>
      </c>
      <c r="C181" s="26">
        <v>1</v>
      </c>
      <c r="D181" s="27" t="s">
        <v>21</v>
      </c>
      <c r="E181" s="26">
        <v>467.55</v>
      </c>
      <c r="F181" s="28" t="s">
        <v>22</v>
      </c>
      <c r="G181" s="26">
        <f t="shared" si="4"/>
        <v>468</v>
      </c>
      <c r="H181" t="s">
        <v>442</v>
      </c>
    </row>
    <row r="182" spans="1:8" ht="135" x14ac:dyDescent="0.25">
      <c r="A182" s="21" t="s">
        <v>444</v>
      </c>
      <c r="B182" s="25" t="s">
        <v>446</v>
      </c>
      <c r="C182" s="26">
        <v>1</v>
      </c>
      <c r="D182" s="27" t="s">
        <v>15</v>
      </c>
      <c r="E182" s="26">
        <v>749.3</v>
      </c>
      <c r="F182" s="28" t="s">
        <v>16</v>
      </c>
      <c r="G182" s="26">
        <f t="shared" si="4"/>
        <v>749</v>
      </c>
      <c r="H182" t="s">
        <v>445</v>
      </c>
    </row>
    <row r="183" spans="1:8" ht="135" x14ac:dyDescent="0.25">
      <c r="A183" s="21" t="s">
        <v>447</v>
      </c>
      <c r="B183" s="25" t="s">
        <v>449</v>
      </c>
      <c r="C183" s="26">
        <v>1</v>
      </c>
      <c r="D183" s="27" t="s">
        <v>15</v>
      </c>
      <c r="E183" s="26">
        <v>702.3</v>
      </c>
      <c r="F183" s="28" t="s">
        <v>16</v>
      </c>
      <c r="G183" s="26">
        <f t="shared" si="4"/>
        <v>702</v>
      </c>
      <c r="H183" t="s">
        <v>448</v>
      </c>
    </row>
    <row r="184" spans="1:8" ht="135" x14ac:dyDescent="0.25">
      <c r="A184" s="21" t="s">
        <v>450</v>
      </c>
      <c r="B184" s="25" t="s">
        <v>449</v>
      </c>
      <c r="C184" s="26">
        <v>1</v>
      </c>
      <c r="D184" s="27" t="s">
        <v>15</v>
      </c>
      <c r="E184" s="26">
        <v>666.9</v>
      </c>
      <c r="F184" s="28" t="s">
        <v>16</v>
      </c>
      <c r="G184" s="26">
        <f t="shared" si="4"/>
        <v>667</v>
      </c>
      <c r="H184" t="s">
        <v>448</v>
      </c>
    </row>
    <row r="185" spans="1:8" ht="120" x14ac:dyDescent="0.25">
      <c r="A185" s="21" t="s">
        <v>451</v>
      </c>
      <c r="B185" s="25" t="s">
        <v>453</v>
      </c>
      <c r="C185" s="26">
        <v>1</v>
      </c>
      <c r="D185" s="27" t="s">
        <v>429</v>
      </c>
      <c r="E185" s="26">
        <v>70.349999999999994</v>
      </c>
      <c r="F185" s="28" t="s">
        <v>454</v>
      </c>
      <c r="G185" s="26">
        <f t="shared" si="4"/>
        <v>70</v>
      </c>
      <c r="H185" t="s">
        <v>452</v>
      </c>
    </row>
    <row r="186" spans="1:8" ht="210" x14ac:dyDescent="0.25">
      <c r="A186" s="21" t="s">
        <v>455</v>
      </c>
      <c r="B186" s="25" t="s">
        <v>457</v>
      </c>
      <c r="C186" s="26"/>
      <c r="D186" s="27"/>
      <c r="E186" s="26"/>
      <c r="F186" s="28"/>
      <c r="G186" s="26"/>
      <c r="H186" t="s">
        <v>456</v>
      </c>
    </row>
    <row r="187" spans="1:8" ht="105" x14ac:dyDescent="0.25">
      <c r="A187" s="21"/>
      <c r="B187" s="25" t="s">
        <v>458</v>
      </c>
      <c r="C187" s="26"/>
      <c r="D187" s="27"/>
      <c r="E187" s="26"/>
      <c r="F187" s="28"/>
      <c r="G187" s="26"/>
    </row>
    <row r="188" spans="1:8" x14ac:dyDescent="0.25">
      <c r="A188" s="21" t="s">
        <v>459</v>
      </c>
      <c r="B188" s="25" t="s">
        <v>461</v>
      </c>
      <c r="C188" s="26"/>
      <c r="D188" s="27"/>
      <c r="E188" s="26"/>
      <c r="F188" s="28"/>
      <c r="G188" s="26"/>
      <c r="H188" t="s">
        <v>460</v>
      </c>
    </row>
    <row r="189" spans="1:8" ht="30" x14ac:dyDescent="0.25">
      <c r="A189" s="21" t="s">
        <v>462</v>
      </c>
      <c r="B189" s="25" t="s">
        <v>464</v>
      </c>
      <c r="C189" s="26">
        <v>1</v>
      </c>
      <c r="D189" s="27" t="s">
        <v>21</v>
      </c>
      <c r="E189" s="26">
        <v>8835.15</v>
      </c>
      <c r="F189" s="28" t="s">
        <v>22</v>
      </c>
      <c r="G189" s="26">
        <f>ROUND(C189*E189,0)</f>
        <v>8835</v>
      </c>
      <c r="H189" t="s">
        <v>463</v>
      </c>
    </row>
    <row r="190" spans="1:8" ht="30" x14ac:dyDescent="0.25">
      <c r="A190" s="21" t="s">
        <v>465</v>
      </c>
      <c r="B190" s="25" t="s">
        <v>467</v>
      </c>
      <c r="C190" s="26">
        <v>1</v>
      </c>
      <c r="D190" s="27" t="s">
        <v>21</v>
      </c>
      <c r="E190" s="26">
        <v>8986.15</v>
      </c>
      <c r="F190" s="28" t="s">
        <v>22</v>
      </c>
      <c r="G190" s="26">
        <f>ROUND(C190*E190,0)</f>
        <v>8986</v>
      </c>
      <c r="H190" t="s">
        <v>466</v>
      </c>
    </row>
    <row r="191" spans="1:8" ht="30" x14ac:dyDescent="0.25">
      <c r="A191" s="21" t="s">
        <v>468</v>
      </c>
      <c r="B191" s="25" t="s">
        <v>469</v>
      </c>
      <c r="C191" s="26">
        <v>1</v>
      </c>
      <c r="D191" s="27" t="s">
        <v>21</v>
      </c>
      <c r="E191" s="26">
        <v>9212.6</v>
      </c>
      <c r="F191" s="28" t="s">
        <v>22</v>
      </c>
      <c r="G191" s="26">
        <f>ROUND(C191*E191,0)</f>
        <v>9213</v>
      </c>
      <c r="H191" t="s">
        <v>469</v>
      </c>
    </row>
    <row r="192" spans="1:8" ht="30" x14ac:dyDescent="0.25">
      <c r="A192" s="21" t="s">
        <v>470</v>
      </c>
      <c r="B192" s="25" t="s">
        <v>472</v>
      </c>
      <c r="C192" s="26">
        <v>1</v>
      </c>
      <c r="D192" s="27" t="s">
        <v>21</v>
      </c>
      <c r="E192" s="26">
        <v>9439.0499999999993</v>
      </c>
      <c r="F192" s="28" t="s">
        <v>22</v>
      </c>
      <c r="G192" s="26">
        <f>ROUND(C192*E192,0)</f>
        <v>9439</v>
      </c>
      <c r="H192" t="s">
        <v>471</v>
      </c>
    </row>
    <row r="193" spans="1:8" x14ac:dyDescent="0.25">
      <c r="A193" s="21" t="s">
        <v>473</v>
      </c>
      <c r="B193" s="25" t="s">
        <v>475</v>
      </c>
      <c r="C193" s="26"/>
      <c r="D193" s="27"/>
      <c r="E193" s="26"/>
      <c r="F193" s="28"/>
      <c r="G193" s="26"/>
      <c r="H193" t="s">
        <v>474</v>
      </c>
    </row>
    <row r="194" spans="1:8" ht="30" x14ac:dyDescent="0.25">
      <c r="A194" s="21" t="s">
        <v>476</v>
      </c>
      <c r="B194" s="25" t="s">
        <v>464</v>
      </c>
      <c r="C194" s="26">
        <v>1</v>
      </c>
      <c r="D194" s="27" t="s">
        <v>21</v>
      </c>
      <c r="E194" s="26">
        <v>9190.7999999999993</v>
      </c>
      <c r="F194" s="28" t="s">
        <v>22</v>
      </c>
      <c r="G194" s="26">
        <f>ROUND(C194*E194,0)</f>
        <v>9191</v>
      </c>
      <c r="H194" t="s">
        <v>477</v>
      </c>
    </row>
    <row r="195" spans="1:8" ht="30" x14ac:dyDescent="0.25">
      <c r="A195" s="21" t="s">
        <v>478</v>
      </c>
      <c r="B195" s="25" t="s">
        <v>467</v>
      </c>
      <c r="C195" s="26">
        <v>1</v>
      </c>
      <c r="D195" s="27" t="s">
        <v>21</v>
      </c>
      <c r="E195" s="26">
        <v>9341.7999999999993</v>
      </c>
      <c r="F195" s="28" t="s">
        <v>22</v>
      </c>
      <c r="G195" s="26">
        <f>ROUND(C195*E195,0)</f>
        <v>9342</v>
      </c>
      <c r="H195" t="s">
        <v>466</v>
      </c>
    </row>
    <row r="196" spans="1:8" ht="30" x14ac:dyDescent="0.25">
      <c r="A196" s="21" t="s">
        <v>479</v>
      </c>
      <c r="B196" s="25" t="s">
        <v>469</v>
      </c>
      <c r="C196" s="26">
        <v>1</v>
      </c>
      <c r="D196" s="27" t="s">
        <v>21</v>
      </c>
      <c r="E196" s="26">
        <v>9568.25</v>
      </c>
      <c r="F196" s="28" t="s">
        <v>22</v>
      </c>
      <c r="G196" s="26">
        <f>ROUND(C196*E196,0)</f>
        <v>9568</v>
      </c>
      <c r="H196" t="s">
        <v>480</v>
      </c>
    </row>
    <row r="197" spans="1:8" ht="30" x14ac:dyDescent="0.25">
      <c r="A197" s="21" t="s">
        <v>481</v>
      </c>
      <c r="B197" s="25" t="s">
        <v>472</v>
      </c>
      <c r="C197" s="26">
        <v>1</v>
      </c>
      <c r="D197" s="27" t="s">
        <v>21</v>
      </c>
      <c r="E197" s="26">
        <v>9794.7000000000007</v>
      </c>
      <c r="F197" s="28" t="s">
        <v>22</v>
      </c>
      <c r="G197" s="26">
        <f>ROUND(C197*E197,0)</f>
        <v>9795</v>
      </c>
      <c r="H197" t="s">
        <v>471</v>
      </c>
    </row>
    <row r="198" spans="1:8" ht="255" x14ac:dyDescent="0.25">
      <c r="A198" s="21" t="s">
        <v>482</v>
      </c>
      <c r="B198" s="25" t="s">
        <v>484</v>
      </c>
      <c r="C198" s="26"/>
      <c r="D198" s="27"/>
      <c r="E198" s="26"/>
      <c r="F198" s="28"/>
      <c r="G198" s="26"/>
      <c r="H198" t="s">
        <v>483</v>
      </c>
    </row>
    <row r="199" spans="1:8" ht="105" x14ac:dyDescent="0.25">
      <c r="A199" s="21"/>
      <c r="B199" s="25" t="s">
        <v>485</v>
      </c>
      <c r="C199" s="26"/>
      <c r="D199" s="27"/>
      <c r="E199" s="26"/>
      <c r="F199" s="28"/>
      <c r="G199" s="26"/>
    </row>
    <row r="200" spans="1:8" x14ac:dyDescent="0.25">
      <c r="A200" s="21" t="s">
        <v>486</v>
      </c>
      <c r="B200" s="25" t="s">
        <v>487</v>
      </c>
      <c r="C200" s="26"/>
      <c r="D200" s="27"/>
      <c r="E200" s="26"/>
      <c r="F200" s="28"/>
      <c r="G200" s="26"/>
      <c r="H200" t="s">
        <v>487</v>
      </c>
    </row>
    <row r="201" spans="1:8" ht="30" x14ac:dyDescent="0.25">
      <c r="A201" s="21" t="s">
        <v>488</v>
      </c>
      <c r="B201" s="25" t="s">
        <v>490</v>
      </c>
      <c r="C201" s="26"/>
      <c r="D201" s="27"/>
      <c r="E201" s="26"/>
      <c r="F201" s="28"/>
      <c r="G201" s="26"/>
      <c r="H201" t="s">
        <v>489</v>
      </c>
    </row>
    <row r="202" spans="1:8" ht="45" x14ac:dyDescent="0.25">
      <c r="A202" s="21"/>
      <c r="B202" s="25" t="s">
        <v>491</v>
      </c>
      <c r="C202" s="26">
        <v>1</v>
      </c>
      <c r="D202" s="27" t="s">
        <v>21</v>
      </c>
      <c r="E202" s="26">
        <v>7936.1</v>
      </c>
      <c r="F202" s="28" t="s">
        <v>22</v>
      </c>
      <c r="G202" s="26">
        <f>ROUND(C202*E202,0)</f>
        <v>7936</v>
      </c>
    </row>
    <row r="203" spans="1:8" ht="30" x14ac:dyDescent="0.25">
      <c r="A203" s="21" t="s">
        <v>492</v>
      </c>
      <c r="B203" s="25" t="s">
        <v>493</v>
      </c>
      <c r="C203" s="26"/>
      <c r="D203" s="27"/>
      <c r="E203" s="26"/>
      <c r="F203" s="28"/>
      <c r="G203" s="26"/>
      <c r="H203" t="s">
        <v>493</v>
      </c>
    </row>
    <row r="204" spans="1:8" ht="45" x14ac:dyDescent="0.25">
      <c r="A204" s="21"/>
      <c r="B204" s="25" t="s">
        <v>494</v>
      </c>
      <c r="C204" s="26">
        <v>1</v>
      </c>
      <c r="D204" s="27" t="s">
        <v>21</v>
      </c>
      <c r="E204" s="26">
        <v>8779.4</v>
      </c>
      <c r="F204" s="28" t="s">
        <v>22</v>
      </c>
      <c r="G204" s="26">
        <f>ROUND(C204*E204,0)</f>
        <v>8779</v>
      </c>
    </row>
    <row r="205" spans="1:8" ht="30" x14ac:dyDescent="0.25">
      <c r="A205" s="21" t="s">
        <v>495</v>
      </c>
      <c r="B205" s="25" t="s">
        <v>497</v>
      </c>
      <c r="C205" s="26"/>
      <c r="D205" s="27"/>
      <c r="E205" s="26"/>
      <c r="F205" s="28"/>
      <c r="G205" s="26"/>
      <c r="H205" t="s">
        <v>496</v>
      </c>
    </row>
    <row r="206" spans="1:8" ht="45" x14ac:dyDescent="0.25">
      <c r="A206" s="21"/>
      <c r="B206" s="25" t="s">
        <v>498</v>
      </c>
      <c r="C206" s="26">
        <v>1</v>
      </c>
      <c r="D206" s="27" t="s">
        <v>21</v>
      </c>
      <c r="E206" s="26">
        <v>9005.85</v>
      </c>
      <c r="F206" s="28" t="s">
        <v>22</v>
      </c>
      <c r="G206" s="26">
        <f>ROUND(C206*E206,0)</f>
        <v>9006</v>
      </c>
    </row>
    <row r="207" spans="1:8" ht="30" x14ac:dyDescent="0.25">
      <c r="A207" s="21" t="s">
        <v>499</v>
      </c>
      <c r="B207" s="25" t="s">
        <v>501</v>
      </c>
      <c r="C207" s="26"/>
      <c r="D207" s="27"/>
      <c r="E207" s="26"/>
      <c r="F207" s="28"/>
      <c r="G207" s="26"/>
      <c r="H207" t="s">
        <v>500</v>
      </c>
    </row>
    <row r="208" spans="1:8" ht="45" x14ac:dyDescent="0.25">
      <c r="A208" s="21"/>
      <c r="B208" s="25" t="s">
        <v>494</v>
      </c>
      <c r="C208" s="26">
        <v>1</v>
      </c>
      <c r="D208" s="27" t="s">
        <v>21</v>
      </c>
      <c r="E208" s="26">
        <v>9232.2999999999993</v>
      </c>
      <c r="F208" s="28" t="s">
        <v>22</v>
      </c>
      <c r="G208" s="26">
        <f>ROUND(C208*E208,0)</f>
        <v>9232</v>
      </c>
    </row>
    <row r="209" spans="1:8" x14ac:dyDescent="0.25">
      <c r="A209" s="21" t="s">
        <v>502</v>
      </c>
      <c r="B209" s="25" t="s">
        <v>503</v>
      </c>
      <c r="C209" s="26"/>
      <c r="D209" s="27"/>
      <c r="E209" s="26"/>
      <c r="F209" s="28"/>
      <c r="G209" s="26"/>
      <c r="H209" t="s">
        <v>503</v>
      </c>
    </row>
    <row r="210" spans="1:8" ht="30" x14ac:dyDescent="0.25">
      <c r="A210" s="21" t="s">
        <v>504</v>
      </c>
      <c r="B210" s="25" t="s">
        <v>490</v>
      </c>
      <c r="C210" s="26"/>
      <c r="D210" s="27"/>
      <c r="E210" s="26"/>
      <c r="F210" s="28"/>
      <c r="G210" s="26"/>
      <c r="H210" t="s">
        <v>489</v>
      </c>
    </row>
    <row r="211" spans="1:8" ht="45" x14ac:dyDescent="0.25">
      <c r="A211" s="21"/>
      <c r="B211" s="25" t="s">
        <v>491</v>
      </c>
      <c r="C211" s="26">
        <v>1</v>
      </c>
      <c r="D211" s="27" t="s">
        <v>21</v>
      </c>
      <c r="E211" s="26">
        <v>8291.75</v>
      </c>
      <c r="F211" s="28" t="s">
        <v>22</v>
      </c>
      <c r="G211" s="26">
        <f>ROUND(C211*E211,0)</f>
        <v>8292</v>
      </c>
    </row>
    <row r="212" spans="1:8" ht="30" x14ac:dyDescent="0.25">
      <c r="A212" s="21" t="s">
        <v>505</v>
      </c>
      <c r="B212" s="25" t="s">
        <v>506</v>
      </c>
      <c r="C212" s="26"/>
      <c r="D212" s="27"/>
      <c r="E212" s="26"/>
      <c r="F212" s="28"/>
      <c r="G212" s="26"/>
      <c r="H212" t="s">
        <v>493</v>
      </c>
    </row>
    <row r="213" spans="1:8" ht="45" x14ac:dyDescent="0.25">
      <c r="A213" s="21"/>
      <c r="B213" s="25" t="s">
        <v>494</v>
      </c>
      <c r="C213" s="26">
        <v>1</v>
      </c>
      <c r="D213" s="27" t="s">
        <v>21</v>
      </c>
      <c r="E213" s="26">
        <v>9135.0499999999993</v>
      </c>
      <c r="F213" s="28" t="s">
        <v>22</v>
      </c>
      <c r="G213" s="26">
        <f>ROUND(C213*E213,0)</f>
        <v>9135</v>
      </c>
    </row>
    <row r="214" spans="1:8" ht="30" x14ac:dyDescent="0.25">
      <c r="A214" s="21" t="s">
        <v>507</v>
      </c>
      <c r="B214" s="25" t="s">
        <v>497</v>
      </c>
      <c r="C214" s="26"/>
      <c r="D214" s="27"/>
      <c r="E214" s="26"/>
      <c r="F214" s="28"/>
      <c r="G214" s="26"/>
      <c r="H214" t="s">
        <v>496</v>
      </c>
    </row>
    <row r="215" spans="1:8" ht="45" x14ac:dyDescent="0.25">
      <c r="A215" s="21"/>
      <c r="B215" s="25" t="s">
        <v>494</v>
      </c>
      <c r="C215" s="26">
        <v>1</v>
      </c>
      <c r="D215" s="27" t="s">
        <v>21</v>
      </c>
      <c r="E215" s="26">
        <v>9361.5</v>
      </c>
      <c r="F215" s="28" t="s">
        <v>22</v>
      </c>
      <c r="G215" s="26">
        <f>ROUND(C215*E215,0)</f>
        <v>9362</v>
      </c>
    </row>
    <row r="216" spans="1:8" ht="30" x14ac:dyDescent="0.25">
      <c r="A216" s="21" t="s">
        <v>508</v>
      </c>
      <c r="B216" s="25" t="s">
        <v>501</v>
      </c>
      <c r="C216" s="26">
        <v>1</v>
      </c>
      <c r="D216" s="27" t="s">
        <v>21</v>
      </c>
      <c r="E216" s="26">
        <v>9587.9500000000007</v>
      </c>
      <c r="F216" s="28" t="s">
        <v>22</v>
      </c>
      <c r="G216" s="26">
        <f>ROUND(C216*E216,0)</f>
        <v>9588</v>
      </c>
      <c r="H216" t="s">
        <v>500</v>
      </c>
    </row>
    <row r="217" spans="1:8" x14ac:dyDescent="0.25">
      <c r="A217" s="21"/>
      <c r="B217" s="45" t="s">
        <v>509</v>
      </c>
      <c r="C217" s="45"/>
      <c r="D217" s="45"/>
      <c r="E217" s="45"/>
      <c r="F217" s="45"/>
      <c r="G217" s="29">
        <f>SUM(G121:G216)</f>
        <v>480106</v>
      </c>
    </row>
    <row r="218" spans="1:8" x14ac:dyDescent="0.25">
      <c r="A218" s="46" t="s">
        <v>510</v>
      </c>
      <c r="B218" s="47"/>
      <c r="C218" s="47"/>
      <c r="D218" s="47"/>
      <c r="E218" s="47"/>
      <c r="F218" s="47"/>
      <c r="G218" s="47"/>
    </row>
    <row r="219" spans="1:8" ht="60" x14ac:dyDescent="0.25">
      <c r="A219" s="21" t="s">
        <v>511</v>
      </c>
      <c r="B219" s="25" t="s">
        <v>513</v>
      </c>
      <c r="C219" s="26"/>
      <c r="D219" s="27"/>
      <c r="E219" s="26"/>
      <c r="F219" s="28"/>
      <c r="G219" s="26"/>
      <c r="H219" t="s">
        <v>512</v>
      </c>
    </row>
    <row r="220" spans="1:8" ht="60" x14ac:dyDescent="0.25">
      <c r="A220" s="21" t="s">
        <v>514</v>
      </c>
      <c r="B220" s="25" t="s">
        <v>516</v>
      </c>
      <c r="C220" s="26">
        <v>1</v>
      </c>
      <c r="D220" s="27" t="s">
        <v>21</v>
      </c>
      <c r="E220" s="26">
        <v>9045.75</v>
      </c>
      <c r="F220" s="28" t="s">
        <v>22</v>
      </c>
      <c r="G220" s="26">
        <f>ROUND(C220*E220,0)</f>
        <v>9046</v>
      </c>
      <c r="H220" t="s">
        <v>515</v>
      </c>
    </row>
    <row r="221" spans="1:8" ht="75" x14ac:dyDescent="0.25">
      <c r="A221" s="21" t="s">
        <v>517</v>
      </c>
      <c r="B221" s="25" t="s">
        <v>519</v>
      </c>
      <c r="C221" s="26">
        <v>1</v>
      </c>
      <c r="D221" s="27" t="s">
        <v>21</v>
      </c>
      <c r="E221" s="26">
        <v>8874.9500000000007</v>
      </c>
      <c r="F221" s="28" t="s">
        <v>22</v>
      </c>
      <c r="G221" s="26">
        <f>ROUND(C221*E221,0)</f>
        <v>8875</v>
      </c>
      <c r="H221" t="s">
        <v>518</v>
      </c>
    </row>
    <row r="222" spans="1:8" ht="60" x14ac:dyDescent="0.25">
      <c r="A222" s="21" t="s">
        <v>520</v>
      </c>
      <c r="B222" s="25" t="s">
        <v>522</v>
      </c>
      <c r="C222" s="26">
        <v>1</v>
      </c>
      <c r="D222" s="27" t="s">
        <v>21</v>
      </c>
      <c r="E222" s="26">
        <v>8583.4</v>
      </c>
      <c r="F222" s="28" t="s">
        <v>22</v>
      </c>
      <c r="G222" s="26">
        <f>ROUND(C222*E222,0)</f>
        <v>8583</v>
      </c>
      <c r="H222" t="s">
        <v>521</v>
      </c>
    </row>
    <row r="223" spans="1:8" ht="75" x14ac:dyDescent="0.25">
      <c r="A223" s="21" t="s">
        <v>523</v>
      </c>
      <c r="B223" s="25" t="s">
        <v>525</v>
      </c>
      <c r="C223" s="26">
        <v>1</v>
      </c>
      <c r="D223" s="27" t="s">
        <v>21</v>
      </c>
      <c r="E223" s="26">
        <v>8404.0499999999993</v>
      </c>
      <c r="F223" s="28" t="s">
        <v>22</v>
      </c>
      <c r="G223" s="26">
        <f>ROUND(C223*E223,0)</f>
        <v>8404</v>
      </c>
      <c r="H223" t="s">
        <v>524</v>
      </c>
    </row>
    <row r="224" spans="1:8" ht="105" x14ac:dyDescent="0.25">
      <c r="A224" s="21" t="s">
        <v>526</v>
      </c>
      <c r="B224" s="25" t="s">
        <v>528</v>
      </c>
      <c r="C224" s="26"/>
      <c r="D224" s="27"/>
      <c r="E224" s="26"/>
      <c r="F224" s="28"/>
      <c r="G224" s="26"/>
      <c r="H224" t="s">
        <v>527</v>
      </c>
    </row>
    <row r="225" spans="1:8" ht="60" x14ac:dyDescent="0.25">
      <c r="A225" s="21" t="s">
        <v>529</v>
      </c>
      <c r="B225" s="25" t="s">
        <v>531</v>
      </c>
      <c r="C225" s="26">
        <v>1</v>
      </c>
      <c r="D225" s="27" t="s">
        <v>21</v>
      </c>
      <c r="E225" s="26">
        <v>10852.95</v>
      </c>
      <c r="F225" s="28" t="s">
        <v>22</v>
      </c>
      <c r="G225" s="26">
        <f t="shared" ref="G225:G238" si="5">ROUND(C225*E225,0)</f>
        <v>10853</v>
      </c>
      <c r="H225" t="s">
        <v>530</v>
      </c>
    </row>
    <row r="226" spans="1:8" ht="75" x14ac:dyDescent="0.25">
      <c r="A226" s="21" t="s">
        <v>532</v>
      </c>
      <c r="B226" s="25" t="s">
        <v>534</v>
      </c>
      <c r="C226" s="26">
        <v>1</v>
      </c>
      <c r="D226" s="27" t="s">
        <v>21</v>
      </c>
      <c r="E226" s="26">
        <v>10682.15</v>
      </c>
      <c r="F226" s="28" t="s">
        <v>22</v>
      </c>
      <c r="G226" s="26">
        <f t="shared" si="5"/>
        <v>10682</v>
      </c>
      <c r="H226" t="s">
        <v>533</v>
      </c>
    </row>
    <row r="227" spans="1:8" ht="150" x14ac:dyDescent="0.25">
      <c r="A227" s="21" t="s">
        <v>535</v>
      </c>
      <c r="B227" s="25" t="s">
        <v>537</v>
      </c>
      <c r="C227" s="26">
        <v>1</v>
      </c>
      <c r="D227" s="27" t="s">
        <v>21</v>
      </c>
      <c r="E227" s="26">
        <v>11505.5</v>
      </c>
      <c r="F227" s="28" t="s">
        <v>22</v>
      </c>
      <c r="G227" s="26">
        <f t="shared" si="5"/>
        <v>11506</v>
      </c>
      <c r="H227" t="s">
        <v>536</v>
      </c>
    </row>
    <row r="228" spans="1:8" ht="180" x14ac:dyDescent="0.25">
      <c r="A228" s="21" t="s">
        <v>538</v>
      </c>
      <c r="B228" s="25" t="s">
        <v>540</v>
      </c>
      <c r="C228" s="26">
        <v>1</v>
      </c>
      <c r="D228" s="27" t="s">
        <v>21</v>
      </c>
      <c r="E228" s="26">
        <v>11334.7</v>
      </c>
      <c r="F228" s="28" t="s">
        <v>22</v>
      </c>
      <c r="G228" s="26">
        <f t="shared" si="5"/>
        <v>11335</v>
      </c>
      <c r="H228" t="s">
        <v>539</v>
      </c>
    </row>
    <row r="229" spans="1:8" ht="105" x14ac:dyDescent="0.25">
      <c r="A229" s="21" t="s">
        <v>541</v>
      </c>
      <c r="B229" s="25" t="s">
        <v>543</v>
      </c>
      <c r="C229" s="26">
        <v>1</v>
      </c>
      <c r="D229" s="27" t="s">
        <v>21</v>
      </c>
      <c r="E229" s="26">
        <v>8821.65</v>
      </c>
      <c r="F229" s="28" t="s">
        <v>22</v>
      </c>
      <c r="G229" s="26">
        <f t="shared" si="5"/>
        <v>8822</v>
      </c>
      <c r="H229" t="s">
        <v>542</v>
      </c>
    </row>
    <row r="230" spans="1:8" ht="135" x14ac:dyDescent="0.25">
      <c r="A230" s="21" t="s">
        <v>544</v>
      </c>
      <c r="B230" s="25" t="s">
        <v>546</v>
      </c>
      <c r="C230" s="26">
        <v>1</v>
      </c>
      <c r="D230" s="27" t="s">
        <v>21</v>
      </c>
      <c r="E230" s="26">
        <v>8650.85</v>
      </c>
      <c r="F230" s="28" t="s">
        <v>22</v>
      </c>
      <c r="G230" s="26">
        <f t="shared" si="5"/>
        <v>8651</v>
      </c>
      <c r="H230" t="s">
        <v>545</v>
      </c>
    </row>
    <row r="231" spans="1:8" ht="120" x14ac:dyDescent="0.25">
      <c r="A231" s="21" t="s">
        <v>547</v>
      </c>
      <c r="B231" s="25" t="s">
        <v>549</v>
      </c>
      <c r="C231" s="26">
        <v>1</v>
      </c>
      <c r="D231" s="27" t="s">
        <v>21</v>
      </c>
      <c r="E231" s="26">
        <v>12205.85</v>
      </c>
      <c r="F231" s="28" t="s">
        <v>22</v>
      </c>
      <c r="G231" s="26">
        <f t="shared" si="5"/>
        <v>12206</v>
      </c>
      <c r="H231" t="s">
        <v>548</v>
      </c>
    </row>
    <row r="232" spans="1:8" ht="150" x14ac:dyDescent="0.25">
      <c r="A232" s="21" t="s">
        <v>550</v>
      </c>
      <c r="B232" s="25" t="s">
        <v>552</v>
      </c>
      <c r="C232" s="26">
        <v>1</v>
      </c>
      <c r="D232" s="27" t="s">
        <v>21</v>
      </c>
      <c r="E232" s="26">
        <v>12035</v>
      </c>
      <c r="F232" s="28" t="s">
        <v>22</v>
      </c>
      <c r="G232" s="26">
        <f t="shared" si="5"/>
        <v>12035</v>
      </c>
      <c r="H232" t="s">
        <v>551</v>
      </c>
    </row>
    <row r="233" spans="1:8" ht="105" x14ac:dyDescent="0.25">
      <c r="A233" s="21" t="s">
        <v>553</v>
      </c>
      <c r="B233" s="25" t="s">
        <v>555</v>
      </c>
      <c r="C233" s="26">
        <v>1</v>
      </c>
      <c r="D233" s="27" t="s">
        <v>21</v>
      </c>
      <c r="E233" s="26">
        <v>11125.2</v>
      </c>
      <c r="F233" s="28" t="s">
        <v>22</v>
      </c>
      <c r="G233" s="26">
        <f t="shared" si="5"/>
        <v>11125</v>
      </c>
      <c r="H233" t="s">
        <v>554</v>
      </c>
    </row>
    <row r="234" spans="1:8" ht="135" x14ac:dyDescent="0.25">
      <c r="A234" s="21" t="s">
        <v>556</v>
      </c>
      <c r="B234" s="25" t="s">
        <v>558</v>
      </c>
      <c r="C234" s="26">
        <v>1</v>
      </c>
      <c r="D234" s="27" t="s">
        <v>21</v>
      </c>
      <c r="E234" s="26">
        <v>10954.4</v>
      </c>
      <c r="F234" s="28" t="s">
        <v>22</v>
      </c>
      <c r="G234" s="26">
        <f t="shared" si="5"/>
        <v>10954</v>
      </c>
      <c r="H234" t="s">
        <v>557</v>
      </c>
    </row>
    <row r="235" spans="1:8" ht="105" x14ac:dyDescent="0.25">
      <c r="A235" s="21" t="s">
        <v>559</v>
      </c>
      <c r="B235" s="25" t="s">
        <v>561</v>
      </c>
      <c r="C235" s="26">
        <v>1</v>
      </c>
      <c r="D235" s="27" t="s">
        <v>21</v>
      </c>
      <c r="E235" s="26">
        <v>8424.6</v>
      </c>
      <c r="F235" s="28" t="s">
        <v>22</v>
      </c>
      <c r="G235" s="26">
        <f t="shared" si="5"/>
        <v>8425</v>
      </c>
      <c r="H235" t="s">
        <v>560</v>
      </c>
    </row>
    <row r="236" spans="1:8" ht="120" x14ac:dyDescent="0.25">
      <c r="A236" s="21" t="s">
        <v>562</v>
      </c>
      <c r="B236" s="25" t="s">
        <v>564</v>
      </c>
      <c r="C236" s="26">
        <v>1</v>
      </c>
      <c r="D236" s="27" t="s">
        <v>21</v>
      </c>
      <c r="E236" s="26">
        <v>8253.7999999999993</v>
      </c>
      <c r="F236" s="28" t="s">
        <v>22</v>
      </c>
      <c r="G236" s="26">
        <f t="shared" si="5"/>
        <v>8254</v>
      </c>
      <c r="H236" t="s">
        <v>563</v>
      </c>
    </row>
    <row r="237" spans="1:8" ht="135" x14ac:dyDescent="0.25">
      <c r="A237" s="21" t="s">
        <v>565</v>
      </c>
      <c r="B237" s="25" t="s">
        <v>567</v>
      </c>
      <c r="C237" s="26">
        <v>1</v>
      </c>
      <c r="D237" s="27" t="s">
        <v>21</v>
      </c>
      <c r="E237" s="26">
        <v>11454.35</v>
      </c>
      <c r="F237" s="28" t="s">
        <v>22</v>
      </c>
      <c r="G237" s="26">
        <f t="shared" si="5"/>
        <v>11454</v>
      </c>
      <c r="H237" t="s">
        <v>566</v>
      </c>
    </row>
    <row r="238" spans="1:8" ht="165" x14ac:dyDescent="0.25">
      <c r="A238" s="21" t="s">
        <v>568</v>
      </c>
      <c r="B238" s="25" t="s">
        <v>570</v>
      </c>
      <c r="C238" s="26">
        <v>1</v>
      </c>
      <c r="D238" s="27" t="s">
        <v>21</v>
      </c>
      <c r="E238" s="26">
        <v>11283.55</v>
      </c>
      <c r="F238" s="28" t="s">
        <v>22</v>
      </c>
      <c r="G238" s="26">
        <f t="shared" si="5"/>
        <v>11284</v>
      </c>
      <c r="H238" t="s">
        <v>569</v>
      </c>
    </row>
    <row r="239" spans="1:8" ht="30" x14ac:dyDescent="0.25">
      <c r="A239" s="21" t="s">
        <v>571</v>
      </c>
      <c r="B239" s="25" t="s">
        <v>573</v>
      </c>
      <c r="C239" s="26"/>
      <c r="D239" s="27"/>
      <c r="E239" s="26"/>
      <c r="F239" s="28"/>
      <c r="G239" s="26"/>
      <c r="H239" t="s">
        <v>572</v>
      </c>
    </row>
    <row r="240" spans="1:8" ht="30" x14ac:dyDescent="0.25">
      <c r="A240" s="21" t="s">
        <v>574</v>
      </c>
      <c r="B240" s="25" t="s">
        <v>576</v>
      </c>
      <c r="C240" s="26">
        <v>1</v>
      </c>
      <c r="D240" s="27" t="s">
        <v>15</v>
      </c>
      <c r="E240" s="26">
        <v>392.15</v>
      </c>
      <c r="F240" s="28" t="s">
        <v>16</v>
      </c>
      <c r="G240" s="26">
        <f t="shared" ref="G240:G253" si="6">ROUND(C240*E240,0)</f>
        <v>392</v>
      </c>
      <c r="H240" t="s">
        <v>575</v>
      </c>
    </row>
    <row r="241" spans="1:8" ht="45" x14ac:dyDescent="0.25">
      <c r="A241" s="21" t="s">
        <v>577</v>
      </c>
      <c r="B241" s="25" t="s">
        <v>579</v>
      </c>
      <c r="C241" s="26">
        <v>1</v>
      </c>
      <c r="D241" s="27" t="s">
        <v>15</v>
      </c>
      <c r="E241" s="26">
        <v>842.5</v>
      </c>
      <c r="F241" s="28" t="s">
        <v>16</v>
      </c>
      <c r="G241" s="26">
        <f t="shared" si="6"/>
        <v>843</v>
      </c>
      <c r="H241" t="s">
        <v>578</v>
      </c>
    </row>
    <row r="242" spans="1:8" ht="30" x14ac:dyDescent="0.25">
      <c r="A242" s="21" t="s">
        <v>580</v>
      </c>
      <c r="B242" s="25" t="s">
        <v>582</v>
      </c>
      <c r="C242" s="26">
        <v>1</v>
      </c>
      <c r="D242" s="27" t="s">
        <v>15</v>
      </c>
      <c r="E242" s="26">
        <v>927.25</v>
      </c>
      <c r="F242" s="28" t="s">
        <v>16</v>
      </c>
      <c r="G242" s="26">
        <f t="shared" si="6"/>
        <v>927</v>
      </c>
      <c r="H242" t="s">
        <v>581</v>
      </c>
    </row>
    <row r="243" spans="1:8" ht="30" x14ac:dyDescent="0.25">
      <c r="A243" s="21" t="s">
        <v>583</v>
      </c>
      <c r="B243" s="25" t="s">
        <v>584</v>
      </c>
      <c r="C243" s="26">
        <v>1</v>
      </c>
      <c r="D243" s="27" t="s">
        <v>15</v>
      </c>
      <c r="E243" s="26">
        <v>927.25</v>
      </c>
      <c r="F243" s="28" t="s">
        <v>16</v>
      </c>
      <c r="G243" s="26">
        <f t="shared" si="6"/>
        <v>927</v>
      </c>
      <c r="H243" t="s">
        <v>584</v>
      </c>
    </row>
    <row r="244" spans="1:8" ht="30" x14ac:dyDescent="0.25">
      <c r="A244" s="21" t="s">
        <v>585</v>
      </c>
      <c r="B244" s="25" t="s">
        <v>587</v>
      </c>
      <c r="C244" s="26">
        <v>1</v>
      </c>
      <c r="D244" s="27" t="s">
        <v>15</v>
      </c>
      <c r="E244" s="26">
        <v>736.4</v>
      </c>
      <c r="F244" s="28" t="s">
        <v>16</v>
      </c>
      <c r="G244" s="26">
        <f t="shared" si="6"/>
        <v>736</v>
      </c>
      <c r="H244" t="s">
        <v>586</v>
      </c>
    </row>
    <row r="245" spans="1:8" ht="30" x14ac:dyDescent="0.25">
      <c r="A245" s="21" t="s">
        <v>588</v>
      </c>
      <c r="B245" s="25" t="s">
        <v>589</v>
      </c>
      <c r="C245" s="26">
        <v>1</v>
      </c>
      <c r="D245" s="27" t="s">
        <v>15</v>
      </c>
      <c r="E245" s="26">
        <v>961.3</v>
      </c>
      <c r="F245" s="28" t="s">
        <v>16</v>
      </c>
      <c r="G245" s="26">
        <f t="shared" si="6"/>
        <v>961</v>
      </c>
      <c r="H245" t="s">
        <v>365</v>
      </c>
    </row>
    <row r="246" spans="1:8" ht="30" x14ac:dyDescent="0.25">
      <c r="A246" s="21" t="s">
        <v>590</v>
      </c>
      <c r="B246" s="25" t="s">
        <v>592</v>
      </c>
      <c r="C246" s="26">
        <v>1</v>
      </c>
      <c r="D246" s="27" t="s">
        <v>15</v>
      </c>
      <c r="E246" s="26">
        <v>764.95</v>
      </c>
      <c r="F246" s="28" t="s">
        <v>16</v>
      </c>
      <c r="G246" s="26">
        <f t="shared" si="6"/>
        <v>765</v>
      </c>
      <c r="H246" t="s">
        <v>591</v>
      </c>
    </row>
    <row r="247" spans="1:8" ht="30" x14ac:dyDescent="0.25">
      <c r="A247" s="21" t="s">
        <v>593</v>
      </c>
      <c r="B247" s="25" t="s">
        <v>595</v>
      </c>
      <c r="C247" s="26">
        <v>1</v>
      </c>
      <c r="D247" s="27" t="s">
        <v>15</v>
      </c>
      <c r="E247" s="26">
        <v>798.35</v>
      </c>
      <c r="F247" s="28" t="s">
        <v>16</v>
      </c>
      <c r="G247" s="26">
        <f t="shared" si="6"/>
        <v>798</v>
      </c>
      <c r="H247" t="s">
        <v>594</v>
      </c>
    </row>
    <row r="248" spans="1:8" ht="30" x14ac:dyDescent="0.25">
      <c r="A248" s="21" t="s">
        <v>596</v>
      </c>
      <c r="B248" s="25" t="s">
        <v>598</v>
      </c>
      <c r="C248" s="26">
        <v>1</v>
      </c>
      <c r="D248" s="27" t="s">
        <v>15</v>
      </c>
      <c r="E248" s="26">
        <v>2154.35</v>
      </c>
      <c r="F248" s="28" t="s">
        <v>16</v>
      </c>
      <c r="G248" s="26">
        <f t="shared" si="6"/>
        <v>2154</v>
      </c>
      <c r="H248" t="s">
        <v>597</v>
      </c>
    </row>
    <row r="249" spans="1:8" ht="30" x14ac:dyDescent="0.25">
      <c r="A249" s="21" t="s">
        <v>599</v>
      </c>
      <c r="B249" s="25" t="s">
        <v>601</v>
      </c>
      <c r="C249" s="26">
        <v>1</v>
      </c>
      <c r="D249" s="27" t="s">
        <v>15</v>
      </c>
      <c r="E249" s="26">
        <v>608.15</v>
      </c>
      <c r="F249" s="28" t="s">
        <v>16</v>
      </c>
      <c r="G249" s="26">
        <f t="shared" si="6"/>
        <v>608</v>
      </c>
      <c r="H249" t="s">
        <v>600</v>
      </c>
    </row>
    <row r="250" spans="1:8" ht="30" x14ac:dyDescent="0.25">
      <c r="A250" s="21" t="s">
        <v>602</v>
      </c>
      <c r="B250" s="25" t="s">
        <v>604</v>
      </c>
      <c r="C250" s="26">
        <v>1</v>
      </c>
      <c r="D250" s="27" t="s">
        <v>15</v>
      </c>
      <c r="E250" s="26">
        <v>803.25</v>
      </c>
      <c r="F250" s="28" t="s">
        <v>16</v>
      </c>
      <c r="G250" s="26">
        <f t="shared" si="6"/>
        <v>803</v>
      </c>
      <c r="H250" t="s">
        <v>603</v>
      </c>
    </row>
    <row r="251" spans="1:8" ht="30" x14ac:dyDescent="0.25">
      <c r="A251" s="21" t="s">
        <v>605</v>
      </c>
      <c r="B251" s="25" t="s">
        <v>607</v>
      </c>
      <c r="C251" s="26">
        <v>1</v>
      </c>
      <c r="D251" s="27" t="s">
        <v>15</v>
      </c>
      <c r="E251" s="26">
        <v>263.64999999999998</v>
      </c>
      <c r="F251" s="28" t="s">
        <v>16</v>
      </c>
      <c r="G251" s="26">
        <f t="shared" si="6"/>
        <v>264</v>
      </c>
      <c r="H251" t="s">
        <v>606</v>
      </c>
    </row>
    <row r="252" spans="1:8" ht="45" x14ac:dyDescent="0.25">
      <c r="A252" s="21" t="s">
        <v>608</v>
      </c>
      <c r="B252" s="25" t="s">
        <v>610</v>
      </c>
      <c r="C252" s="26">
        <v>1</v>
      </c>
      <c r="D252" s="27" t="s">
        <v>15</v>
      </c>
      <c r="E252" s="26">
        <v>1296.7</v>
      </c>
      <c r="F252" s="28" t="s">
        <v>16</v>
      </c>
      <c r="G252" s="26">
        <f t="shared" si="6"/>
        <v>1297</v>
      </c>
      <c r="H252" t="s">
        <v>609</v>
      </c>
    </row>
    <row r="253" spans="1:8" ht="60" x14ac:dyDescent="0.25">
      <c r="A253" s="21" t="s">
        <v>611</v>
      </c>
      <c r="B253" s="25" t="s">
        <v>613</v>
      </c>
      <c r="C253" s="26">
        <v>1</v>
      </c>
      <c r="D253" s="27" t="s">
        <v>15</v>
      </c>
      <c r="E253" s="26">
        <v>392.15</v>
      </c>
      <c r="F253" s="28" t="s">
        <v>16</v>
      </c>
      <c r="G253" s="26">
        <f t="shared" si="6"/>
        <v>392</v>
      </c>
      <c r="H253" t="s">
        <v>612</v>
      </c>
    </row>
    <row r="254" spans="1:8" x14ac:dyDescent="0.25">
      <c r="A254" s="21" t="s">
        <v>614</v>
      </c>
      <c r="B254" s="25" t="s">
        <v>615</v>
      </c>
      <c r="C254" s="26"/>
      <c r="D254" s="27"/>
      <c r="E254" s="26"/>
      <c r="F254" s="28"/>
      <c r="G254" s="26"/>
      <c r="H254" t="s">
        <v>615</v>
      </c>
    </row>
    <row r="255" spans="1:8" ht="45" x14ac:dyDescent="0.25">
      <c r="A255" s="21" t="s">
        <v>616</v>
      </c>
      <c r="B255" s="25" t="s">
        <v>617</v>
      </c>
      <c r="C255" s="26">
        <v>1</v>
      </c>
      <c r="D255" s="27" t="s">
        <v>67</v>
      </c>
      <c r="E255" s="26">
        <v>208.55</v>
      </c>
      <c r="F255" s="28" t="s">
        <v>618</v>
      </c>
      <c r="G255" s="26">
        <f t="shared" ref="G255:G261" si="7">ROUND(C255*E255,0)</f>
        <v>209</v>
      </c>
      <c r="H255" t="s">
        <v>617</v>
      </c>
    </row>
    <row r="256" spans="1:8" ht="30" x14ac:dyDescent="0.25">
      <c r="A256" s="21" t="s">
        <v>619</v>
      </c>
      <c r="B256" s="25" t="s">
        <v>620</v>
      </c>
      <c r="C256" s="26">
        <v>1</v>
      </c>
      <c r="D256" s="27" t="s">
        <v>15</v>
      </c>
      <c r="E256" s="26">
        <v>879.05</v>
      </c>
      <c r="F256" s="28" t="s">
        <v>16</v>
      </c>
      <c r="G256" s="26">
        <f t="shared" si="7"/>
        <v>879</v>
      </c>
      <c r="H256" t="s">
        <v>620</v>
      </c>
    </row>
    <row r="257" spans="1:8" ht="30" x14ac:dyDescent="0.25">
      <c r="A257" s="21" t="s">
        <v>621</v>
      </c>
      <c r="B257" s="25" t="s">
        <v>622</v>
      </c>
      <c r="C257" s="26">
        <v>1</v>
      </c>
      <c r="D257" s="27" t="s">
        <v>15</v>
      </c>
      <c r="E257" s="26">
        <v>856.8</v>
      </c>
      <c r="F257" s="28" t="s">
        <v>16</v>
      </c>
      <c r="G257" s="26">
        <f t="shared" si="7"/>
        <v>857</v>
      </c>
      <c r="H257" t="s">
        <v>622</v>
      </c>
    </row>
    <row r="258" spans="1:8" ht="45" x14ac:dyDescent="0.25">
      <c r="A258" s="21" t="s">
        <v>623</v>
      </c>
      <c r="B258" s="25" t="s">
        <v>625</v>
      </c>
      <c r="C258" s="26">
        <v>1</v>
      </c>
      <c r="D258" s="27" t="s">
        <v>15</v>
      </c>
      <c r="E258" s="26">
        <v>964.85</v>
      </c>
      <c r="F258" s="28" t="s">
        <v>16</v>
      </c>
      <c r="G258" s="26">
        <f t="shared" si="7"/>
        <v>965</v>
      </c>
      <c r="H258" t="s">
        <v>624</v>
      </c>
    </row>
    <row r="259" spans="1:8" ht="30" x14ac:dyDescent="0.25">
      <c r="A259" s="21" t="s">
        <v>626</v>
      </c>
      <c r="B259" s="25" t="s">
        <v>628</v>
      </c>
      <c r="C259" s="26">
        <v>1</v>
      </c>
      <c r="D259" s="27" t="s">
        <v>15</v>
      </c>
      <c r="E259" s="26">
        <v>951.1</v>
      </c>
      <c r="F259" s="28" t="s">
        <v>16</v>
      </c>
      <c r="G259" s="26">
        <f t="shared" si="7"/>
        <v>951</v>
      </c>
      <c r="H259" t="s">
        <v>627</v>
      </c>
    </row>
    <row r="260" spans="1:8" ht="30" x14ac:dyDescent="0.25">
      <c r="A260" s="21" t="s">
        <v>629</v>
      </c>
      <c r="B260" s="25" t="s">
        <v>631</v>
      </c>
      <c r="C260" s="26">
        <v>1</v>
      </c>
      <c r="D260" s="27" t="s">
        <v>15</v>
      </c>
      <c r="E260" s="26">
        <v>1028.4000000000001</v>
      </c>
      <c r="F260" s="28" t="s">
        <v>16</v>
      </c>
      <c r="G260" s="26">
        <f t="shared" si="7"/>
        <v>1028</v>
      </c>
      <c r="H260" t="s">
        <v>630</v>
      </c>
    </row>
    <row r="261" spans="1:8" ht="45" x14ac:dyDescent="0.25">
      <c r="A261" s="21" t="s">
        <v>632</v>
      </c>
      <c r="B261" s="25" t="s">
        <v>634</v>
      </c>
      <c r="C261" s="26">
        <v>1</v>
      </c>
      <c r="D261" s="27" t="s">
        <v>15</v>
      </c>
      <c r="E261" s="26">
        <v>841.95</v>
      </c>
      <c r="F261" s="28" t="s">
        <v>16</v>
      </c>
      <c r="G261" s="26">
        <f t="shared" si="7"/>
        <v>842</v>
      </c>
      <c r="H261" t="s">
        <v>633</v>
      </c>
    </row>
    <row r="262" spans="1:8" ht="45" x14ac:dyDescent="0.25">
      <c r="A262" s="21" t="s">
        <v>635</v>
      </c>
      <c r="B262" s="25" t="s">
        <v>636</v>
      </c>
      <c r="C262" s="26"/>
      <c r="D262" s="27"/>
      <c r="E262" s="26"/>
      <c r="F262" s="28"/>
      <c r="G262" s="26"/>
      <c r="H262" t="s">
        <v>636</v>
      </c>
    </row>
    <row r="263" spans="1:8" x14ac:dyDescent="0.25">
      <c r="A263" s="21" t="s">
        <v>637</v>
      </c>
      <c r="B263" s="25" t="s">
        <v>638</v>
      </c>
      <c r="C263" s="26">
        <v>1</v>
      </c>
      <c r="D263" s="27" t="s">
        <v>639</v>
      </c>
      <c r="E263" s="26">
        <v>156.05000000000001</v>
      </c>
      <c r="F263" s="28" t="s">
        <v>640</v>
      </c>
      <c r="G263" s="26">
        <f>ROUND(C263*E263,0)</f>
        <v>156</v>
      </c>
      <c r="H263" t="s">
        <v>638</v>
      </c>
    </row>
    <row r="264" spans="1:8" x14ac:dyDescent="0.25">
      <c r="A264" s="21" t="s">
        <v>641</v>
      </c>
      <c r="B264" s="25" t="s">
        <v>643</v>
      </c>
      <c r="C264" s="26">
        <v>1</v>
      </c>
      <c r="D264" s="27" t="s">
        <v>639</v>
      </c>
      <c r="E264" s="26">
        <v>170.25</v>
      </c>
      <c r="F264" s="28" t="s">
        <v>640</v>
      </c>
      <c r="G264" s="26">
        <f>ROUND(C264*E264,0)</f>
        <v>170</v>
      </c>
      <c r="H264" t="s">
        <v>642</v>
      </c>
    </row>
    <row r="265" spans="1:8" x14ac:dyDescent="0.25">
      <c r="A265" s="21" t="s">
        <v>644</v>
      </c>
      <c r="B265" s="25" t="s">
        <v>646</v>
      </c>
      <c r="C265" s="26">
        <v>1</v>
      </c>
      <c r="D265" s="27" t="s">
        <v>639</v>
      </c>
      <c r="E265" s="26">
        <v>184.5</v>
      </c>
      <c r="F265" s="28" t="s">
        <v>640</v>
      </c>
      <c r="G265" s="26">
        <f>ROUND(C265*E265,0)</f>
        <v>185</v>
      </c>
      <c r="H265" t="s">
        <v>645</v>
      </c>
    </row>
    <row r="266" spans="1:8" x14ac:dyDescent="0.25">
      <c r="A266" s="21" t="s">
        <v>647</v>
      </c>
      <c r="B266" s="25" t="s">
        <v>649</v>
      </c>
      <c r="C266" s="26">
        <v>1</v>
      </c>
      <c r="D266" s="27" t="s">
        <v>639</v>
      </c>
      <c r="E266" s="26">
        <v>201.55</v>
      </c>
      <c r="F266" s="28" t="s">
        <v>640</v>
      </c>
      <c r="G266" s="26">
        <f>ROUND(C266*E266,0)</f>
        <v>202</v>
      </c>
      <c r="H266" t="s">
        <v>648</v>
      </c>
    </row>
    <row r="267" spans="1:8" ht="105" x14ac:dyDescent="0.25">
      <c r="A267" s="21" t="s">
        <v>650</v>
      </c>
      <c r="B267" s="25" t="s">
        <v>652</v>
      </c>
      <c r="C267" s="26"/>
      <c r="D267" s="27"/>
      <c r="E267" s="26"/>
      <c r="F267" s="28"/>
      <c r="G267" s="26"/>
      <c r="H267" t="s">
        <v>651</v>
      </c>
    </row>
    <row r="268" spans="1:8" ht="30" x14ac:dyDescent="0.25">
      <c r="A268" s="21" t="s">
        <v>653</v>
      </c>
      <c r="B268" s="25" t="s">
        <v>655</v>
      </c>
      <c r="C268" s="26">
        <v>1</v>
      </c>
      <c r="D268" s="27" t="s">
        <v>15</v>
      </c>
      <c r="E268" s="26">
        <v>384.3</v>
      </c>
      <c r="F268" s="28" t="s">
        <v>16</v>
      </c>
      <c r="G268" s="26">
        <f t="shared" ref="G268:G280" si="8">ROUND(C268*E268,0)</f>
        <v>384</v>
      </c>
      <c r="H268" t="s">
        <v>654</v>
      </c>
    </row>
    <row r="269" spans="1:8" ht="150" x14ac:dyDescent="0.25">
      <c r="A269" s="21" t="s">
        <v>656</v>
      </c>
      <c r="B269" s="25" t="s">
        <v>658</v>
      </c>
      <c r="C269" s="26">
        <v>1</v>
      </c>
      <c r="D269" s="27" t="s">
        <v>21</v>
      </c>
      <c r="E269" s="26">
        <v>10585.9</v>
      </c>
      <c r="F269" s="28" t="s">
        <v>22</v>
      </c>
      <c r="G269" s="26">
        <f t="shared" si="8"/>
        <v>10586</v>
      </c>
      <c r="H269" t="s">
        <v>657</v>
      </c>
    </row>
    <row r="270" spans="1:8" ht="165" x14ac:dyDescent="0.25">
      <c r="A270" s="21" t="s">
        <v>659</v>
      </c>
      <c r="B270" s="25" t="s">
        <v>661</v>
      </c>
      <c r="C270" s="26">
        <v>1</v>
      </c>
      <c r="D270" s="27" t="s">
        <v>21</v>
      </c>
      <c r="E270" s="26">
        <v>10416.75</v>
      </c>
      <c r="F270" s="28" t="s">
        <v>22</v>
      </c>
      <c r="G270" s="26">
        <f t="shared" si="8"/>
        <v>10417</v>
      </c>
      <c r="H270" t="s">
        <v>660</v>
      </c>
    </row>
    <row r="271" spans="1:8" ht="135" x14ac:dyDescent="0.25">
      <c r="A271" s="21" t="s">
        <v>662</v>
      </c>
      <c r="B271" s="25" t="s">
        <v>664</v>
      </c>
      <c r="C271" s="26">
        <v>1</v>
      </c>
      <c r="D271" s="27" t="s">
        <v>21</v>
      </c>
      <c r="E271" s="26">
        <v>14325.95</v>
      </c>
      <c r="F271" s="28" t="s">
        <v>22</v>
      </c>
      <c r="G271" s="26">
        <f t="shared" si="8"/>
        <v>14326</v>
      </c>
      <c r="H271" t="s">
        <v>663</v>
      </c>
    </row>
    <row r="272" spans="1:8" ht="165" x14ac:dyDescent="0.25">
      <c r="A272" s="21" t="s">
        <v>665</v>
      </c>
      <c r="B272" s="25" t="s">
        <v>667</v>
      </c>
      <c r="C272" s="26">
        <v>1</v>
      </c>
      <c r="D272" s="27" t="s">
        <v>21</v>
      </c>
      <c r="E272" s="26">
        <v>14155.35</v>
      </c>
      <c r="F272" s="28" t="s">
        <v>22</v>
      </c>
      <c r="G272" s="26">
        <f t="shared" si="8"/>
        <v>14155</v>
      </c>
      <c r="H272" t="s">
        <v>666</v>
      </c>
    </row>
    <row r="273" spans="1:8" ht="150" x14ac:dyDescent="0.25">
      <c r="A273" s="21" t="s">
        <v>668</v>
      </c>
      <c r="B273" s="25" t="s">
        <v>670</v>
      </c>
      <c r="C273" s="26">
        <v>1</v>
      </c>
      <c r="D273" s="27" t="s">
        <v>21</v>
      </c>
      <c r="E273" s="26">
        <v>18234.95</v>
      </c>
      <c r="F273" s="28" t="s">
        <v>22</v>
      </c>
      <c r="G273" s="26">
        <f t="shared" si="8"/>
        <v>18235</v>
      </c>
      <c r="H273" t="s">
        <v>669</v>
      </c>
    </row>
    <row r="274" spans="1:8" ht="180" x14ac:dyDescent="0.25">
      <c r="A274" s="21" t="s">
        <v>671</v>
      </c>
      <c r="B274" s="25" t="s">
        <v>673</v>
      </c>
      <c r="C274" s="26">
        <v>1</v>
      </c>
      <c r="D274" s="27" t="s">
        <v>21</v>
      </c>
      <c r="E274" s="26">
        <v>18064.150000000001</v>
      </c>
      <c r="F274" s="28" t="s">
        <v>22</v>
      </c>
      <c r="G274" s="26">
        <f t="shared" si="8"/>
        <v>18064</v>
      </c>
      <c r="H274" t="s">
        <v>672</v>
      </c>
    </row>
    <row r="275" spans="1:8" ht="150" x14ac:dyDescent="0.25">
      <c r="A275" s="21" t="s">
        <v>674</v>
      </c>
      <c r="B275" s="25" t="s">
        <v>676</v>
      </c>
      <c r="C275" s="26">
        <v>1</v>
      </c>
      <c r="D275" s="27" t="s">
        <v>21</v>
      </c>
      <c r="E275" s="26">
        <v>13899.2</v>
      </c>
      <c r="F275" s="28" t="s">
        <v>22</v>
      </c>
      <c r="G275" s="26">
        <f t="shared" si="8"/>
        <v>13899</v>
      </c>
      <c r="H275" t="s">
        <v>675</v>
      </c>
    </row>
    <row r="276" spans="1:8" ht="180" x14ac:dyDescent="0.25">
      <c r="A276" s="21" t="s">
        <v>677</v>
      </c>
      <c r="B276" s="25" t="s">
        <v>679</v>
      </c>
      <c r="C276" s="26">
        <v>1</v>
      </c>
      <c r="D276" s="27" t="s">
        <v>21</v>
      </c>
      <c r="E276" s="26">
        <v>13728.4</v>
      </c>
      <c r="F276" s="28" t="s">
        <v>22</v>
      </c>
      <c r="G276" s="26">
        <f t="shared" si="8"/>
        <v>13728</v>
      </c>
      <c r="H276" t="s">
        <v>678</v>
      </c>
    </row>
    <row r="277" spans="1:8" ht="165" x14ac:dyDescent="0.25">
      <c r="A277" s="21" t="s">
        <v>680</v>
      </c>
      <c r="B277" s="25" t="s">
        <v>682</v>
      </c>
      <c r="C277" s="26">
        <v>1</v>
      </c>
      <c r="D277" s="27" t="s">
        <v>21</v>
      </c>
      <c r="E277" s="26">
        <v>20355.8</v>
      </c>
      <c r="F277" s="28" t="s">
        <v>22</v>
      </c>
      <c r="G277" s="26">
        <f t="shared" si="8"/>
        <v>20356</v>
      </c>
      <c r="H277" t="s">
        <v>681</v>
      </c>
    </row>
    <row r="278" spans="1:8" ht="195" x14ac:dyDescent="0.25">
      <c r="A278" s="21" t="s">
        <v>683</v>
      </c>
      <c r="B278" s="25" t="s">
        <v>685</v>
      </c>
      <c r="C278" s="26">
        <v>1</v>
      </c>
      <c r="D278" s="27" t="s">
        <v>21</v>
      </c>
      <c r="E278" s="26">
        <v>20185</v>
      </c>
      <c r="F278" s="28" t="s">
        <v>22</v>
      </c>
      <c r="G278" s="26">
        <f t="shared" si="8"/>
        <v>20185</v>
      </c>
      <c r="H278" t="s">
        <v>684</v>
      </c>
    </row>
    <row r="279" spans="1:8" ht="165" x14ac:dyDescent="0.25">
      <c r="A279" s="21" t="s">
        <v>686</v>
      </c>
      <c r="B279" s="25" t="s">
        <v>688</v>
      </c>
      <c r="C279" s="26">
        <v>1</v>
      </c>
      <c r="D279" s="27" t="s">
        <v>21</v>
      </c>
      <c r="E279" s="26">
        <v>12043.35</v>
      </c>
      <c r="F279" s="28" t="s">
        <v>22</v>
      </c>
      <c r="G279" s="26">
        <f t="shared" si="8"/>
        <v>12043</v>
      </c>
      <c r="H279" t="s">
        <v>687</v>
      </c>
    </row>
    <row r="280" spans="1:8" ht="195" x14ac:dyDescent="0.25">
      <c r="A280" s="21" t="s">
        <v>689</v>
      </c>
      <c r="B280" s="25" t="s">
        <v>691</v>
      </c>
      <c r="C280" s="26">
        <v>1</v>
      </c>
      <c r="D280" s="27" t="s">
        <v>21</v>
      </c>
      <c r="E280" s="26">
        <v>11872.55</v>
      </c>
      <c r="F280" s="28" t="s">
        <v>22</v>
      </c>
      <c r="G280" s="26">
        <f t="shared" si="8"/>
        <v>11873</v>
      </c>
      <c r="H280" t="s">
        <v>690</v>
      </c>
    </row>
    <row r="281" spans="1:8" ht="120" x14ac:dyDescent="0.25">
      <c r="A281" s="21" t="s">
        <v>692</v>
      </c>
      <c r="B281" s="25" t="s">
        <v>694</v>
      </c>
      <c r="C281" s="26"/>
      <c r="D281" s="27"/>
      <c r="E281" s="26"/>
      <c r="F281" s="28"/>
      <c r="G281" s="26"/>
      <c r="H281" t="s">
        <v>693</v>
      </c>
    </row>
    <row r="282" spans="1:8" ht="30" x14ac:dyDescent="0.25">
      <c r="A282" s="21" t="s">
        <v>695</v>
      </c>
      <c r="B282" s="25" t="s">
        <v>697</v>
      </c>
      <c r="C282" s="26">
        <v>1</v>
      </c>
      <c r="D282" s="27" t="s">
        <v>15</v>
      </c>
      <c r="E282" s="26">
        <v>1886.9</v>
      </c>
      <c r="F282" s="28" t="s">
        <v>16</v>
      </c>
      <c r="G282" s="26">
        <f t="shared" ref="G282:G289" si="9">ROUND(C282*E282,0)</f>
        <v>1887</v>
      </c>
      <c r="H282" t="s">
        <v>696</v>
      </c>
    </row>
    <row r="283" spans="1:8" ht="30" x14ac:dyDescent="0.25">
      <c r="A283" s="21" t="s">
        <v>698</v>
      </c>
      <c r="B283" s="25" t="s">
        <v>700</v>
      </c>
      <c r="C283" s="26">
        <v>1</v>
      </c>
      <c r="D283" s="27" t="s">
        <v>15</v>
      </c>
      <c r="E283" s="26">
        <v>1706.55</v>
      </c>
      <c r="F283" s="28" t="s">
        <v>16</v>
      </c>
      <c r="G283" s="26">
        <f t="shared" si="9"/>
        <v>1707</v>
      </c>
      <c r="H283" t="s">
        <v>699</v>
      </c>
    </row>
    <row r="284" spans="1:8" ht="30" x14ac:dyDescent="0.25">
      <c r="A284" s="21" t="s">
        <v>701</v>
      </c>
      <c r="B284" s="25" t="s">
        <v>703</v>
      </c>
      <c r="C284" s="26">
        <v>1</v>
      </c>
      <c r="D284" s="27" t="s">
        <v>15</v>
      </c>
      <c r="E284" s="26">
        <v>1539</v>
      </c>
      <c r="F284" s="28" t="s">
        <v>16</v>
      </c>
      <c r="G284" s="26">
        <f t="shared" si="9"/>
        <v>1539</v>
      </c>
      <c r="H284" t="s">
        <v>702</v>
      </c>
    </row>
    <row r="285" spans="1:8" ht="105" x14ac:dyDescent="0.25">
      <c r="A285" s="21" t="s">
        <v>704</v>
      </c>
      <c r="B285" s="25" t="s">
        <v>706</v>
      </c>
      <c r="C285" s="26">
        <v>1</v>
      </c>
      <c r="D285" s="27" t="s">
        <v>21</v>
      </c>
      <c r="E285" s="26">
        <v>16089.4</v>
      </c>
      <c r="F285" s="28" t="s">
        <v>22</v>
      </c>
      <c r="G285" s="26">
        <f t="shared" si="9"/>
        <v>16089</v>
      </c>
      <c r="H285" t="s">
        <v>705</v>
      </c>
    </row>
    <row r="286" spans="1:8" ht="120" x14ac:dyDescent="0.25">
      <c r="A286" s="21" t="s">
        <v>707</v>
      </c>
      <c r="B286" s="25" t="s">
        <v>709</v>
      </c>
      <c r="C286" s="26">
        <v>1</v>
      </c>
      <c r="D286" s="27" t="s">
        <v>21</v>
      </c>
      <c r="E286" s="26">
        <v>15918.6</v>
      </c>
      <c r="F286" s="28" t="s">
        <v>22</v>
      </c>
      <c r="G286" s="26">
        <f t="shared" si="9"/>
        <v>15919</v>
      </c>
      <c r="H286" t="s">
        <v>708</v>
      </c>
    </row>
    <row r="287" spans="1:8" ht="105" x14ac:dyDescent="0.25">
      <c r="A287" s="21" t="s">
        <v>710</v>
      </c>
      <c r="B287" s="25" t="s">
        <v>712</v>
      </c>
      <c r="C287" s="26">
        <v>1</v>
      </c>
      <c r="D287" s="27" t="s">
        <v>21</v>
      </c>
      <c r="E287" s="26">
        <v>9663.25</v>
      </c>
      <c r="F287" s="28" t="s">
        <v>22</v>
      </c>
      <c r="G287" s="26">
        <f t="shared" si="9"/>
        <v>9663</v>
      </c>
      <c r="H287" t="s">
        <v>711</v>
      </c>
    </row>
    <row r="288" spans="1:8" ht="120" x14ac:dyDescent="0.25">
      <c r="A288" s="21" t="s">
        <v>713</v>
      </c>
      <c r="B288" s="25" t="s">
        <v>715</v>
      </c>
      <c r="C288" s="26">
        <v>1</v>
      </c>
      <c r="D288" s="27" t="s">
        <v>21</v>
      </c>
      <c r="E288" s="26">
        <v>9492.4500000000007</v>
      </c>
      <c r="F288" s="28" t="s">
        <v>22</v>
      </c>
      <c r="G288" s="26">
        <f t="shared" si="9"/>
        <v>9492</v>
      </c>
      <c r="H288" t="s">
        <v>714</v>
      </c>
    </row>
    <row r="289" spans="1:8" ht="75" x14ac:dyDescent="0.25">
      <c r="A289" s="21" t="s">
        <v>716</v>
      </c>
      <c r="B289" s="25" t="s">
        <v>718</v>
      </c>
      <c r="C289" s="26">
        <v>1</v>
      </c>
      <c r="D289" s="27" t="s">
        <v>15</v>
      </c>
      <c r="E289" s="26">
        <v>485.05</v>
      </c>
      <c r="F289" s="28" t="s">
        <v>16</v>
      </c>
      <c r="G289" s="26">
        <f t="shared" si="9"/>
        <v>485</v>
      </c>
      <c r="H289" t="s">
        <v>717</v>
      </c>
    </row>
    <row r="290" spans="1:8" ht="60" x14ac:dyDescent="0.25">
      <c r="A290" s="21" t="s">
        <v>719</v>
      </c>
      <c r="B290" s="25" t="s">
        <v>721</v>
      </c>
      <c r="C290" s="26"/>
      <c r="D290" s="27"/>
      <c r="E290" s="26"/>
      <c r="F290" s="28"/>
      <c r="G290" s="26"/>
      <c r="H290" t="s">
        <v>720</v>
      </c>
    </row>
    <row r="291" spans="1:8" ht="30" x14ac:dyDescent="0.25">
      <c r="A291" s="21" t="s">
        <v>722</v>
      </c>
      <c r="B291" s="25" t="s">
        <v>724</v>
      </c>
      <c r="C291" s="26">
        <v>1</v>
      </c>
      <c r="D291" s="27" t="s">
        <v>725</v>
      </c>
      <c r="E291" s="26">
        <v>107.1</v>
      </c>
      <c r="F291" s="28" t="s">
        <v>726</v>
      </c>
      <c r="G291" s="26">
        <f t="shared" ref="G291:G296" si="10">ROUND(C291*E291,0)</f>
        <v>107</v>
      </c>
      <c r="H291" t="s">
        <v>723</v>
      </c>
    </row>
    <row r="292" spans="1:8" ht="30" x14ac:dyDescent="0.25">
      <c r="A292" s="21" t="s">
        <v>727</v>
      </c>
      <c r="B292" s="25" t="s">
        <v>729</v>
      </c>
      <c r="C292" s="26">
        <v>1</v>
      </c>
      <c r="D292" s="27" t="s">
        <v>725</v>
      </c>
      <c r="E292" s="26">
        <v>95.8</v>
      </c>
      <c r="F292" s="28" t="s">
        <v>726</v>
      </c>
      <c r="G292" s="26">
        <f t="shared" si="10"/>
        <v>96</v>
      </c>
      <c r="H292" t="s">
        <v>728</v>
      </c>
    </row>
    <row r="293" spans="1:8" ht="30" x14ac:dyDescent="0.25">
      <c r="A293" s="21" t="s">
        <v>730</v>
      </c>
      <c r="B293" s="25" t="s">
        <v>732</v>
      </c>
      <c r="C293" s="26">
        <v>1</v>
      </c>
      <c r="D293" s="27" t="s">
        <v>725</v>
      </c>
      <c r="E293" s="26">
        <v>107.85</v>
      </c>
      <c r="F293" s="28" t="s">
        <v>726</v>
      </c>
      <c r="G293" s="26">
        <f t="shared" si="10"/>
        <v>108</v>
      </c>
      <c r="H293" t="s">
        <v>731</v>
      </c>
    </row>
    <row r="294" spans="1:8" ht="30" x14ac:dyDescent="0.25">
      <c r="A294" s="21" t="s">
        <v>733</v>
      </c>
      <c r="B294" s="25" t="s">
        <v>735</v>
      </c>
      <c r="C294" s="26">
        <v>1</v>
      </c>
      <c r="D294" s="27" t="s">
        <v>725</v>
      </c>
      <c r="E294" s="26">
        <v>107.85</v>
      </c>
      <c r="F294" s="28" t="s">
        <v>726</v>
      </c>
      <c r="G294" s="26">
        <f t="shared" si="10"/>
        <v>108</v>
      </c>
      <c r="H294" t="s">
        <v>734</v>
      </c>
    </row>
    <row r="295" spans="1:8" ht="30" x14ac:dyDescent="0.25">
      <c r="A295" s="21" t="s">
        <v>736</v>
      </c>
      <c r="B295" s="25" t="s">
        <v>738</v>
      </c>
      <c r="C295" s="26">
        <v>1</v>
      </c>
      <c r="D295" s="27" t="s">
        <v>725</v>
      </c>
      <c r="E295" s="26">
        <v>102.2</v>
      </c>
      <c r="F295" s="28" t="s">
        <v>726</v>
      </c>
      <c r="G295" s="26">
        <f t="shared" si="10"/>
        <v>102</v>
      </c>
      <c r="H295" t="s">
        <v>737</v>
      </c>
    </row>
    <row r="296" spans="1:8" ht="30" x14ac:dyDescent="0.25">
      <c r="A296" s="21" t="s">
        <v>739</v>
      </c>
      <c r="B296" s="25" t="s">
        <v>741</v>
      </c>
      <c r="C296" s="26">
        <v>1</v>
      </c>
      <c r="D296" s="27" t="s">
        <v>725</v>
      </c>
      <c r="E296" s="26">
        <v>107.85</v>
      </c>
      <c r="F296" s="28" t="s">
        <v>726</v>
      </c>
      <c r="G296" s="26">
        <f t="shared" si="10"/>
        <v>108</v>
      </c>
      <c r="H296" t="s">
        <v>740</v>
      </c>
    </row>
    <row r="297" spans="1:8" ht="60" x14ac:dyDescent="0.25">
      <c r="A297" s="21" t="s">
        <v>742</v>
      </c>
      <c r="B297" s="25" t="s">
        <v>744</v>
      </c>
      <c r="C297" s="26"/>
      <c r="D297" s="27"/>
      <c r="E297" s="26"/>
      <c r="F297" s="28"/>
      <c r="G297" s="26"/>
      <c r="H297" t="s">
        <v>743</v>
      </c>
    </row>
    <row r="298" spans="1:8" ht="30" x14ac:dyDescent="0.25">
      <c r="A298" s="21" t="s">
        <v>745</v>
      </c>
      <c r="B298" s="25" t="s">
        <v>724</v>
      </c>
      <c r="C298" s="26">
        <v>1</v>
      </c>
      <c r="D298" s="27" t="s">
        <v>725</v>
      </c>
      <c r="E298" s="26">
        <v>107.1</v>
      </c>
      <c r="F298" s="28" t="s">
        <v>726</v>
      </c>
      <c r="G298" s="26">
        <f t="shared" ref="G298:G303" si="11">ROUND(C298*E298,0)</f>
        <v>107</v>
      </c>
      <c r="H298" t="s">
        <v>723</v>
      </c>
    </row>
    <row r="299" spans="1:8" ht="30" x14ac:dyDescent="0.25">
      <c r="A299" s="21" t="s">
        <v>746</v>
      </c>
      <c r="B299" s="25" t="s">
        <v>729</v>
      </c>
      <c r="C299" s="26">
        <v>1</v>
      </c>
      <c r="D299" s="27" t="s">
        <v>725</v>
      </c>
      <c r="E299" s="26">
        <v>95.8</v>
      </c>
      <c r="F299" s="28" t="s">
        <v>726</v>
      </c>
      <c r="G299" s="26">
        <f t="shared" si="11"/>
        <v>96</v>
      </c>
      <c r="H299" t="s">
        <v>728</v>
      </c>
    </row>
    <row r="300" spans="1:8" ht="30" x14ac:dyDescent="0.25">
      <c r="A300" s="21" t="s">
        <v>747</v>
      </c>
      <c r="B300" s="25" t="s">
        <v>732</v>
      </c>
      <c r="C300" s="26">
        <v>1</v>
      </c>
      <c r="D300" s="27" t="s">
        <v>725</v>
      </c>
      <c r="E300" s="26">
        <v>107.85</v>
      </c>
      <c r="F300" s="28" t="s">
        <v>726</v>
      </c>
      <c r="G300" s="26">
        <f t="shared" si="11"/>
        <v>108</v>
      </c>
      <c r="H300" t="s">
        <v>731</v>
      </c>
    </row>
    <row r="301" spans="1:8" ht="30" x14ac:dyDescent="0.25">
      <c r="A301" s="21" t="s">
        <v>748</v>
      </c>
      <c r="B301" s="25" t="s">
        <v>735</v>
      </c>
      <c r="C301" s="26">
        <v>1</v>
      </c>
      <c r="D301" s="27" t="s">
        <v>725</v>
      </c>
      <c r="E301" s="26">
        <v>107.85</v>
      </c>
      <c r="F301" s="28" t="s">
        <v>726</v>
      </c>
      <c r="G301" s="26">
        <f t="shared" si="11"/>
        <v>108</v>
      </c>
      <c r="H301" t="s">
        <v>734</v>
      </c>
    </row>
    <row r="302" spans="1:8" ht="30" x14ac:dyDescent="0.25">
      <c r="A302" s="21" t="s">
        <v>749</v>
      </c>
      <c r="B302" s="25" t="s">
        <v>738</v>
      </c>
      <c r="C302" s="26">
        <v>1</v>
      </c>
      <c r="D302" s="27" t="s">
        <v>725</v>
      </c>
      <c r="E302" s="26">
        <v>102.2</v>
      </c>
      <c r="F302" s="28" t="s">
        <v>726</v>
      </c>
      <c r="G302" s="26">
        <f t="shared" si="11"/>
        <v>102</v>
      </c>
      <c r="H302" t="s">
        <v>737</v>
      </c>
    </row>
    <row r="303" spans="1:8" ht="30" x14ac:dyDescent="0.25">
      <c r="A303" s="21" t="s">
        <v>750</v>
      </c>
      <c r="B303" s="25" t="s">
        <v>741</v>
      </c>
      <c r="C303" s="26">
        <v>1</v>
      </c>
      <c r="D303" s="27" t="s">
        <v>725</v>
      </c>
      <c r="E303" s="26">
        <v>107.85</v>
      </c>
      <c r="F303" s="28" t="s">
        <v>726</v>
      </c>
      <c r="G303" s="26">
        <f t="shared" si="11"/>
        <v>108</v>
      </c>
      <c r="H303" t="s">
        <v>740</v>
      </c>
    </row>
    <row r="304" spans="1:8" ht="75" x14ac:dyDescent="0.25">
      <c r="A304" s="21" t="s">
        <v>751</v>
      </c>
      <c r="B304" s="25" t="s">
        <v>753</v>
      </c>
      <c r="C304" s="26"/>
      <c r="D304" s="27"/>
      <c r="E304" s="26"/>
      <c r="F304" s="28"/>
      <c r="G304" s="26"/>
      <c r="H304" t="s">
        <v>752</v>
      </c>
    </row>
    <row r="305" spans="1:8" ht="30" x14ac:dyDescent="0.25">
      <c r="A305" s="21" t="s">
        <v>754</v>
      </c>
      <c r="B305" s="25" t="s">
        <v>741</v>
      </c>
      <c r="C305" s="26">
        <v>1</v>
      </c>
      <c r="D305" s="27" t="s">
        <v>725</v>
      </c>
      <c r="E305" s="26">
        <v>99.65</v>
      </c>
      <c r="F305" s="28" t="s">
        <v>726</v>
      </c>
      <c r="G305" s="26">
        <f>ROUND(C305*E305,0)</f>
        <v>100</v>
      </c>
      <c r="H305" t="s">
        <v>741</v>
      </c>
    </row>
    <row r="306" spans="1:8" ht="75" x14ac:dyDescent="0.25">
      <c r="A306" s="21" t="s">
        <v>755</v>
      </c>
      <c r="B306" s="25" t="s">
        <v>757</v>
      </c>
      <c r="C306" s="26"/>
      <c r="D306" s="27"/>
      <c r="E306" s="26"/>
      <c r="F306" s="28"/>
      <c r="G306" s="26"/>
      <c r="H306" t="s">
        <v>756</v>
      </c>
    </row>
    <row r="307" spans="1:8" ht="30" x14ac:dyDescent="0.25">
      <c r="A307" s="21" t="s">
        <v>758</v>
      </c>
      <c r="B307" s="25" t="s">
        <v>741</v>
      </c>
      <c r="C307" s="26">
        <v>1</v>
      </c>
      <c r="D307" s="27" t="s">
        <v>725</v>
      </c>
      <c r="E307" s="26">
        <v>99.65</v>
      </c>
      <c r="F307" s="28" t="s">
        <v>726</v>
      </c>
      <c r="G307" s="26">
        <f t="shared" ref="G307:G313" si="12">ROUND(C307*E307,0)</f>
        <v>100</v>
      </c>
      <c r="H307" t="s">
        <v>741</v>
      </c>
    </row>
    <row r="308" spans="1:8" ht="45" x14ac:dyDescent="0.25">
      <c r="A308" s="21" t="s">
        <v>759</v>
      </c>
      <c r="B308" s="25" t="s">
        <v>761</v>
      </c>
      <c r="C308" s="26">
        <v>1</v>
      </c>
      <c r="D308" s="27" t="s">
        <v>15</v>
      </c>
      <c r="E308" s="26">
        <v>300.45</v>
      </c>
      <c r="F308" s="28" t="s">
        <v>16</v>
      </c>
      <c r="G308" s="26">
        <f t="shared" si="12"/>
        <v>300</v>
      </c>
      <c r="H308" t="s">
        <v>760</v>
      </c>
    </row>
    <row r="309" spans="1:8" ht="135" x14ac:dyDescent="0.25">
      <c r="A309" s="21" t="s">
        <v>762</v>
      </c>
      <c r="B309" s="25" t="s">
        <v>764</v>
      </c>
      <c r="C309" s="26">
        <v>1</v>
      </c>
      <c r="D309" s="27" t="s">
        <v>15</v>
      </c>
      <c r="E309" s="26">
        <v>150.5</v>
      </c>
      <c r="F309" s="28" t="s">
        <v>16</v>
      </c>
      <c r="G309" s="26">
        <f t="shared" si="12"/>
        <v>151</v>
      </c>
      <c r="H309" t="s">
        <v>763</v>
      </c>
    </row>
    <row r="310" spans="1:8" ht="30" x14ac:dyDescent="0.25">
      <c r="A310" s="21" t="s">
        <v>765</v>
      </c>
      <c r="B310" s="25" t="s">
        <v>767</v>
      </c>
      <c r="C310" s="26">
        <v>1</v>
      </c>
      <c r="D310" s="27" t="s">
        <v>725</v>
      </c>
      <c r="E310" s="26">
        <v>811.85</v>
      </c>
      <c r="F310" s="28" t="s">
        <v>726</v>
      </c>
      <c r="G310" s="26">
        <f t="shared" si="12"/>
        <v>812</v>
      </c>
      <c r="H310" t="s">
        <v>766</v>
      </c>
    </row>
    <row r="311" spans="1:8" ht="30" x14ac:dyDescent="0.25">
      <c r="A311" s="21" t="s">
        <v>768</v>
      </c>
      <c r="B311" s="25" t="s">
        <v>770</v>
      </c>
      <c r="C311" s="26">
        <v>1</v>
      </c>
      <c r="D311" s="27" t="s">
        <v>21</v>
      </c>
      <c r="E311" s="26">
        <v>74854.649999999994</v>
      </c>
      <c r="F311" s="28" t="s">
        <v>22</v>
      </c>
      <c r="G311" s="26">
        <f t="shared" si="12"/>
        <v>74855</v>
      </c>
      <c r="H311" t="s">
        <v>769</v>
      </c>
    </row>
    <row r="312" spans="1:8" ht="60" x14ac:dyDescent="0.25">
      <c r="A312" s="21" t="s">
        <v>771</v>
      </c>
      <c r="B312" s="25" t="s">
        <v>773</v>
      </c>
      <c r="C312" s="26">
        <v>1</v>
      </c>
      <c r="D312" s="27" t="s">
        <v>21</v>
      </c>
      <c r="E312" s="26">
        <v>28212.6</v>
      </c>
      <c r="F312" s="28" t="s">
        <v>22</v>
      </c>
      <c r="G312" s="26">
        <f t="shared" si="12"/>
        <v>28213</v>
      </c>
      <c r="H312" t="s">
        <v>772</v>
      </c>
    </row>
    <row r="313" spans="1:8" ht="60" x14ac:dyDescent="0.25">
      <c r="A313" s="21" t="s">
        <v>774</v>
      </c>
      <c r="B313" s="25" t="s">
        <v>776</v>
      </c>
      <c r="C313" s="26">
        <v>1</v>
      </c>
      <c r="D313" s="27" t="s">
        <v>429</v>
      </c>
      <c r="E313" s="26">
        <v>655.75</v>
      </c>
      <c r="F313" s="28" t="s">
        <v>777</v>
      </c>
      <c r="G313" s="26">
        <f t="shared" si="12"/>
        <v>656</v>
      </c>
      <c r="H313" t="s">
        <v>775</v>
      </c>
    </row>
    <row r="314" spans="1:8" ht="30" x14ac:dyDescent="0.25">
      <c r="A314" s="21" t="s">
        <v>778</v>
      </c>
      <c r="B314" s="25" t="s">
        <v>780</v>
      </c>
      <c r="C314" s="26"/>
      <c r="D314" s="27"/>
      <c r="E314" s="26"/>
      <c r="F314" s="28"/>
      <c r="G314" s="26"/>
      <c r="H314" t="s">
        <v>779</v>
      </c>
    </row>
    <row r="315" spans="1:8" ht="30" x14ac:dyDescent="0.25">
      <c r="A315" s="21" t="s">
        <v>781</v>
      </c>
      <c r="B315" s="25" t="s">
        <v>783</v>
      </c>
      <c r="C315" s="26"/>
      <c r="D315" s="27"/>
      <c r="E315" s="26"/>
      <c r="F315" s="28"/>
      <c r="G315" s="26"/>
      <c r="H315" t="s">
        <v>782</v>
      </c>
    </row>
    <row r="316" spans="1:8" x14ac:dyDescent="0.25">
      <c r="A316" s="21" t="s">
        <v>784</v>
      </c>
      <c r="B316" s="25" t="s">
        <v>786</v>
      </c>
      <c r="C316" s="26">
        <v>1</v>
      </c>
      <c r="D316" s="27" t="s">
        <v>110</v>
      </c>
      <c r="E316" s="26">
        <v>245.45</v>
      </c>
      <c r="F316" s="28" t="s">
        <v>68</v>
      </c>
      <c r="G316" s="26">
        <f>ROUND(C316*E316,0)</f>
        <v>245</v>
      </c>
      <c r="H316" t="s">
        <v>785</v>
      </c>
    </row>
    <row r="317" spans="1:8" x14ac:dyDescent="0.25">
      <c r="A317" s="21" t="s">
        <v>787</v>
      </c>
      <c r="B317" s="25" t="s">
        <v>789</v>
      </c>
      <c r="C317" s="26">
        <v>1</v>
      </c>
      <c r="D317" s="27" t="s">
        <v>110</v>
      </c>
      <c r="E317" s="26">
        <v>330.2</v>
      </c>
      <c r="F317" s="28" t="s">
        <v>68</v>
      </c>
      <c r="G317" s="26">
        <f>ROUND(C317*E317,0)</f>
        <v>330</v>
      </c>
      <c r="H317" t="s">
        <v>788</v>
      </c>
    </row>
    <row r="318" spans="1:8" x14ac:dyDescent="0.25">
      <c r="A318" s="21" t="s">
        <v>790</v>
      </c>
      <c r="B318" s="25" t="s">
        <v>792</v>
      </c>
      <c r="C318" s="26"/>
      <c r="D318" s="27"/>
      <c r="E318" s="26"/>
      <c r="F318" s="28"/>
      <c r="G318" s="26"/>
      <c r="H318" t="s">
        <v>791</v>
      </c>
    </row>
    <row r="319" spans="1:8" x14ac:dyDescent="0.25">
      <c r="A319" s="21" t="s">
        <v>793</v>
      </c>
      <c r="B319" s="25" t="s">
        <v>794</v>
      </c>
      <c r="C319" s="26">
        <v>1</v>
      </c>
      <c r="D319" s="27" t="s">
        <v>110</v>
      </c>
      <c r="E319" s="26">
        <v>567.6</v>
      </c>
      <c r="F319" s="28" t="s">
        <v>68</v>
      </c>
      <c r="G319" s="26">
        <f>ROUND(C319*E319,0)</f>
        <v>568</v>
      </c>
      <c r="H319" t="s">
        <v>785</v>
      </c>
    </row>
    <row r="320" spans="1:8" x14ac:dyDescent="0.25">
      <c r="A320" s="21" t="s">
        <v>795</v>
      </c>
      <c r="B320" s="25" t="s">
        <v>796</v>
      </c>
      <c r="C320" s="26">
        <v>1</v>
      </c>
      <c r="D320" s="27" t="s">
        <v>110</v>
      </c>
      <c r="E320" s="26">
        <v>753.85</v>
      </c>
      <c r="F320" s="28" t="s">
        <v>68</v>
      </c>
      <c r="G320" s="26">
        <f>ROUND(C320*E320,0)</f>
        <v>754</v>
      </c>
      <c r="H320" t="s">
        <v>788</v>
      </c>
    </row>
    <row r="321" spans="1:8" ht="30" x14ac:dyDescent="0.25">
      <c r="A321" s="21" t="s">
        <v>797</v>
      </c>
      <c r="B321" s="25" t="s">
        <v>798</v>
      </c>
      <c r="C321" s="26"/>
      <c r="D321" s="27"/>
      <c r="E321" s="26"/>
      <c r="F321" s="28"/>
      <c r="G321" s="26"/>
      <c r="H321" t="s">
        <v>798</v>
      </c>
    </row>
    <row r="322" spans="1:8" x14ac:dyDescent="0.25">
      <c r="A322" s="21" t="s">
        <v>799</v>
      </c>
      <c r="B322" s="25" t="s">
        <v>794</v>
      </c>
      <c r="C322" s="26">
        <v>1</v>
      </c>
      <c r="D322" s="27" t="s">
        <v>110</v>
      </c>
      <c r="E322" s="26">
        <v>237.4</v>
      </c>
      <c r="F322" s="28" t="s">
        <v>68</v>
      </c>
      <c r="G322" s="26">
        <f>ROUND(C322*E322,0)</f>
        <v>237</v>
      </c>
      <c r="H322" t="s">
        <v>794</v>
      </c>
    </row>
    <row r="323" spans="1:8" x14ac:dyDescent="0.25">
      <c r="A323" s="21" t="s">
        <v>800</v>
      </c>
      <c r="B323" s="25" t="s">
        <v>796</v>
      </c>
      <c r="C323" s="26">
        <v>1</v>
      </c>
      <c r="D323" s="27" t="s">
        <v>110</v>
      </c>
      <c r="E323" s="26">
        <v>319.39999999999998</v>
      </c>
      <c r="F323" s="28" t="s">
        <v>68</v>
      </c>
      <c r="G323" s="26">
        <f>ROUND(C323*E323,0)</f>
        <v>319</v>
      </c>
      <c r="H323" t="s">
        <v>796</v>
      </c>
    </row>
    <row r="324" spans="1:8" ht="30" x14ac:dyDescent="0.25">
      <c r="A324" s="21" t="s">
        <v>801</v>
      </c>
      <c r="B324" s="25" t="s">
        <v>803</v>
      </c>
      <c r="C324" s="26">
        <v>1</v>
      </c>
      <c r="D324" s="27" t="s">
        <v>110</v>
      </c>
      <c r="E324" s="26">
        <v>78.400000000000006</v>
      </c>
      <c r="F324" s="28" t="s">
        <v>68</v>
      </c>
      <c r="G324" s="26">
        <f>ROUND(C324*E324,0)</f>
        <v>78</v>
      </c>
      <c r="H324" t="s">
        <v>802</v>
      </c>
    </row>
    <row r="325" spans="1:8" ht="60" x14ac:dyDescent="0.25">
      <c r="A325" s="21" t="s">
        <v>804</v>
      </c>
      <c r="B325" s="25" t="s">
        <v>806</v>
      </c>
      <c r="C325" s="26"/>
      <c r="D325" s="27"/>
      <c r="E325" s="26"/>
      <c r="F325" s="28"/>
      <c r="G325" s="26"/>
      <c r="H325" t="s">
        <v>805</v>
      </c>
    </row>
    <row r="326" spans="1:8" ht="165" x14ac:dyDescent="0.25">
      <c r="A326" s="21"/>
      <c r="B326" s="25" t="s">
        <v>807</v>
      </c>
      <c r="C326" s="26">
        <v>1</v>
      </c>
      <c r="D326" s="27" t="s">
        <v>21</v>
      </c>
      <c r="E326" s="26">
        <v>1098.8</v>
      </c>
      <c r="F326" s="28" t="s">
        <v>22</v>
      </c>
      <c r="G326" s="26">
        <f>ROUND(C326*E326,0)</f>
        <v>1099</v>
      </c>
    </row>
    <row r="327" spans="1:8" ht="30" x14ac:dyDescent="0.25">
      <c r="A327" s="21" t="s">
        <v>808</v>
      </c>
      <c r="B327" s="25" t="s">
        <v>810</v>
      </c>
      <c r="C327" s="26">
        <v>1</v>
      </c>
      <c r="D327" s="27" t="s">
        <v>21</v>
      </c>
      <c r="E327" s="26">
        <v>467.55</v>
      </c>
      <c r="F327" s="28" t="s">
        <v>22</v>
      </c>
      <c r="G327" s="26">
        <f>ROUND(C327*E327,0)</f>
        <v>468</v>
      </c>
      <c r="H327" t="s">
        <v>809</v>
      </c>
    </row>
    <row r="328" spans="1:8" ht="225" x14ac:dyDescent="0.25">
      <c r="A328" s="21" t="s">
        <v>811</v>
      </c>
      <c r="B328" s="25" t="s">
        <v>813</v>
      </c>
      <c r="C328" s="26"/>
      <c r="D328" s="27"/>
      <c r="E328" s="26"/>
      <c r="F328" s="28"/>
      <c r="G328" s="26"/>
      <c r="H328" t="s">
        <v>812</v>
      </c>
    </row>
    <row r="329" spans="1:8" ht="105" x14ac:dyDescent="0.25">
      <c r="A329" s="21"/>
      <c r="B329" s="25" t="s">
        <v>814</v>
      </c>
      <c r="C329" s="26"/>
      <c r="D329" s="27"/>
      <c r="E329" s="26"/>
      <c r="F329" s="28"/>
      <c r="G329" s="26"/>
    </row>
    <row r="330" spans="1:8" x14ac:dyDescent="0.25">
      <c r="A330" s="21" t="s">
        <v>815</v>
      </c>
      <c r="B330" s="25" t="s">
        <v>487</v>
      </c>
      <c r="C330" s="26"/>
      <c r="D330" s="27"/>
      <c r="E330" s="26"/>
      <c r="F330" s="28"/>
      <c r="G330" s="26"/>
      <c r="H330" t="s">
        <v>460</v>
      </c>
    </row>
    <row r="331" spans="1:8" ht="30" x14ac:dyDescent="0.25">
      <c r="A331" s="21" t="s">
        <v>816</v>
      </c>
      <c r="B331" s="25" t="s">
        <v>818</v>
      </c>
      <c r="C331" s="26">
        <v>1</v>
      </c>
      <c r="D331" s="27" t="s">
        <v>21</v>
      </c>
      <c r="E331" s="26">
        <v>9504.75</v>
      </c>
      <c r="F331" s="28" t="s">
        <v>22</v>
      </c>
      <c r="G331" s="26">
        <f>ROUND(C331*E331,0)</f>
        <v>9505</v>
      </c>
      <c r="H331" t="s">
        <v>817</v>
      </c>
    </row>
    <row r="332" spans="1:8" ht="30" x14ac:dyDescent="0.25">
      <c r="A332" s="21" t="s">
        <v>819</v>
      </c>
      <c r="B332" s="25" t="s">
        <v>821</v>
      </c>
      <c r="C332" s="26">
        <v>1</v>
      </c>
      <c r="D332" s="27" t="s">
        <v>21</v>
      </c>
      <c r="E332" s="26">
        <v>9655.7000000000007</v>
      </c>
      <c r="F332" s="28" t="s">
        <v>22</v>
      </c>
      <c r="G332" s="26">
        <f>ROUND(C332*E332,0)</f>
        <v>9656</v>
      </c>
      <c r="H332" t="s">
        <v>820</v>
      </c>
    </row>
    <row r="333" spans="1:8" ht="30" x14ac:dyDescent="0.25">
      <c r="A333" s="21" t="s">
        <v>822</v>
      </c>
      <c r="B333" s="25" t="s">
        <v>824</v>
      </c>
      <c r="C333" s="26">
        <v>1</v>
      </c>
      <c r="D333" s="27" t="s">
        <v>21</v>
      </c>
      <c r="E333" s="26">
        <v>9806.7000000000007</v>
      </c>
      <c r="F333" s="28" t="s">
        <v>22</v>
      </c>
      <c r="G333" s="26">
        <f>ROUND(C333*E333,0)</f>
        <v>9807</v>
      </c>
      <c r="H333" t="s">
        <v>823</v>
      </c>
    </row>
    <row r="334" spans="1:8" ht="30" x14ac:dyDescent="0.25">
      <c r="A334" s="21" t="s">
        <v>825</v>
      </c>
      <c r="B334" s="25" t="s">
        <v>827</v>
      </c>
      <c r="C334" s="26">
        <v>1</v>
      </c>
      <c r="D334" s="27" t="s">
        <v>21</v>
      </c>
      <c r="E334" s="26">
        <v>9957.65</v>
      </c>
      <c r="F334" s="28" t="s">
        <v>22</v>
      </c>
      <c r="G334" s="26">
        <f>ROUND(C334*E334,0)</f>
        <v>9958</v>
      </c>
      <c r="H334" t="s">
        <v>826</v>
      </c>
    </row>
    <row r="335" spans="1:8" ht="30" x14ac:dyDescent="0.25">
      <c r="A335" s="21" t="s">
        <v>828</v>
      </c>
      <c r="B335" s="25" t="s">
        <v>830</v>
      </c>
      <c r="C335" s="26">
        <v>1</v>
      </c>
      <c r="D335" s="27" t="s">
        <v>21</v>
      </c>
      <c r="E335" s="26">
        <v>10108.65</v>
      </c>
      <c r="F335" s="28" t="s">
        <v>22</v>
      </c>
      <c r="G335" s="26">
        <f>ROUND(C335*E335,0)</f>
        <v>10109</v>
      </c>
      <c r="H335" t="s">
        <v>829</v>
      </c>
    </row>
    <row r="336" spans="1:8" x14ac:dyDescent="0.25">
      <c r="A336" s="21" t="s">
        <v>831</v>
      </c>
      <c r="B336" s="25" t="s">
        <v>832</v>
      </c>
      <c r="C336" s="26"/>
      <c r="D336" s="27"/>
      <c r="E336" s="26"/>
      <c r="F336" s="28"/>
      <c r="G336" s="26"/>
      <c r="H336" t="s">
        <v>832</v>
      </c>
    </row>
    <row r="337" spans="1:8" ht="30" x14ac:dyDescent="0.25">
      <c r="A337" s="21" t="s">
        <v>833</v>
      </c>
      <c r="B337" s="25" t="s">
        <v>818</v>
      </c>
      <c r="C337" s="26">
        <v>1</v>
      </c>
      <c r="D337" s="27" t="s">
        <v>21</v>
      </c>
      <c r="E337" s="26">
        <v>9860.4</v>
      </c>
      <c r="F337" s="28" t="s">
        <v>22</v>
      </c>
      <c r="G337" s="26">
        <f>ROUND(C337*E337,0)</f>
        <v>9860</v>
      </c>
      <c r="H337" t="s">
        <v>817</v>
      </c>
    </row>
    <row r="338" spans="1:8" ht="30" x14ac:dyDescent="0.25">
      <c r="A338" s="21" t="s">
        <v>834</v>
      </c>
      <c r="B338" s="25" t="s">
        <v>821</v>
      </c>
      <c r="C338" s="26">
        <v>1</v>
      </c>
      <c r="D338" s="27" t="s">
        <v>21</v>
      </c>
      <c r="E338" s="26">
        <v>10011.35</v>
      </c>
      <c r="F338" s="28" t="s">
        <v>22</v>
      </c>
      <c r="G338" s="26">
        <f>ROUND(C338*E338,0)</f>
        <v>10011</v>
      </c>
      <c r="H338" t="s">
        <v>820</v>
      </c>
    </row>
    <row r="339" spans="1:8" ht="30" x14ac:dyDescent="0.25">
      <c r="A339" s="21" t="s">
        <v>835</v>
      </c>
      <c r="B339" s="25" t="s">
        <v>824</v>
      </c>
      <c r="C339" s="26">
        <v>1</v>
      </c>
      <c r="D339" s="27" t="s">
        <v>21</v>
      </c>
      <c r="E339" s="26">
        <v>10162.35</v>
      </c>
      <c r="F339" s="28" t="s">
        <v>22</v>
      </c>
      <c r="G339" s="26">
        <f>ROUND(C339*E339,0)</f>
        <v>10162</v>
      </c>
      <c r="H339" t="s">
        <v>823</v>
      </c>
    </row>
    <row r="340" spans="1:8" ht="30" x14ac:dyDescent="0.25">
      <c r="A340" s="21" t="s">
        <v>836</v>
      </c>
      <c r="B340" s="25" t="s">
        <v>827</v>
      </c>
      <c r="C340" s="26">
        <v>1</v>
      </c>
      <c r="D340" s="27" t="s">
        <v>21</v>
      </c>
      <c r="E340" s="26">
        <v>10313.299999999999</v>
      </c>
      <c r="F340" s="28" t="s">
        <v>22</v>
      </c>
      <c r="G340" s="26">
        <f>ROUND(C340*E340,0)</f>
        <v>10313</v>
      </c>
      <c r="H340" t="s">
        <v>826</v>
      </c>
    </row>
    <row r="341" spans="1:8" ht="30" x14ac:dyDescent="0.25">
      <c r="A341" s="21" t="s">
        <v>837</v>
      </c>
      <c r="B341" s="25" t="s">
        <v>830</v>
      </c>
      <c r="C341" s="26">
        <v>1</v>
      </c>
      <c r="D341" s="27" t="s">
        <v>21</v>
      </c>
      <c r="E341" s="26">
        <v>10464.299999999999</v>
      </c>
      <c r="F341" s="28" t="s">
        <v>22</v>
      </c>
      <c r="G341" s="26">
        <f>ROUND(C341*E341,0)</f>
        <v>10464</v>
      </c>
      <c r="H341" t="s">
        <v>829</v>
      </c>
    </row>
    <row r="342" spans="1:8" ht="270" x14ac:dyDescent="0.25">
      <c r="A342" s="21" t="s">
        <v>838</v>
      </c>
      <c r="B342" s="25" t="s">
        <v>839</v>
      </c>
      <c r="C342" s="26"/>
      <c r="D342" s="27"/>
      <c r="E342" s="26"/>
      <c r="F342" s="28"/>
      <c r="G342" s="26"/>
      <c r="H342" t="s">
        <v>812</v>
      </c>
    </row>
    <row r="343" spans="1:8" ht="105" x14ac:dyDescent="0.25">
      <c r="A343" s="21"/>
      <c r="B343" s="25" t="s">
        <v>814</v>
      </c>
      <c r="C343" s="26"/>
      <c r="D343" s="27"/>
      <c r="E343" s="26"/>
      <c r="F343" s="28"/>
      <c r="G343" s="26"/>
    </row>
    <row r="344" spans="1:8" x14ac:dyDescent="0.25">
      <c r="A344" s="21" t="s">
        <v>840</v>
      </c>
      <c r="B344" s="25" t="s">
        <v>487</v>
      </c>
      <c r="C344" s="26"/>
      <c r="D344" s="27"/>
      <c r="E344" s="26"/>
      <c r="F344" s="28"/>
      <c r="G344" s="26"/>
      <c r="H344" t="s">
        <v>460</v>
      </c>
    </row>
    <row r="345" spans="1:8" ht="30" x14ac:dyDescent="0.25">
      <c r="A345" s="21" t="s">
        <v>841</v>
      </c>
      <c r="B345" s="25" t="s">
        <v>818</v>
      </c>
      <c r="C345" s="26">
        <v>1</v>
      </c>
      <c r="D345" s="27" t="s">
        <v>21</v>
      </c>
      <c r="E345" s="26">
        <v>9333.9500000000007</v>
      </c>
      <c r="F345" s="28" t="s">
        <v>22</v>
      </c>
      <c r="G345" s="26">
        <f>ROUND(C345*E345,0)</f>
        <v>9334</v>
      </c>
      <c r="H345" t="s">
        <v>105</v>
      </c>
    </row>
    <row r="346" spans="1:8" x14ac:dyDescent="0.25">
      <c r="A346" s="21" t="s">
        <v>842</v>
      </c>
      <c r="B346" s="25" t="s">
        <v>832</v>
      </c>
      <c r="C346" s="26"/>
      <c r="D346" s="27"/>
      <c r="E346" s="26"/>
      <c r="F346" s="28"/>
      <c r="G346" s="26"/>
      <c r="H346" t="s">
        <v>843</v>
      </c>
    </row>
    <row r="347" spans="1:8" ht="30" x14ac:dyDescent="0.25">
      <c r="A347" s="21" t="s">
        <v>844</v>
      </c>
      <c r="B347" s="25" t="s">
        <v>818</v>
      </c>
      <c r="C347" s="26">
        <v>1</v>
      </c>
      <c r="D347" s="27" t="s">
        <v>21</v>
      </c>
      <c r="E347" s="26">
        <v>9689.6</v>
      </c>
      <c r="F347" s="28" t="s">
        <v>22</v>
      </c>
      <c r="G347" s="26">
        <f>ROUND(C347*E347,0)</f>
        <v>9690</v>
      </c>
      <c r="H347" t="s">
        <v>817</v>
      </c>
    </row>
    <row r="348" spans="1:8" ht="45" x14ac:dyDescent="0.25">
      <c r="A348" s="21" t="s">
        <v>845</v>
      </c>
      <c r="B348" s="25" t="s">
        <v>847</v>
      </c>
      <c r="C348" s="26">
        <v>1</v>
      </c>
      <c r="D348" s="27" t="s">
        <v>848</v>
      </c>
      <c r="E348" s="26">
        <v>733.5</v>
      </c>
      <c r="F348" s="28" t="s">
        <v>849</v>
      </c>
      <c r="G348" s="26">
        <f>ROUND(C348*E348,0)</f>
        <v>734</v>
      </c>
      <c r="H348" t="s">
        <v>846</v>
      </c>
    </row>
    <row r="349" spans="1:8" ht="210" x14ac:dyDescent="0.25">
      <c r="A349" s="21" t="s">
        <v>850</v>
      </c>
      <c r="B349" s="25" t="s">
        <v>852</v>
      </c>
      <c r="C349" s="26">
        <v>1</v>
      </c>
      <c r="D349" s="27" t="s">
        <v>21</v>
      </c>
      <c r="E349" s="26">
        <v>33018.75</v>
      </c>
      <c r="F349" s="28" t="s">
        <v>22</v>
      </c>
      <c r="G349" s="26">
        <f>ROUND(C349*E349,0)</f>
        <v>33019</v>
      </c>
      <c r="H349" t="s">
        <v>851</v>
      </c>
    </row>
    <row r="350" spans="1:8" ht="240" x14ac:dyDescent="0.25">
      <c r="A350" s="21" t="s">
        <v>853</v>
      </c>
      <c r="B350" s="25" t="s">
        <v>855</v>
      </c>
      <c r="C350" s="26">
        <v>1</v>
      </c>
      <c r="D350" s="27" t="s">
        <v>21</v>
      </c>
      <c r="E350" s="26">
        <v>32847.949999999997</v>
      </c>
      <c r="F350" s="28" t="s">
        <v>22</v>
      </c>
      <c r="G350" s="26">
        <f>ROUND(C350*E350,0)</f>
        <v>32848</v>
      </c>
      <c r="H350" t="s">
        <v>854</v>
      </c>
    </row>
    <row r="351" spans="1:8" ht="30" x14ac:dyDescent="0.25">
      <c r="A351" s="21" t="s">
        <v>856</v>
      </c>
      <c r="B351" s="25" t="s">
        <v>857</v>
      </c>
      <c r="C351" s="26">
        <v>1</v>
      </c>
      <c r="D351" s="27" t="s">
        <v>21</v>
      </c>
      <c r="E351" s="26">
        <v>355.65</v>
      </c>
      <c r="F351" s="28" t="s">
        <v>22</v>
      </c>
      <c r="G351" s="26">
        <f>ROUND(C351*E351,0)</f>
        <v>356</v>
      </c>
      <c r="H351" t="s">
        <v>857</v>
      </c>
    </row>
    <row r="352" spans="1:8" ht="75" x14ac:dyDescent="0.25">
      <c r="A352" s="21" t="s">
        <v>858</v>
      </c>
      <c r="B352" s="25" t="s">
        <v>860</v>
      </c>
      <c r="C352" s="26"/>
      <c r="D352" s="27"/>
      <c r="E352" s="26"/>
      <c r="F352" s="28"/>
      <c r="G352" s="26"/>
      <c r="H352" t="s">
        <v>859</v>
      </c>
    </row>
    <row r="353" spans="1:8" ht="30" x14ac:dyDescent="0.25">
      <c r="A353" s="21" t="s">
        <v>861</v>
      </c>
      <c r="B353" s="25" t="s">
        <v>862</v>
      </c>
      <c r="C353" s="26">
        <v>1</v>
      </c>
      <c r="D353" s="27" t="s">
        <v>15</v>
      </c>
      <c r="E353" s="26">
        <v>69.05</v>
      </c>
      <c r="F353" s="28" t="s">
        <v>16</v>
      </c>
      <c r="G353" s="26">
        <f>ROUND(C353*E353,0)</f>
        <v>69</v>
      </c>
      <c r="H353" t="s">
        <v>862</v>
      </c>
    </row>
    <row r="354" spans="1:8" ht="135" x14ac:dyDescent="0.25">
      <c r="A354" s="21" t="s">
        <v>863</v>
      </c>
      <c r="B354" s="25" t="s">
        <v>865</v>
      </c>
      <c r="C354" s="26"/>
      <c r="D354" s="27"/>
      <c r="E354" s="26"/>
      <c r="F354" s="28"/>
      <c r="G354" s="26"/>
      <c r="H354" t="s">
        <v>864</v>
      </c>
    </row>
    <row r="355" spans="1:8" x14ac:dyDescent="0.25">
      <c r="A355" s="21" t="s">
        <v>866</v>
      </c>
      <c r="B355" s="25" t="s">
        <v>868</v>
      </c>
      <c r="C355" s="26">
        <v>1</v>
      </c>
      <c r="D355" s="27" t="s">
        <v>201</v>
      </c>
      <c r="E355" s="26">
        <v>115.1</v>
      </c>
      <c r="F355" s="28" t="s">
        <v>202</v>
      </c>
      <c r="G355" s="26">
        <f>ROUND(C355*E355,0)</f>
        <v>115</v>
      </c>
      <c r="H355" t="s">
        <v>867</v>
      </c>
    </row>
    <row r="356" spans="1:8" x14ac:dyDescent="0.25">
      <c r="A356" s="21" t="s">
        <v>869</v>
      </c>
      <c r="B356" s="25" t="s">
        <v>871</v>
      </c>
      <c r="C356" s="26">
        <v>1</v>
      </c>
      <c r="D356" s="27" t="s">
        <v>201</v>
      </c>
      <c r="E356" s="26">
        <v>160.1</v>
      </c>
      <c r="F356" s="28" t="s">
        <v>202</v>
      </c>
      <c r="G356" s="26">
        <f>ROUND(C356*E356,0)</f>
        <v>160</v>
      </c>
      <c r="H356" t="s">
        <v>870</v>
      </c>
    </row>
    <row r="357" spans="1:8" x14ac:dyDescent="0.25">
      <c r="A357" s="21" t="s">
        <v>872</v>
      </c>
      <c r="B357" s="25" t="s">
        <v>874</v>
      </c>
      <c r="C357" s="26">
        <v>1</v>
      </c>
      <c r="D357" s="27" t="s">
        <v>201</v>
      </c>
      <c r="E357" s="26">
        <v>228.95</v>
      </c>
      <c r="F357" s="28" t="s">
        <v>202</v>
      </c>
      <c r="G357" s="26">
        <f>ROUND(C357*E357,0)</f>
        <v>229</v>
      </c>
      <c r="H357" t="s">
        <v>873</v>
      </c>
    </row>
    <row r="358" spans="1:8" x14ac:dyDescent="0.25">
      <c r="A358" s="21" t="s">
        <v>875</v>
      </c>
      <c r="B358" s="25" t="s">
        <v>877</v>
      </c>
      <c r="C358" s="26">
        <v>1</v>
      </c>
      <c r="D358" s="27" t="s">
        <v>201</v>
      </c>
      <c r="E358" s="26">
        <v>267.55</v>
      </c>
      <c r="F358" s="28" t="s">
        <v>202</v>
      </c>
      <c r="G358" s="26">
        <f>ROUND(C358*E358,0)</f>
        <v>268</v>
      </c>
      <c r="H358" t="s">
        <v>876</v>
      </c>
    </row>
    <row r="359" spans="1:8" x14ac:dyDescent="0.25">
      <c r="A359" s="21" t="s">
        <v>878</v>
      </c>
      <c r="B359" s="25" t="s">
        <v>880</v>
      </c>
      <c r="C359" s="26">
        <v>1</v>
      </c>
      <c r="D359" s="27" t="s">
        <v>201</v>
      </c>
      <c r="E359" s="26">
        <v>318.8</v>
      </c>
      <c r="F359" s="28" t="s">
        <v>202</v>
      </c>
      <c r="G359" s="26">
        <f>ROUND(C359*E359,0)</f>
        <v>319</v>
      </c>
      <c r="H359" t="s">
        <v>879</v>
      </c>
    </row>
    <row r="360" spans="1:8" ht="45" x14ac:dyDescent="0.25">
      <c r="A360" s="21" t="s">
        <v>881</v>
      </c>
      <c r="B360" s="25" t="s">
        <v>883</v>
      </c>
      <c r="C360" s="26"/>
      <c r="D360" s="27"/>
      <c r="E360" s="26"/>
      <c r="F360" s="28"/>
      <c r="G360" s="26"/>
      <c r="H360" t="s">
        <v>882</v>
      </c>
    </row>
    <row r="361" spans="1:8" x14ac:dyDescent="0.25">
      <c r="A361" s="21" t="s">
        <v>884</v>
      </c>
      <c r="B361" s="25" t="s">
        <v>788</v>
      </c>
      <c r="C361" s="26">
        <v>1</v>
      </c>
      <c r="D361" s="27" t="s">
        <v>110</v>
      </c>
      <c r="E361" s="26">
        <v>859.75</v>
      </c>
      <c r="F361" s="28" t="s">
        <v>68</v>
      </c>
      <c r="G361" s="26">
        <f>ROUND(C361*E361,0)</f>
        <v>860</v>
      </c>
      <c r="H361" t="s">
        <v>788</v>
      </c>
    </row>
    <row r="362" spans="1:8" x14ac:dyDescent="0.25">
      <c r="A362" s="21" t="s">
        <v>885</v>
      </c>
      <c r="B362" s="25" t="s">
        <v>886</v>
      </c>
      <c r="C362" s="26">
        <v>1</v>
      </c>
      <c r="D362" s="27" t="s">
        <v>110</v>
      </c>
      <c r="E362" s="26">
        <v>1208.05</v>
      </c>
      <c r="F362" s="28" t="s">
        <v>68</v>
      </c>
      <c r="G362" s="26">
        <f>ROUND(C362*E362,0)</f>
        <v>1208</v>
      </c>
      <c r="H362" t="s">
        <v>886</v>
      </c>
    </row>
    <row r="363" spans="1:8" ht="225" x14ac:dyDescent="0.25">
      <c r="A363" s="21" t="s">
        <v>887</v>
      </c>
      <c r="B363" s="25" t="s">
        <v>889</v>
      </c>
      <c r="C363" s="26"/>
      <c r="D363" s="27"/>
      <c r="E363" s="26"/>
      <c r="F363" s="28"/>
      <c r="G363" s="26"/>
      <c r="H363" t="s">
        <v>888</v>
      </c>
    </row>
    <row r="364" spans="1:8" ht="255" x14ac:dyDescent="0.25">
      <c r="A364" s="21"/>
      <c r="B364" s="25" t="s">
        <v>890</v>
      </c>
      <c r="C364" s="26"/>
      <c r="D364" s="27"/>
      <c r="E364" s="26"/>
      <c r="F364" s="28"/>
      <c r="G364" s="26"/>
    </row>
    <row r="365" spans="1:8" x14ac:dyDescent="0.25">
      <c r="A365" s="21" t="s">
        <v>891</v>
      </c>
      <c r="B365" s="25" t="s">
        <v>892</v>
      </c>
      <c r="C365" s="26">
        <v>1</v>
      </c>
      <c r="D365" s="27" t="s">
        <v>110</v>
      </c>
      <c r="E365" s="26">
        <v>6392.55</v>
      </c>
      <c r="F365" s="28" t="s">
        <v>68</v>
      </c>
      <c r="G365" s="26">
        <f>ROUND(C365*E365,0)</f>
        <v>6393</v>
      </c>
      <c r="H365" t="s">
        <v>892</v>
      </c>
    </row>
    <row r="366" spans="1:8" x14ac:dyDescent="0.25">
      <c r="A366" s="21" t="s">
        <v>893</v>
      </c>
      <c r="B366" s="25" t="s">
        <v>894</v>
      </c>
      <c r="C366" s="26">
        <v>1</v>
      </c>
      <c r="D366" s="27" t="s">
        <v>110</v>
      </c>
      <c r="E366" s="26">
        <v>7812.35</v>
      </c>
      <c r="F366" s="28" t="s">
        <v>68</v>
      </c>
      <c r="G366" s="26">
        <f>ROUND(C366*E366,0)</f>
        <v>7812</v>
      </c>
      <c r="H366" t="s">
        <v>894</v>
      </c>
    </row>
    <row r="367" spans="1:8" x14ac:dyDescent="0.25">
      <c r="A367" s="21" t="s">
        <v>895</v>
      </c>
      <c r="B367" s="25" t="s">
        <v>896</v>
      </c>
      <c r="C367" s="26">
        <v>1</v>
      </c>
      <c r="D367" s="27" t="s">
        <v>110</v>
      </c>
      <c r="E367" s="26">
        <v>9903.65</v>
      </c>
      <c r="F367" s="28" t="s">
        <v>68</v>
      </c>
      <c r="G367" s="26">
        <f>ROUND(C367*E367,0)</f>
        <v>9904</v>
      </c>
      <c r="H367" t="s">
        <v>896</v>
      </c>
    </row>
    <row r="368" spans="1:8" ht="255" x14ac:dyDescent="0.25">
      <c r="A368" s="21" t="s">
        <v>897</v>
      </c>
      <c r="B368" s="25" t="s">
        <v>899</v>
      </c>
      <c r="C368" s="26"/>
      <c r="D368" s="27"/>
      <c r="E368" s="26"/>
      <c r="F368" s="28"/>
      <c r="G368" s="26"/>
      <c r="H368" t="s">
        <v>898</v>
      </c>
    </row>
    <row r="369" spans="1:8" x14ac:dyDescent="0.25">
      <c r="A369" s="21" t="s">
        <v>900</v>
      </c>
      <c r="B369" s="25" t="s">
        <v>901</v>
      </c>
      <c r="C369" s="26">
        <v>1</v>
      </c>
      <c r="D369" s="27" t="s">
        <v>110</v>
      </c>
      <c r="E369" s="26">
        <v>5305.65</v>
      </c>
      <c r="F369" s="28" t="s">
        <v>68</v>
      </c>
      <c r="G369" s="26">
        <f>ROUND(C369*E369,0)</f>
        <v>5306</v>
      </c>
      <c r="H369" t="s">
        <v>901</v>
      </c>
    </row>
    <row r="370" spans="1:8" x14ac:dyDescent="0.25">
      <c r="A370" s="21" t="s">
        <v>902</v>
      </c>
      <c r="B370" s="25" t="s">
        <v>903</v>
      </c>
      <c r="C370" s="26">
        <v>1</v>
      </c>
      <c r="D370" s="27" t="s">
        <v>110</v>
      </c>
      <c r="E370" s="26">
        <v>5981.4</v>
      </c>
      <c r="F370" s="28" t="s">
        <v>68</v>
      </c>
      <c r="G370" s="26">
        <f>ROUND(C370*E370,0)</f>
        <v>5981</v>
      </c>
      <c r="H370" t="s">
        <v>903</v>
      </c>
    </row>
    <row r="371" spans="1:8" x14ac:dyDescent="0.25">
      <c r="A371" s="21" t="s">
        <v>904</v>
      </c>
      <c r="B371" s="25" t="s">
        <v>905</v>
      </c>
      <c r="C371" s="26">
        <v>1</v>
      </c>
      <c r="D371" s="27" t="s">
        <v>110</v>
      </c>
      <c r="E371" s="26">
        <v>6889.05</v>
      </c>
      <c r="F371" s="28" t="s">
        <v>68</v>
      </c>
      <c r="G371" s="26">
        <f>ROUND(C371*E371,0)</f>
        <v>6889</v>
      </c>
      <c r="H371" t="s">
        <v>905</v>
      </c>
    </row>
    <row r="372" spans="1:8" ht="330" x14ac:dyDescent="0.25">
      <c r="A372" s="21" t="s">
        <v>906</v>
      </c>
      <c r="B372" s="25" t="s">
        <v>908</v>
      </c>
      <c r="C372" s="26"/>
      <c r="D372" s="27"/>
      <c r="E372" s="26"/>
      <c r="F372" s="28"/>
      <c r="G372" s="26"/>
      <c r="H372" t="s">
        <v>907</v>
      </c>
    </row>
    <row r="373" spans="1:8" ht="195" x14ac:dyDescent="0.25">
      <c r="A373" s="21"/>
      <c r="B373" s="25" t="s">
        <v>909</v>
      </c>
      <c r="C373" s="26"/>
      <c r="D373" s="27"/>
      <c r="E373" s="26"/>
      <c r="F373" s="28"/>
      <c r="G373" s="26"/>
    </row>
    <row r="374" spans="1:8" x14ac:dyDescent="0.25">
      <c r="A374" s="21" t="s">
        <v>910</v>
      </c>
      <c r="B374" s="25" t="s">
        <v>911</v>
      </c>
      <c r="C374" s="26">
        <v>1</v>
      </c>
      <c r="D374" s="27" t="s">
        <v>110</v>
      </c>
      <c r="E374" s="26">
        <v>5985.7</v>
      </c>
      <c r="F374" s="28" t="s">
        <v>68</v>
      </c>
      <c r="G374" s="26">
        <f>ROUND(C374*E374,0)</f>
        <v>5986</v>
      </c>
      <c r="H374" t="s">
        <v>911</v>
      </c>
    </row>
    <row r="375" spans="1:8" x14ac:dyDescent="0.25">
      <c r="A375" s="21" t="s">
        <v>912</v>
      </c>
      <c r="B375" s="25" t="s">
        <v>913</v>
      </c>
      <c r="C375" s="26">
        <v>1</v>
      </c>
      <c r="D375" s="27" t="s">
        <v>110</v>
      </c>
      <c r="E375" s="26">
        <v>6699.85</v>
      </c>
      <c r="F375" s="28" t="s">
        <v>68</v>
      </c>
      <c r="G375" s="26">
        <f>ROUND(C375*E375,0)</f>
        <v>6700</v>
      </c>
      <c r="H375" t="s">
        <v>913</v>
      </c>
    </row>
    <row r="376" spans="1:8" x14ac:dyDescent="0.25">
      <c r="A376" s="21" t="s">
        <v>914</v>
      </c>
      <c r="B376" s="25" t="s">
        <v>915</v>
      </c>
      <c r="C376" s="26">
        <v>1</v>
      </c>
      <c r="D376" s="27" t="s">
        <v>110</v>
      </c>
      <c r="E376" s="26">
        <v>7927.6</v>
      </c>
      <c r="F376" s="28" t="s">
        <v>68</v>
      </c>
      <c r="G376" s="26">
        <f>ROUND(C376*E376,0)</f>
        <v>7928</v>
      </c>
      <c r="H376" t="s">
        <v>915</v>
      </c>
    </row>
    <row r="377" spans="1:8" ht="240" x14ac:dyDescent="0.25">
      <c r="A377" s="21" t="s">
        <v>916</v>
      </c>
      <c r="B377" s="25" t="s">
        <v>918</v>
      </c>
      <c r="C377" s="26"/>
      <c r="D377" s="27"/>
      <c r="E377" s="26"/>
      <c r="F377" s="28"/>
      <c r="G377" s="26"/>
      <c r="H377" t="s">
        <v>917</v>
      </c>
    </row>
    <row r="378" spans="1:8" x14ac:dyDescent="0.25">
      <c r="A378" s="21" t="s">
        <v>919</v>
      </c>
      <c r="B378" s="25" t="s">
        <v>920</v>
      </c>
      <c r="C378" s="26">
        <v>1</v>
      </c>
      <c r="D378" s="27" t="s">
        <v>110</v>
      </c>
      <c r="E378" s="26">
        <v>814.85</v>
      </c>
      <c r="F378" s="28" t="s">
        <v>68</v>
      </c>
      <c r="G378" s="26">
        <f>ROUND(C378*E378,0)</f>
        <v>815</v>
      </c>
      <c r="H378" t="s">
        <v>920</v>
      </c>
    </row>
    <row r="379" spans="1:8" x14ac:dyDescent="0.25">
      <c r="A379" s="21" t="s">
        <v>921</v>
      </c>
      <c r="B379" s="25" t="s">
        <v>922</v>
      </c>
      <c r="C379" s="26">
        <v>1</v>
      </c>
      <c r="D379" s="27" t="s">
        <v>110</v>
      </c>
      <c r="E379" s="26">
        <v>757.1</v>
      </c>
      <c r="F379" s="28" t="s">
        <v>68</v>
      </c>
      <c r="G379" s="26">
        <f>ROUND(C379*E379,0)</f>
        <v>757</v>
      </c>
      <c r="H379" t="s">
        <v>922</v>
      </c>
    </row>
    <row r="380" spans="1:8" x14ac:dyDescent="0.25">
      <c r="A380" s="21" t="s">
        <v>923</v>
      </c>
      <c r="B380" s="25" t="s">
        <v>924</v>
      </c>
      <c r="C380" s="26">
        <v>1</v>
      </c>
      <c r="D380" s="27" t="s">
        <v>110</v>
      </c>
      <c r="E380" s="26">
        <v>727.3</v>
      </c>
      <c r="F380" s="28" t="s">
        <v>68</v>
      </c>
      <c r="G380" s="26">
        <f>ROUND(C380*E380,0)</f>
        <v>727</v>
      </c>
      <c r="H380" t="s">
        <v>924</v>
      </c>
    </row>
    <row r="381" spans="1:8" ht="240" x14ac:dyDescent="0.25">
      <c r="A381" s="21" t="s">
        <v>925</v>
      </c>
      <c r="B381" s="25" t="s">
        <v>927</v>
      </c>
      <c r="C381" s="26"/>
      <c r="D381" s="27"/>
      <c r="E381" s="26"/>
      <c r="F381" s="28"/>
      <c r="G381" s="26"/>
      <c r="H381" t="s">
        <v>926</v>
      </c>
    </row>
    <row r="382" spans="1:8" ht="45" x14ac:dyDescent="0.25">
      <c r="A382" s="21"/>
      <c r="B382" s="25" t="s">
        <v>928</v>
      </c>
      <c r="C382" s="26"/>
      <c r="D382" s="27"/>
      <c r="E382" s="26"/>
      <c r="F382" s="28"/>
      <c r="G382" s="26"/>
    </row>
    <row r="383" spans="1:8" ht="30" x14ac:dyDescent="0.25">
      <c r="A383" s="21" t="s">
        <v>929</v>
      </c>
      <c r="B383" s="25" t="s">
        <v>930</v>
      </c>
      <c r="C383" s="26">
        <v>1</v>
      </c>
      <c r="D383" s="27" t="s">
        <v>21</v>
      </c>
      <c r="E383" s="26">
        <v>8509.9500000000007</v>
      </c>
      <c r="F383" s="28" t="s">
        <v>22</v>
      </c>
      <c r="G383" s="26">
        <f>ROUND(C383*E383,0)</f>
        <v>8510</v>
      </c>
      <c r="H383" t="s">
        <v>930</v>
      </c>
    </row>
    <row r="384" spans="1:8" ht="30" x14ac:dyDescent="0.25">
      <c r="A384" s="21" t="s">
        <v>931</v>
      </c>
      <c r="B384" s="25" t="s">
        <v>932</v>
      </c>
      <c r="C384" s="26">
        <v>1</v>
      </c>
      <c r="D384" s="27" t="s">
        <v>21</v>
      </c>
      <c r="E384" s="26">
        <v>9500.2999999999993</v>
      </c>
      <c r="F384" s="28" t="s">
        <v>22</v>
      </c>
      <c r="G384" s="26">
        <f>ROUND(C384*E384,0)</f>
        <v>9500</v>
      </c>
      <c r="H384" t="s">
        <v>932</v>
      </c>
    </row>
    <row r="385" spans="1:8" ht="30" x14ac:dyDescent="0.25">
      <c r="A385" s="21" t="s">
        <v>933</v>
      </c>
      <c r="B385" s="25" t="s">
        <v>935</v>
      </c>
      <c r="C385" s="26">
        <v>1</v>
      </c>
      <c r="D385" s="27" t="s">
        <v>21</v>
      </c>
      <c r="E385" s="26">
        <v>664.85</v>
      </c>
      <c r="F385" s="28" t="s">
        <v>22</v>
      </c>
      <c r="G385" s="26">
        <f>ROUND(C385*E385,0)</f>
        <v>665</v>
      </c>
      <c r="H385" t="s">
        <v>934</v>
      </c>
    </row>
    <row r="386" spans="1:8" ht="240" x14ac:dyDescent="0.25">
      <c r="A386" s="21" t="s">
        <v>936</v>
      </c>
      <c r="B386" s="25" t="s">
        <v>938</v>
      </c>
      <c r="C386" s="26"/>
      <c r="D386" s="27"/>
      <c r="E386" s="26"/>
      <c r="F386" s="28"/>
      <c r="G386" s="26"/>
      <c r="H386" t="s">
        <v>937</v>
      </c>
    </row>
    <row r="387" spans="1:8" ht="270" x14ac:dyDescent="0.25">
      <c r="A387" s="21"/>
      <c r="B387" s="25" t="s">
        <v>939</v>
      </c>
      <c r="C387" s="26"/>
      <c r="D387" s="27"/>
      <c r="E387" s="26"/>
      <c r="F387" s="28"/>
      <c r="G387" s="26"/>
    </row>
    <row r="388" spans="1:8" ht="90" x14ac:dyDescent="0.25">
      <c r="A388" s="21"/>
      <c r="B388" s="25" t="s">
        <v>940</v>
      </c>
      <c r="C388" s="26"/>
      <c r="D388" s="27"/>
      <c r="E388" s="26"/>
      <c r="F388" s="28"/>
      <c r="G388" s="26"/>
    </row>
    <row r="389" spans="1:8" ht="165" x14ac:dyDescent="0.25">
      <c r="A389" s="21"/>
      <c r="B389" s="25" t="s">
        <v>941</v>
      </c>
      <c r="C389" s="26"/>
      <c r="D389" s="27"/>
      <c r="E389" s="26"/>
      <c r="F389" s="28"/>
      <c r="G389" s="26"/>
    </row>
    <row r="390" spans="1:8" ht="45" x14ac:dyDescent="0.25">
      <c r="A390" s="21"/>
      <c r="B390" s="25" t="s">
        <v>942</v>
      </c>
      <c r="C390" s="26">
        <v>1</v>
      </c>
      <c r="D390" s="27" t="s">
        <v>21</v>
      </c>
      <c r="E390" s="26">
        <v>20460.45</v>
      </c>
      <c r="F390" s="28" t="s">
        <v>22</v>
      </c>
      <c r="G390" s="26">
        <f>ROUND(C390*E390,0)</f>
        <v>20460</v>
      </c>
    </row>
    <row r="391" spans="1:8" x14ac:dyDescent="0.25">
      <c r="A391" s="21"/>
      <c r="B391" s="45" t="s">
        <v>943</v>
      </c>
      <c r="C391" s="45"/>
      <c r="D391" s="45"/>
      <c r="E391" s="45"/>
      <c r="F391" s="45"/>
      <c r="G391" s="29">
        <f>SUM(G219:G390)</f>
        <v>839767</v>
      </c>
    </row>
    <row r="392" spans="1:8" x14ac:dyDescent="0.25">
      <c r="A392" s="46" t="s">
        <v>944</v>
      </c>
      <c r="B392" s="47"/>
      <c r="C392" s="47"/>
      <c r="D392" s="47"/>
      <c r="E392" s="47"/>
      <c r="F392" s="47"/>
      <c r="G392" s="47"/>
    </row>
    <row r="393" spans="1:8" ht="45" x14ac:dyDescent="0.25">
      <c r="A393" s="21" t="s">
        <v>945</v>
      </c>
      <c r="B393" s="25" t="s">
        <v>947</v>
      </c>
      <c r="C393" s="26"/>
      <c r="D393" s="27"/>
      <c r="E393" s="26"/>
      <c r="F393" s="28"/>
      <c r="G393" s="26"/>
      <c r="H393" t="s">
        <v>946</v>
      </c>
    </row>
    <row r="394" spans="1:8" ht="30" x14ac:dyDescent="0.25">
      <c r="A394" s="21" t="s">
        <v>948</v>
      </c>
      <c r="B394" s="25" t="s">
        <v>950</v>
      </c>
      <c r="C394" s="26">
        <v>1</v>
      </c>
      <c r="D394" s="27" t="s">
        <v>21</v>
      </c>
      <c r="E394" s="26">
        <v>7370.65</v>
      </c>
      <c r="F394" s="28" t="s">
        <v>22</v>
      </c>
      <c r="G394" s="26">
        <f>ROUND(C394*E394,0)</f>
        <v>7371</v>
      </c>
      <c r="H394" t="s">
        <v>949</v>
      </c>
    </row>
    <row r="395" spans="1:8" ht="30" x14ac:dyDescent="0.25">
      <c r="A395" s="21" t="s">
        <v>951</v>
      </c>
      <c r="B395" s="25" t="s">
        <v>953</v>
      </c>
      <c r="C395" s="26">
        <v>1</v>
      </c>
      <c r="D395" s="27" t="s">
        <v>21</v>
      </c>
      <c r="E395" s="26">
        <v>7132.25</v>
      </c>
      <c r="F395" s="28" t="s">
        <v>22</v>
      </c>
      <c r="G395" s="26">
        <f>ROUND(C395*E395,0)</f>
        <v>7132</v>
      </c>
      <c r="H395" t="s">
        <v>952</v>
      </c>
    </row>
    <row r="396" spans="1:8" ht="45" x14ac:dyDescent="0.25">
      <c r="A396" s="21" t="s">
        <v>954</v>
      </c>
      <c r="B396" s="25" t="s">
        <v>956</v>
      </c>
      <c r="C396" s="26"/>
      <c r="D396" s="27"/>
      <c r="E396" s="26"/>
      <c r="F396" s="28"/>
      <c r="G396" s="26"/>
      <c r="H396" t="s">
        <v>955</v>
      </c>
    </row>
    <row r="397" spans="1:8" ht="30" x14ac:dyDescent="0.25">
      <c r="A397" s="21" t="s">
        <v>957</v>
      </c>
      <c r="B397" s="25" t="s">
        <v>950</v>
      </c>
      <c r="C397" s="26">
        <v>1</v>
      </c>
      <c r="D397" s="27" t="s">
        <v>21</v>
      </c>
      <c r="E397" s="26">
        <v>6504.9</v>
      </c>
      <c r="F397" s="28" t="s">
        <v>22</v>
      </c>
      <c r="G397" s="26">
        <f>ROUND(C397*E397,0)</f>
        <v>6505</v>
      </c>
      <c r="H397" t="s">
        <v>949</v>
      </c>
    </row>
    <row r="398" spans="1:8" ht="30" x14ac:dyDescent="0.25">
      <c r="A398" s="21" t="s">
        <v>958</v>
      </c>
      <c r="B398" s="25" t="s">
        <v>959</v>
      </c>
      <c r="C398" s="26">
        <v>1</v>
      </c>
      <c r="D398" s="27" t="s">
        <v>21</v>
      </c>
      <c r="E398" s="26">
        <v>6295.15</v>
      </c>
      <c r="F398" s="28" t="s">
        <v>22</v>
      </c>
      <c r="G398" s="26">
        <f>ROUND(C398*E398,0)</f>
        <v>6295</v>
      </c>
      <c r="H398" t="s">
        <v>952</v>
      </c>
    </row>
    <row r="399" spans="1:8" ht="75" x14ac:dyDescent="0.25">
      <c r="A399" s="21" t="s">
        <v>960</v>
      </c>
      <c r="B399" s="25" t="s">
        <v>962</v>
      </c>
      <c r="C399" s="26"/>
      <c r="D399" s="27"/>
      <c r="E399" s="26"/>
      <c r="F399" s="28"/>
      <c r="G399" s="26"/>
      <c r="H399" t="s">
        <v>961</v>
      </c>
    </row>
    <row r="400" spans="1:8" ht="30" x14ac:dyDescent="0.25">
      <c r="A400" s="21" t="s">
        <v>963</v>
      </c>
      <c r="B400" s="25" t="s">
        <v>964</v>
      </c>
      <c r="C400" s="26">
        <v>1</v>
      </c>
      <c r="D400" s="27" t="s">
        <v>21</v>
      </c>
      <c r="E400" s="26">
        <v>9299.9</v>
      </c>
      <c r="F400" s="28" t="s">
        <v>22</v>
      </c>
      <c r="G400" s="26">
        <f>ROUND(C400*E400,0)</f>
        <v>9300</v>
      </c>
      <c r="H400" t="s">
        <v>964</v>
      </c>
    </row>
    <row r="401" spans="1:8" ht="30" x14ac:dyDescent="0.25">
      <c r="A401" s="21" t="s">
        <v>965</v>
      </c>
      <c r="B401" s="25" t="s">
        <v>966</v>
      </c>
      <c r="C401" s="26">
        <v>1</v>
      </c>
      <c r="D401" s="27" t="s">
        <v>21</v>
      </c>
      <c r="E401" s="26">
        <v>8942.35</v>
      </c>
      <c r="F401" s="28" t="s">
        <v>22</v>
      </c>
      <c r="G401" s="26">
        <f>ROUND(C401*E401,0)</f>
        <v>8942</v>
      </c>
      <c r="H401" t="s">
        <v>966</v>
      </c>
    </row>
    <row r="402" spans="1:8" ht="60" x14ac:dyDescent="0.25">
      <c r="A402" s="21" t="s">
        <v>967</v>
      </c>
      <c r="B402" s="25" t="s">
        <v>969</v>
      </c>
      <c r="C402" s="26"/>
      <c r="D402" s="27"/>
      <c r="E402" s="26"/>
      <c r="F402" s="28"/>
      <c r="G402" s="26"/>
      <c r="H402" t="s">
        <v>968</v>
      </c>
    </row>
    <row r="403" spans="1:8" ht="30" x14ac:dyDescent="0.25">
      <c r="A403" s="21" t="s">
        <v>970</v>
      </c>
      <c r="B403" s="25" t="s">
        <v>950</v>
      </c>
      <c r="C403" s="26">
        <v>1</v>
      </c>
      <c r="D403" s="27" t="s">
        <v>21</v>
      </c>
      <c r="E403" s="26">
        <v>9344.35</v>
      </c>
      <c r="F403" s="28" t="s">
        <v>22</v>
      </c>
      <c r="G403" s="26">
        <f t="shared" ref="G403:G411" si="13">ROUND(C403*E403,0)</f>
        <v>9344</v>
      </c>
      <c r="H403" t="s">
        <v>953</v>
      </c>
    </row>
    <row r="404" spans="1:8" ht="30" x14ac:dyDescent="0.25">
      <c r="A404" s="21" t="s">
        <v>971</v>
      </c>
      <c r="B404" s="25" t="s">
        <v>953</v>
      </c>
      <c r="C404" s="26">
        <v>1</v>
      </c>
      <c r="D404" s="27" t="s">
        <v>21</v>
      </c>
      <c r="E404" s="26">
        <v>9105.9500000000007</v>
      </c>
      <c r="F404" s="28" t="s">
        <v>22</v>
      </c>
      <c r="G404" s="26">
        <f t="shared" si="13"/>
        <v>9106</v>
      </c>
      <c r="H404" t="s">
        <v>953</v>
      </c>
    </row>
    <row r="405" spans="1:8" ht="60" x14ac:dyDescent="0.25">
      <c r="A405" s="21" t="s">
        <v>972</v>
      </c>
      <c r="B405" s="25" t="s">
        <v>974</v>
      </c>
      <c r="C405" s="26">
        <v>1</v>
      </c>
      <c r="D405" s="27" t="s">
        <v>21</v>
      </c>
      <c r="E405" s="26">
        <v>169.45</v>
      </c>
      <c r="F405" s="28" t="s">
        <v>22</v>
      </c>
      <c r="G405" s="26">
        <f t="shared" si="13"/>
        <v>169</v>
      </c>
      <c r="H405" t="s">
        <v>973</v>
      </c>
    </row>
    <row r="406" spans="1:8" ht="90" x14ac:dyDescent="0.25">
      <c r="A406" s="21" t="s">
        <v>975</v>
      </c>
      <c r="B406" s="25" t="s">
        <v>977</v>
      </c>
      <c r="C406" s="26">
        <v>1</v>
      </c>
      <c r="D406" s="27" t="s">
        <v>15</v>
      </c>
      <c r="E406" s="26">
        <v>234.2</v>
      </c>
      <c r="F406" s="28" t="s">
        <v>16</v>
      </c>
      <c r="G406" s="26">
        <f t="shared" si="13"/>
        <v>234</v>
      </c>
      <c r="H406" t="s">
        <v>976</v>
      </c>
    </row>
    <row r="407" spans="1:8" ht="90" x14ac:dyDescent="0.25">
      <c r="A407" s="21" t="s">
        <v>978</v>
      </c>
      <c r="B407" s="25" t="s">
        <v>980</v>
      </c>
      <c r="C407" s="26">
        <v>1</v>
      </c>
      <c r="D407" s="27" t="s">
        <v>110</v>
      </c>
      <c r="E407" s="26">
        <v>300.75</v>
      </c>
      <c r="F407" s="28" t="s">
        <v>981</v>
      </c>
      <c r="G407" s="26">
        <f t="shared" si="13"/>
        <v>301</v>
      </c>
      <c r="H407" t="s">
        <v>979</v>
      </c>
    </row>
    <row r="408" spans="1:8" ht="75" x14ac:dyDescent="0.25">
      <c r="A408" s="21" t="s">
        <v>982</v>
      </c>
      <c r="B408" s="25" t="s">
        <v>984</v>
      </c>
      <c r="C408" s="26">
        <v>1</v>
      </c>
      <c r="D408" s="27" t="s">
        <v>15</v>
      </c>
      <c r="E408" s="26">
        <v>865.65</v>
      </c>
      <c r="F408" s="28" t="s">
        <v>16</v>
      </c>
      <c r="G408" s="26">
        <f t="shared" si="13"/>
        <v>866</v>
      </c>
      <c r="H408" t="s">
        <v>983</v>
      </c>
    </row>
    <row r="409" spans="1:8" ht="105" x14ac:dyDescent="0.25">
      <c r="A409" s="21" t="s">
        <v>985</v>
      </c>
      <c r="B409" s="25" t="s">
        <v>987</v>
      </c>
      <c r="C409" s="26">
        <v>1</v>
      </c>
      <c r="D409" s="27" t="s">
        <v>21</v>
      </c>
      <c r="E409" s="26">
        <v>15077.95</v>
      </c>
      <c r="F409" s="28" t="s">
        <v>22</v>
      </c>
      <c r="G409" s="26">
        <f t="shared" si="13"/>
        <v>15078</v>
      </c>
      <c r="H409" t="s">
        <v>986</v>
      </c>
    </row>
    <row r="410" spans="1:8" ht="105" x14ac:dyDescent="0.25">
      <c r="A410" s="21" t="s">
        <v>988</v>
      </c>
      <c r="B410" s="25" t="s">
        <v>990</v>
      </c>
      <c r="C410" s="26">
        <v>1</v>
      </c>
      <c r="D410" s="27" t="s">
        <v>21</v>
      </c>
      <c r="E410" s="26">
        <v>19066.099999999999</v>
      </c>
      <c r="F410" s="28" t="s">
        <v>22</v>
      </c>
      <c r="G410" s="26">
        <f t="shared" si="13"/>
        <v>19066</v>
      </c>
      <c r="H410" t="s">
        <v>989</v>
      </c>
    </row>
    <row r="411" spans="1:8" ht="60" x14ac:dyDescent="0.25">
      <c r="A411" s="21" t="s">
        <v>991</v>
      </c>
      <c r="B411" s="25" t="s">
        <v>993</v>
      </c>
      <c r="C411" s="26">
        <v>1</v>
      </c>
      <c r="D411" s="27" t="s">
        <v>15</v>
      </c>
      <c r="E411" s="26">
        <v>608.15</v>
      </c>
      <c r="F411" s="28" t="s">
        <v>16</v>
      </c>
      <c r="G411" s="26">
        <f t="shared" si="13"/>
        <v>608</v>
      </c>
      <c r="H411" t="s">
        <v>992</v>
      </c>
    </row>
    <row r="412" spans="1:8" ht="45" x14ac:dyDescent="0.25">
      <c r="A412" s="21" t="s">
        <v>994</v>
      </c>
      <c r="B412" s="25" t="s">
        <v>996</v>
      </c>
      <c r="C412" s="26"/>
      <c r="D412" s="27"/>
      <c r="E412" s="26"/>
      <c r="F412" s="28"/>
      <c r="G412" s="26"/>
      <c r="H412" t="s">
        <v>995</v>
      </c>
    </row>
    <row r="413" spans="1:8" ht="30" x14ac:dyDescent="0.25">
      <c r="A413" s="21" t="s">
        <v>997</v>
      </c>
      <c r="B413" s="25" t="s">
        <v>999</v>
      </c>
      <c r="C413" s="26">
        <v>1</v>
      </c>
      <c r="D413" s="27" t="s">
        <v>15</v>
      </c>
      <c r="E413" s="26">
        <v>931.75</v>
      </c>
      <c r="F413" s="28" t="s">
        <v>16</v>
      </c>
      <c r="G413" s="26">
        <f>ROUND(C413*E413,0)</f>
        <v>932</v>
      </c>
      <c r="H413" t="s">
        <v>998</v>
      </c>
    </row>
    <row r="414" spans="1:8" ht="30" x14ac:dyDescent="0.25">
      <c r="A414" s="21" t="s">
        <v>1000</v>
      </c>
      <c r="B414" s="25" t="s">
        <v>950</v>
      </c>
      <c r="C414" s="26">
        <v>1</v>
      </c>
      <c r="D414" s="27" t="s">
        <v>15</v>
      </c>
      <c r="E414" s="26">
        <v>905.05</v>
      </c>
      <c r="F414" s="28" t="s">
        <v>16</v>
      </c>
      <c r="G414" s="26">
        <f>ROUND(C414*E414,0)</f>
        <v>905</v>
      </c>
      <c r="H414" t="s">
        <v>1001</v>
      </c>
    </row>
    <row r="415" spans="1:8" ht="60" x14ac:dyDescent="0.25">
      <c r="A415" s="21" t="s">
        <v>1002</v>
      </c>
      <c r="B415" s="25" t="s">
        <v>1004</v>
      </c>
      <c r="C415" s="26"/>
      <c r="D415" s="27"/>
      <c r="E415" s="26"/>
      <c r="F415" s="28"/>
      <c r="G415" s="26"/>
      <c r="H415" t="s">
        <v>1003</v>
      </c>
    </row>
    <row r="416" spans="1:8" ht="30" x14ac:dyDescent="0.25">
      <c r="A416" s="21" t="s">
        <v>1005</v>
      </c>
      <c r="B416" s="25" t="s">
        <v>1007</v>
      </c>
      <c r="C416" s="26">
        <v>1</v>
      </c>
      <c r="D416" s="27" t="s">
        <v>15</v>
      </c>
      <c r="E416" s="26">
        <v>1150.5</v>
      </c>
      <c r="F416" s="28" t="s">
        <v>16</v>
      </c>
      <c r="G416" s="26">
        <f>ROUND(C416*E416,0)</f>
        <v>1151</v>
      </c>
      <c r="H416" t="s">
        <v>1006</v>
      </c>
    </row>
    <row r="417" spans="1:8" ht="30" x14ac:dyDescent="0.25">
      <c r="A417" s="21" t="s">
        <v>1008</v>
      </c>
      <c r="B417" s="25" t="s">
        <v>1010</v>
      </c>
      <c r="C417" s="26">
        <v>1</v>
      </c>
      <c r="D417" s="27" t="s">
        <v>15</v>
      </c>
      <c r="E417" s="26">
        <v>1123.8</v>
      </c>
      <c r="F417" s="28" t="s">
        <v>16</v>
      </c>
      <c r="G417" s="26">
        <f>ROUND(C417*E417,0)</f>
        <v>1124</v>
      </c>
      <c r="H417" t="s">
        <v>1009</v>
      </c>
    </row>
    <row r="418" spans="1:8" ht="45" x14ac:dyDescent="0.25">
      <c r="A418" s="21" t="s">
        <v>1011</v>
      </c>
      <c r="B418" s="25" t="s">
        <v>1013</v>
      </c>
      <c r="C418" s="26">
        <v>1</v>
      </c>
      <c r="D418" s="27" t="s">
        <v>15</v>
      </c>
      <c r="E418" s="26">
        <v>15</v>
      </c>
      <c r="F418" s="28" t="s">
        <v>16</v>
      </c>
      <c r="G418" s="26">
        <f>ROUND(C418*E418,0)</f>
        <v>15</v>
      </c>
      <c r="H418" t="s">
        <v>1012</v>
      </c>
    </row>
    <row r="419" spans="1:8" ht="45" x14ac:dyDescent="0.25">
      <c r="A419" s="21" t="s">
        <v>1014</v>
      </c>
      <c r="B419" s="25" t="s">
        <v>1016</v>
      </c>
      <c r="C419" s="26">
        <v>1</v>
      </c>
      <c r="D419" s="27" t="s">
        <v>15</v>
      </c>
      <c r="E419" s="26">
        <v>104.8</v>
      </c>
      <c r="F419" s="28" t="s">
        <v>16</v>
      </c>
      <c r="G419" s="26">
        <f>ROUND(C419*E419,0)</f>
        <v>105</v>
      </c>
      <c r="H419" t="s">
        <v>1015</v>
      </c>
    </row>
    <row r="420" spans="1:8" ht="45" x14ac:dyDescent="0.25">
      <c r="A420" s="21" t="s">
        <v>1017</v>
      </c>
      <c r="B420" s="25" t="s">
        <v>1019</v>
      </c>
      <c r="C420" s="26"/>
      <c r="D420" s="27"/>
      <c r="E420" s="26"/>
      <c r="F420" s="28"/>
      <c r="G420" s="26"/>
      <c r="H420" t="s">
        <v>1018</v>
      </c>
    </row>
    <row r="421" spans="1:8" ht="30" x14ac:dyDescent="0.25">
      <c r="A421" s="21" t="s">
        <v>1020</v>
      </c>
      <c r="B421" s="25" t="s">
        <v>950</v>
      </c>
      <c r="C421" s="26">
        <v>1</v>
      </c>
      <c r="D421" s="27" t="s">
        <v>21</v>
      </c>
      <c r="E421" s="26">
        <v>11212.5</v>
      </c>
      <c r="F421" s="28" t="s">
        <v>22</v>
      </c>
      <c r="G421" s="26">
        <f t="shared" ref="G421:G429" si="14">ROUND(C421*E421,0)</f>
        <v>11213</v>
      </c>
      <c r="H421" t="s">
        <v>1009</v>
      </c>
    </row>
    <row r="422" spans="1:8" ht="30" x14ac:dyDescent="0.25">
      <c r="A422" s="21" t="s">
        <v>1021</v>
      </c>
      <c r="B422" s="25" t="s">
        <v>1023</v>
      </c>
      <c r="C422" s="26">
        <v>1</v>
      </c>
      <c r="D422" s="27" t="s">
        <v>21</v>
      </c>
      <c r="E422" s="26">
        <v>10831.05</v>
      </c>
      <c r="F422" s="28" t="s">
        <v>22</v>
      </c>
      <c r="G422" s="26">
        <f t="shared" si="14"/>
        <v>10831</v>
      </c>
      <c r="H422" t="s">
        <v>1022</v>
      </c>
    </row>
    <row r="423" spans="1:8" ht="75" x14ac:dyDescent="0.25">
      <c r="A423" s="21" t="s">
        <v>1024</v>
      </c>
      <c r="B423" s="25" t="s">
        <v>1026</v>
      </c>
      <c r="C423" s="26">
        <v>1</v>
      </c>
      <c r="D423" s="27" t="s">
        <v>21</v>
      </c>
      <c r="E423" s="26">
        <v>11328.5</v>
      </c>
      <c r="F423" s="28" t="s">
        <v>22</v>
      </c>
      <c r="G423" s="26">
        <f t="shared" si="14"/>
        <v>11329</v>
      </c>
      <c r="H423" t="s">
        <v>1025</v>
      </c>
    </row>
    <row r="424" spans="1:8" ht="75" x14ac:dyDescent="0.25">
      <c r="A424" s="21" t="s">
        <v>1027</v>
      </c>
      <c r="B424" s="25" t="s">
        <v>1029</v>
      </c>
      <c r="C424" s="26">
        <v>1</v>
      </c>
      <c r="D424" s="27" t="s">
        <v>21</v>
      </c>
      <c r="E424" s="26">
        <v>12883.05</v>
      </c>
      <c r="F424" s="28" t="s">
        <v>22</v>
      </c>
      <c r="G424" s="26">
        <f t="shared" si="14"/>
        <v>12883</v>
      </c>
      <c r="H424" t="s">
        <v>1028</v>
      </c>
    </row>
    <row r="425" spans="1:8" ht="90" x14ac:dyDescent="0.25">
      <c r="A425" s="21" t="s">
        <v>1030</v>
      </c>
      <c r="B425" s="25" t="s">
        <v>1032</v>
      </c>
      <c r="C425" s="26">
        <v>1</v>
      </c>
      <c r="D425" s="27" t="s">
        <v>21</v>
      </c>
      <c r="E425" s="26">
        <v>18975.150000000001</v>
      </c>
      <c r="F425" s="28" t="s">
        <v>22</v>
      </c>
      <c r="G425" s="26">
        <f t="shared" si="14"/>
        <v>18975</v>
      </c>
      <c r="H425" t="s">
        <v>1031</v>
      </c>
    </row>
    <row r="426" spans="1:8" ht="90" x14ac:dyDescent="0.25">
      <c r="A426" s="21" t="s">
        <v>1033</v>
      </c>
      <c r="B426" s="25" t="s">
        <v>1035</v>
      </c>
      <c r="C426" s="26">
        <v>1</v>
      </c>
      <c r="D426" s="27" t="s">
        <v>21</v>
      </c>
      <c r="E426" s="26">
        <v>23019.75</v>
      </c>
      <c r="F426" s="28" t="s">
        <v>22</v>
      </c>
      <c r="G426" s="26">
        <f t="shared" si="14"/>
        <v>23020</v>
      </c>
      <c r="H426" t="s">
        <v>1034</v>
      </c>
    </row>
    <row r="427" spans="1:8" ht="75" x14ac:dyDescent="0.25">
      <c r="A427" s="21" t="s">
        <v>1036</v>
      </c>
      <c r="B427" s="25" t="s">
        <v>1038</v>
      </c>
      <c r="C427" s="26">
        <v>1</v>
      </c>
      <c r="D427" s="27" t="s">
        <v>15</v>
      </c>
      <c r="E427" s="26">
        <v>885.45</v>
      </c>
      <c r="F427" s="28" t="s">
        <v>16</v>
      </c>
      <c r="G427" s="26">
        <f t="shared" si="14"/>
        <v>885</v>
      </c>
      <c r="H427" t="s">
        <v>1037</v>
      </c>
    </row>
    <row r="428" spans="1:8" ht="75" x14ac:dyDescent="0.25">
      <c r="A428" s="21" t="s">
        <v>1039</v>
      </c>
      <c r="B428" s="25" t="s">
        <v>1041</v>
      </c>
      <c r="C428" s="26">
        <v>1</v>
      </c>
      <c r="D428" s="27" t="s">
        <v>15</v>
      </c>
      <c r="E428" s="26">
        <v>711.5</v>
      </c>
      <c r="F428" s="28" t="s">
        <v>16</v>
      </c>
      <c r="G428" s="26">
        <f t="shared" si="14"/>
        <v>712</v>
      </c>
      <c r="H428" t="s">
        <v>1040</v>
      </c>
    </row>
    <row r="429" spans="1:8" ht="30" x14ac:dyDescent="0.25">
      <c r="A429" s="21" t="s">
        <v>1042</v>
      </c>
      <c r="B429" s="25" t="s">
        <v>1044</v>
      </c>
      <c r="C429" s="26">
        <v>1</v>
      </c>
      <c r="D429" s="27" t="s">
        <v>21</v>
      </c>
      <c r="E429" s="26">
        <v>467.55</v>
      </c>
      <c r="F429" s="28" t="s">
        <v>22</v>
      </c>
      <c r="G429" s="26">
        <f t="shared" si="14"/>
        <v>468</v>
      </c>
      <c r="H429" t="s">
        <v>1043</v>
      </c>
    </row>
    <row r="430" spans="1:8" ht="90" x14ac:dyDescent="0.25">
      <c r="A430" s="21" t="s">
        <v>1045</v>
      </c>
      <c r="B430" s="25" t="s">
        <v>1047</v>
      </c>
      <c r="C430" s="26"/>
      <c r="D430" s="27"/>
      <c r="E430" s="26"/>
      <c r="F430" s="28"/>
      <c r="G430" s="26"/>
      <c r="H430" t="s">
        <v>1046</v>
      </c>
    </row>
    <row r="431" spans="1:8" ht="30" x14ac:dyDescent="0.25">
      <c r="A431" s="21" t="s">
        <v>1048</v>
      </c>
      <c r="B431" s="25" t="s">
        <v>1050</v>
      </c>
      <c r="C431" s="26">
        <v>1</v>
      </c>
      <c r="D431" s="27" t="s">
        <v>21</v>
      </c>
      <c r="E431" s="26">
        <v>7361.35</v>
      </c>
      <c r="F431" s="28" t="s">
        <v>22</v>
      </c>
      <c r="G431" s="26">
        <f>ROUND(C431*E431,0)</f>
        <v>7361</v>
      </c>
      <c r="H431" t="s">
        <v>1049</v>
      </c>
    </row>
    <row r="432" spans="1:8" ht="30" x14ac:dyDescent="0.25">
      <c r="A432" s="21" t="s">
        <v>1051</v>
      </c>
      <c r="B432" s="25" t="s">
        <v>1052</v>
      </c>
      <c r="C432" s="26">
        <v>1</v>
      </c>
      <c r="D432" s="27" t="s">
        <v>21</v>
      </c>
      <c r="E432" s="26">
        <v>9439.75</v>
      </c>
      <c r="F432" s="28" t="s">
        <v>22</v>
      </c>
      <c r="G432" s="26">
        <f>ROUND(C432*E432,0)</f>
        <v>9440</v>
      </c>
      <c r="H432" t="s">
        <v>1052</v>
      </c>
    </row>
    <row r="433" spans="1:8" ht="75" x14ac:dyDescent="0.25">
      <c r="A433" s="21" t="s">
        <v>1053</v>
      </c>
      <c r="B433" s="25" t="s">
        <v>1055</v>
      </c>
      <c r="C433" s="26"/>
      <c r="D433" s="27"/>
      <c r="E433" s="26"/>
      <c r="F433" s="28"/>
      <c r="G433" s="26"/>
      <c r="H433" t="s">
        <v>1054</v>
      </c>
    </row>
    <row r="434" spans="1:8" ht="30" x14ac:dyDescent="0.25">
      <c r="A434" s="21" t="s">
        <v>1056</v>
      </c>
      <c r="B434" s="25" t="s">
        <v>1049</v>
      </c>
      <c r="C434" s="26">
        <v>1</v>
      </c>
      <c r="D434" s="27" t="s">
        <v>21</v>
      </c>
      <c r="E434" s="26">
        <v>6339.2</v>
      </c>
      <c r="F434" s="28" t="s">
        <v>22</v>
      </c>
      <c r="G434" s="26">
        <f>ROUND(C434*E434,0)</f>
        <v>6339</v>
      </c>
      <c r="H434" t="s">
        <v>1049</v>
      </c>
    </row>
    <row r="435" spans="1:8" ht="30" x14ac:dyDescent="0.25">
      <c r="A435" s="21" t="s">
        <v>1057</v>
      </c>
      <c r="B435" s="25" t="s">
        <v>1052</v>
      </c>
      <c r="C435" s="26">
        <v>1</v>
      </c>
      <c r="D435" s="27" t="s">
        <v>21</v>
      </c>
      <c r="E435" s="26">
        <v>8312.9</v>
      </c>
      <c r="F435" s="28" t="s">
        <v>22</v>
      </c>
      <c r="G435" s="26">
        <f>ROUND(C435*E435,0)</f>
        <v>8313</v>
      </c>
      <c r="H435" t="s">
        <v>1052</v>
      </c>
    </row>
    <row r="436" spans="1:8" ht="90" x14ac:dyDescent="0.25">
      <c r="A436" s="21" t="s">
        <v>1058</v>
      </c>
      <c r="B436" s="25" t="s">
        <v>1060</v>
      </c>
      <c r="C436" s="26"/>
      <c r="D436" s="27"/>
      <c r="E436" s="26"/>
      <c r="F436" s="28"/>
      <c r="G436" s="26"/>
      <c r="H436" t="s">
        <v>1059</v>
      </c>
    </row>
    <row r="437" spans="1:8" ht="30" x14ac:dyDescent="0.25">
      <c r="A437" s="21" t="s">
        <v>1061</v>
      </c>
      <c r="B437" s="25" t="s">
        <v>1049</v>
      </c>
      <c r="C437" s="26">
        <v>1</v>
      </c>
      <c r="D437" s="27" t="s">
        <v>21</v>
      </c>
      <c r="E437" s="26">
        <v>6997.4</v>
      </c>
      <c r="F437" s="28" t="s">
        <v>22</v>
      </c>
      <c r="G437" s="26">
        <f>ROUND(C437*E437,0)</f>
        <v>6997</v>
      </c>
      <c r="H437" t="s">
        <v>1049</v>
      </c>
    </row>
    <row r="438" spans="1:8" ht="30" x14ac:dyDescent="0.25">
      <c r="A438" s="21" t="s">
        <v>1062</v>
      </c>
      <c r="B438" s="25" t="s">
        <v>1052</v>
      </c>
      <c r="C438" s="26">
        <v>1</v>
      </c>
      <c r="D438" s="27" t="s">
        <v>21</v>
      </c>
      <c r="E438" s="26">
        <v>8971.1</v>
      </c>
      <c r="F438" s="28" t="s">
        <v>22</v>
      </c>
      <c r="G438" s="26">
        <f>ROUND(C438*E438,0)</f>
        <v>8971</v>
      </c>
      <c r="H438" t="s">
        <v>1052</v>
      </c>
    </row>
    <row r="439" spans="1:8" ht="90" x14ac:dyDescent="0.25">
      <c r="A439" s="21" t="s">
        <v>1063</v>
      </c>
      <c r="B439" s="25" t="s">
        <v>1065</v>
      </c>
      <c r="C439" s="26"/>
      <c r="D439" s="27"/>
      <c r="E439" s="26"/>
      <c r="F439" s="28"/>
      <c r="G439" s="26"/>
      <c r="H439" t="s">
        <v>1064</v>
      </c>
    </row>
    <row r="440" spans="1:8" ht="30" x14ac:dyDescent="0.25">
      <c r="A440" s="21" t="s">
        <v>1066</v>
      </c>
      <c r="B440" s="25" t="s">
        <v>1049</v>
      </c>
      <c r="C440" s="26">
        <v>1</v>
      </c>
      <c r="D440" s="27" t="s">
        <v>21</v>
      </c>
      <c r="E440" s="26">
        <v>7581.15</v>
      </c>
      <c r="F440" s="28" t="s">
        <v>22</v>
      </c>
      <c r="G440" s="26">
        <f>ROUND(C440*E440,0)</f>
        <v>7581</v>
      </c>
      <c r="H440" t="s">
        <v>1049</v>
      </c>
    </row>
    <row r="441" spans="1:8" ht="30" x14ac:dyDescent="0.25">
      <c r="A441" s="21" t="s">
        <v>1067</v>
      </c>
      <c r="B441" s="25" t="s">
        <v>1052</v>
      </c>
      <c r="C441" s="26">
        <v>1</v>
      </c>
      <c r="D441" s="27" t="s">
        <v>21</v>
      </c>
      <c r="E441" s="26">
        <v>9481.7000000000007</v>
      </c>
      <c r="F441" s="28" t="s">
        <v>22</v>
      </c>
      <c r="G441" s="26">
        <f>ROUND(C441*E441,0)</f>
        <v>9482</v>
      </c>
      <c r="H441" t="s">
        <v>1052</v>
      </c>
    </row>
    <row r="442" spans="1:8" ht="105" x14ac:dyDescent="0.25">
      <c r="A442" s="21" t="s">
        <v>1068</v>
      </c>
      <c r="B442" s="25" t="s">
        <v>1070</v>
      </c>
      <c r="C442" s="26"/>
      <c r="D442" s="27"/>
      <c r="E442" s="26"/>
      <c r="F442" s="28"/>
      <c r="G442" s="26"/>
      <c r="H442" t="s">
        <v>1069</v>
      </c>
    </row>
    <row r="443" spans="1:8" ht="30" x14ac:dyDescent="0.25">
      <c r="A443" s="21" t="s">
        <v>1071</v>
      </c>
      <c r="B443" s="25" t="s">
        <v>1049</v>
      </c>
      <c r="C443" s="26">
        <v>1</v>
      </c>
      <c r="D443" s="27" t="s">
        <v>21</v>
      </c>
      <c r="E443" s="26">
        <v>7370.3</v>
      </c>
      <c r="F443" s="28" t="s">
        <v>22</v>
      </c>
      <c r="G443" s="26">
        <f>ROUND(C443*E443,0)</f>
        <v>7370</v>
      </c>
      <c r="H443" t="s">
        <v>1049</v>
      </c>
    </row>
    <row r="444" spans="1:8" ht="30" x14ac:dyDescent="0.25">
      <c r="A444" s="21" t="s">
        <v>1072</v>
      </c>
      <c r="B444" s="25" t="s">
        <v>1052</v>
      </c>
      <c r="C444" s="26">
        <v>1</v>
      </c>
      <c r="D444" s="27" t="s">
        <v>21</v>
      </c>
      <c r="E444" s="26">
        <v>9344</v>
      </c>
      <c r="F444" s="28" t="s">
        <v>22</v>
      </c>
      <c r="G444" s="26">
        <f>ROUND(C444*E444,0)</f>
        <v>9344</v>
      </c>
      <c r="H444" t="s">
        <v>1052</v>
      </c>
    </row>
    <row r="445" spans="1:8" ht="105" x14ac:dyDescent="0.25">
      <c r="A445" s="21" t="s">
        <v>1073</v>
      </c>
      <c r="B445" s="25" t="s">
        <v>1075</v>
      </c>
      <c r="C445" s="26"/>
      <c r="D445" s="27"/>
      <c r="E445" s="26"/>
      <c r="F445" s="28"/>
      <c r="G445" s="26"/>
      <c r="H445" t="s">
        <v>1074</v>
      </c>
    </row>
    <row r="446" spans="1:8" ht="30" x14ac:dyDescent="0.25">
      <c r="A446" s="21" t="s">
        <v>1076</v>
      </c>
      <c r="B446" s="25" t="s">
        <v>1049</v>
      </c>
      <c r="C446" s="26">
        <v>1</v>
      </c>
      <c r="D446" s="27" t="s">
        <v>21</v>
      </c>
      <c r="E446" s="26">
        <v>7032.05</v>
      </c>
      <c r="F446" s="28" t="s">
        <v>22</v>
      </c>
      <c r="G446" s="26">
        <f>ROUND(C446*E446,0)</f>
        <v>7032</v>
      </c>
      <c r="H446" t="s">
        <v>1049</v>
      </c>
    </row>
    <row r="447" spans="1:8" ht="30" x14ac:dyDescent="0.25">
      <c r="A447" s="21" t="s">
        <v>1077</v>
      </c>
      <c r="B447" s="25" t="s">
        <v>1052</v>
      </c>
      <c r="C447" s="26">
        <v>1</v>
      </c>
      <c r="D447" s="27" t="s">
        <v>21</v>
      </c>
      <c r="E447" s="26">
        <v>9005.75</v>
      </c>
      <c r="F447" s="28" t="s">
        <v>22</v>
      </c>
      <c r="G447" s="26">
        <f>ROUND(C447*E447,0)</f>
        <v>9006</v>
      </c>
      <c r="H447" t="s">
        <v>1052</v>
      </c>
    </row>
    <row r="448" spans="1:8" ht="45" x14ac:dyDescent="0.25">
      <c r="A448" s="21" t="s">
        <v>1078</v>
      </c>
      <c r="B448" s="25" t="s">
        <v>1080</v>
      </c>
      <c r="C448" s="26"/>
      <c r="D448" s="27"/>
      <c r="E448" s="26"/>
      <c r="F448" s="28"/>
      <c r="G448" s="26"/>
      <c r="H448" t="s">
        <v>1079</v>
      </c>
    </row>
    <row r="449" spans="1:8" ht="30" x14ac:dyDescent="0.25">
      <c r="A449" s="21" t="s">
        <v>1081</v>
      </c>
      <c r="B449" s="25" t="s">
        <v>950</v>
      </c>
      <c r="C449" s="26">
        <v>1</v>
      </c>
      <c r="D449" s="27" t="s">
        <v>21</v>
      </c>
      <c r="E449" s="26">
        <v>9333.4500000000007</v>
      </c>
      <c r="F449" s="28" t="s">
        <v>22</v>
      </c>
      <c r="G449" s="26">
        <f>ROUND(C449*E449,0)</f>
        <v>9333</v>
      </c>
      <c r="H449" t="s">
        <v>1009</v>
      </c>
    </row>
    <row r="450" spans="1:8" ht="30" x14ac:dyDescent="0.25">
      <c r="A450" s="21" t="s">
        <v>1082</v>
      </c>
      <c r="B450" s="25" t="s">
        <v>953</v>
      </c>
      <c r="C450" s="26">
        <v>1</v>
      </c>
      <c r="D450" s="27" t="s">
        <v>21</v>
      </c>
      <c r="E450" s="26">
        <v>9095.0499999999993</v>
      </c>
      <c r="F450" s="28" t="s">
        <v>22</v>
      </c>
      <c r="G450" s="26">
        <f>ROUND(C450*E450,0)</f>
        <v>9095</v>
      </c>
      <c r="H450" t="s">
        <v>1022</v>
      </c>
    </row>
    <row r="451" spans="1:8" ht="60" x14ac:dyDescent="0.25">
      <c r="A451" s="21" t="s">
        <v>1083</v>
      </c>
      <c r="B451" s="25" t="s">
        <v>1085</v>
      </c>
      <c r="C451" s="26"/>
      <c r="D451" s="27"/>
      <c r="E451" s="26"/>
      <c r="F451" s="28"/>
      <c r="G451" s="26"/>
      <c r="H451" t="s">
        <v>1084</v>
      </c>
    </row>
    <row r="452" spans="1:8" ht="30" x14ac:dyDescent="0.25">
      <c r="A452" s="21" t="s">
        <v>1086</v>
      </c>
      <c r="B452" s="25" t="s">
        <v>950</v>
      </c>
      <c r="C452" s="26">
        <v>1</v>
      </c>
      <c r="D452" s="27" t="s">
        <v>21</v>
      </c>
      <c r="E452" s="26">
        <v>8962.35</v>
      </c>
      <c r="F452" s="28" t="s">
        <v>22</v>
      </c>
      <c r="G452" s="26">
        <f>ROUND(C452*E452,0)</f>
        <v>8962</v>
      </c>
      <c r="H452" t="s">
        <v>1009</v>
      </c>
    </row>
    <row r="453" spans="1:8" ht="30" x14ac:dyDescent="0.25">
      <c r="A453" s="21" t="s">
        <v>1087</v>
      </c>
      <c r="B453" s="25" t="s">
        <v>1088</v>
      </c>
      <c r="C453" s="26">
        <v>1</v>
      </c>
      <c r="D453" s="27" t="s">
        <v>21</v>
      </c>
      <c r="E453" s="26">
        <v>8752.5499999999993</v>
      </c>
      <c r="F453" s="28" t="s">
        <v>22</v>
      </c>
      <c r="G453" s="26">
        <f>ROUND(C453*E453,0)</f>
        <v>8753</v>
      </c>
      <c r="H453" t="s">
        <v>1022</v>
      </c>
    </row>
    <row r="454" spans="1:8" ht="75" x14ac:dyDescent="0.25">
      <c r="A454" s="21" t="s">
        <v>1089</v>
      </c>
      <c r="B454" s="25" t="s">
        <v>1091</v>
      </c>
      <c r="C454" s="26"/>
      <c r="D454" s="27"/>
      <c r="E454" s="26"/>
      <c r="F454" s="28"/>
      <c r="G454" s="26"/>
      <c r="H454" t="s">
        <v>1090</v>
      </c>
    </row>
    <row r="455" spans="1:8" ht="30" x14ac:dyDescent="0.25">
      <c r="A455" s="21" t="s">
        <v>1092</v>
      </c>
      <c r="B455" s="25" t="s">
        <v>950</v>
      </c>
      <c r="C455" s="26">
        <v>1</v>
      </c>
      <c r="D455" s="27" t="s">
        <v>21</v>
      </c>
      <c r="E455" s="26">
        <v>9793.75</v>
      </c>
      <c r="F455" s="28" t="s">
        <v>22</v>
      </c>
      <c r="G455" s="26">
        <f>ROUND(C455*E455,0)</f>
        <v>9794</v>
      </c>
      <c r="H455" t="s">
        <v>1009</v>
      </c>
    </row>
    <row r="456" spans="1:8" ht="30" x14ac:dyDescent="0.25">
      <c r="A456" s="21" t="s">
        <v>1093</v>
      </c>
      <c r="B456" s="25" t="s">
        <v>1088</v>
      </c>
      <c r="C456" s="26">
        <v>1</v>
      </c>
      <c r="D456" s="27" t="s">
        <v>21</v>
      </c>
      <c r="E456" s="26">
        <v>9583.9500000000007</v>
      </c>
      <c r="F456" s="28" t="s">
        <v>22</v>
      </c>
      <c r="G456" s="26">
        <f>ROUND(C456*E456,0)</f>
        <v>9584</v>
      </c>
      <c r="H456" t="s">
        <v>1022</v>
      </c>
    </row>
    <row r="457" spans="1:8" ht="60" x14ac:dyDescent="0.25">
      <c r="A457" s="21" t="s">
        <v>1094</v>
      </c>
      <c r="B457" s="25" t="s">
        <v>1096</v>
      </c>
      <c r="C457" s="26"/>
      <c r="D457" s="27"/>
      <c r="E457" s="26"/>
      <c r="F457" s="28"/>
      <c r="G457" s="26"/>
      <c r="H457" t="s">
        <v>1095</v>
      </c>
    </row>
    <row r="458" spans="1:8" ht="30" x14ac:dyDescent="0.25">
      <c r="A458" s="21" t="s">
        <v>1097</v>
      </c>
      <c r="B458" s="25" t="s">
        <v>1098</v>
      </c>
      <c r="C458" s="26">
        <v>1</v>
      </c>
      <c r="D458" s="27" t="s">
        <v>21</v>
      </c>
      <c r="E458" s="26">
        <v>7197.75</v>
      </c>
      <c r="F458" s="28" t="s">
        <v>22</v>
      </c>
      <c r="G458" s="26">
        <f t="shared" ref="G458:G463" si="15">ROUND(C458*E458,0)</f>
        <v>7198</v>
      </c>
      <c r="H458" t="s">
        <v>1009</v>
      </c>
    </row>
    <row r="459" spans="1:8" ht="60" x14ac:dyDescent="0.25">
      <c r="A459" s="21" t="s">
        <v>1099</v>
      </c>
      <c r="B459" s="25" t="s">
        <v>1101</v>
      </c>
      <c r="C459" s="26">
        <v>1</v>
      </c>
      <c r="D459" s="27" t="s">
        <v>21</v>
      </c>
      <c r="E459" s="26">
        <v>13427.3</v>
      </c>
      <c r="F459" s="28" t="s">
        <v>22</v>
      </c>
      <c r="G459" s="26">
        <f t="shared" si="15"/>
        <v>13427</v>
      </c>
      <c r="H459" t="s">
        <v>1100</v>
      </c>
    </row>
    <row r="460" spans="1:8" ht="135" x14ac:dyDescent="0.25">
      <c r="A460" s="21" t="s">
        <v>1102</v>
      </c>
      <c r="B460" s="25" t="s">
        <v>1104</v>
      </c>
      <c r="C460" s="26">
        <v>1</v>
      </c>
      <c r="D460" s="27" t="s">
        <v>21</v>
      </c>
      <c r="E460" s="26">
        <v>10195.450000000001</v>
      </c>
      <c r="F460" s="28" t="s">
        <v>22</v>
      </c>
      <c r="G460" s="26">
        <f t="shared" si="15"/>
        <v>10195</v>
      </c>
      <c r="H460" t="s">
        <v>1103</v>
      </c>
    </row>
    <row r="461" spans="1:8" ht="120" x14ac:dyDescent="0.25">
      <c r="A461" s="21" t="s">
        <v>1105</v>
      </c>
      <c r="B461" s="25" t="s">
        <v>1107</v>
      </c>
      <c r="C461" s="26">
        <v>1</v>
      </c>
      <c r="D461" s="27" t="s">
        <v>15</v>
      </c>
      <c r="E461" s="26">
        <v>1023.6</v>
      </c>
      <c r="F461" s="28" t="s">
        <v>16</v>
      </c>
      <c r="G461" s="26">
        <f t="shared" si="15"/>
        <v>1024</v>
      </c>
      <c r="H461" t="s">
        <v>1106</v>
      </c>
    </row>
    <row r="462" spans="1:8" ht="45" x14ac:dyDescent="0.25">
      <c r="A462" s="21" t="s">
        <v>1108</v>
      </c>
      <c r="B462" s="25" t="s">
        <v>1110</v>
      </c>
      <c r="C462" s="26">
        <v>1</v>
      </c>
      <c r="D462" s="27" t="s">
        <v>15</v>
      </c>
      <c r="E462" s="26">
        <v>181.15</v>
      </c>
      <c r="F462" s="28" t="s">
        <v>16</v>
      </c>
      <c r="G462" s="26">
        <f t="shared" si="15"/>
        <v>181</v>
      </c>
      <c r="H462" t="s">
        <v>1109</v>
      </c>
    </row>
    <row r="463" spans="1:8" ht="75" x14ac:dyDescent="0.25">
      <c r="A463" s="21" t="s">
        <v>1111</v>
      </c>
      <c r="B463" s="25" t="s">
        <v>1113</v>
      </c>
      <c r="C463" s="26">
        <v>1</v>
      </c>
      <c r="D463" s="27" t="s">
        <v>110</v>
      </c>
      <c r="E463" s="26">
        <v>59.45</v>
      </c>
      <c r="F463" s="28" t="s">
        <v>981</v>
      </c>
      <c r="G463" s="26">
        <f t="shared" si="15"/>
        <v>59</v>
      </c>
      <c r="H463" t="s">
        <v>1112</v>
      </c>
    </row>
    <row r="464" spans="1:8" ht="60" x14ac:dyDescent="0.25">
      <c r="A464" s="21" t="s">
        <v>1114</v>
      </c>
      <c r="B464" s="25" t="s">
        <v>1116</v>
      </c>
      <c r="C464" s="26"/>
      <c r="D464" s="27"/>
      <c r="E464" s="26"/>
      <c r="F464" s="28"/>
      <c r="G464" s="26"/>
      <c r="H464" t="s">
        <v>1115</v>
      </c>
    </row>
    <row r="465" spans="1:8" ht="30" x14ac:dyDescent="0.25">
      <c r="A465" s="21" t="s">
        <v>1117</v>
      </c>
      <c r="B465" s="25" t="s">
        <v>1118</v>
      </c>
      <c r="C465" s="26">
        <v>1</v>
      </c>
      <c r="D465" s="27" t="s">
        <v>15</v>
      </c>
      <c r="E465" s="26">
        <v>1132.5</v>
      </c>
      <c r="F465" s="28" t="s">
        <v>16</v>
      </c>
      <c r="G465" s="26">
        <f>ROUND(C465*E465,0)</f>
        <v>1133</v>
      </c>
      <c r="H465" t="s">
        <v>1118</v>
      </c>
    </row>
    <row r="466" spans="1:8" ht="30" x14ac:dyDescent="0.25">
      <c r="A466" s="21" t="s">
        <v>1119</v>
      </c>
      <c r="B466" s="25" t="s">
        <v>1120</v>
      </c>
      <c r="C466" s="26">
        <v>1</v>
      </c>
      <c r="D466" s="27" t="s">
        <v>15</v>
      </c>
      <c r="E466" s="26">
        <v>1105.8</v>
      </c>
      <c r="F466" s="28" t="s">
        <v>16</v>
      </c>
      <c r="G466" s="26">
        <f>ROUND(C466*E466,0)</f>
        <v>1106</v>
      </c>
      <c r="H466" t="s">
        <v>1120</v>
      </c>
    </row>
    <row r="467" spans="1:8" ht="135" x14ac:dyDescent="0.25">
      <c r="A467" s="21" t="s">
        <v>1121</v>
      </c>
      <c r="B467" s="25" t="s">
        <v>1123</v>
      </c>
      <c r="C467" s="26">
        <v>1</v>
      </c>
      <c r="D467" s="27" t="s">
        <v>21</v>
      </c>
      <c r="E467" s="26">
        <v>8333.65</v>
      </c>
      <c r="F467" s="28" t="s">
        <v>22</v>
      </c>
      <c r="G467" s="26">
        <f>ROUND(C467*E467,0)</f>
        <v>8334</v>
      </c>
      <c r="H467" t="s">
        <v>1122</v>
      </c>
    </row>
    <row r="468" spans="1:8" x14ac:dyDescent="0.25">
      <c r="A468" s="21"/>
      <c r="B468" s="45" t="s">
        <v>1124</v>
      </c>
      <c r="C468" s="45"/>
      <c r="D468" s="45"/>
      <c r="E468" s="45"/>
      <c r="F468" s="45"/>
      <c r="G468" s="29">
        <f>SUM(G393:G467)</f>
        <v>390279</v>
      </c>
    </row>
    <row r="469" spans="1:8" x14ac:dyDescent="0.25">
      <c r="A469" s="46" t="s">
        <v>1125</v>
      </c>
      <c r="B469" s="47"/>
      <c r="C469" s="47"/>
      <c r="D469" s="47"/>
      <c r="E469" s="47"/>
      <c r="F469" s="47"/>
      <c r="G469" s="47"/>
    </row>
    <row r="470" spans="1:8" ht="75" x14ac:dyDescent="0.25">
      <c r="A470" s="21" t="s">
        <v>1126</v>
      </c>
      <c r="B470" s="25" t="s">
        <v>1128</v>
      </c>
      <c r="C470" s="26"/>
      <c r="D470" s="27"/>
      <c r="E470" s="26"/>
      <c r="F470" s="28"/>
      <c r="G470" s="26"/>
      <c r="H470" t="s">
        <v>1127</v>
      </c>
    </row>
    <row r="471" spans="1:8" ht="30" x14ac:dyDescent="0.25">
      <c r="A471" s="21" t="s">
        <v>1129</v>
      </c>
      <c r="B471" s="25" t="s">
        <v>1023</v>
      </c>
      <c r="C471" s="26">
        <v>1</v>
      </c>
      <c r="D471" s="27" t="s">
        <v>21</v>
      </c>
      <c r="E471" s="26">
        <v>7311.25</v>
      </c>
      <c r="F471" s="28" t="s">
        <v>22</v>
      </c>
      <c r="G471" s="26">
        <f>ROUND(C471*E471,0)</f>
        <v>7311</v>
      </c>
      <c r="H471" t="s">
        <v>1130</v>
      </c>
    </row>
    <row r="472" spans="1:8" ht="90" x14ac:dyDescent="0.25">
      <c r="A472" s="21" t="s">
        <v>1131</v>
      </c>
      <c r="B472" s="25" t="s">
        <v>1133</v>
      </c>
      <c r="C472" s="26"/>
      <c r="D472" s="27"/>
      <c r="E472" s="26"/>
      <c r="F472" s="28"/>
      <c r="G472" s="26"/>
      <c r="H472" t="s">
        <v>1132</v>
      </c>
    </row>
    <row r="473" spans="1:8" ht="30" x14ac:dyDescent="0.25">
      <c r="A473" s="21" t="s">
        <v>1134</v>
      </c>
      <c r="B473" s="25" t="s">
        <v>1023</v>
      </c>
      <c r="C473" s="26">
        <v>1</v>
      </c>
      <c r="D473" s="27" t="s">
        <v>21</v>
      </c>
      <c r="E473" s="26">
        <v>9275.4500000000007</v>
      </c>
      <c r="F473" s="28" t="s">
        <v>22</v>
      </c>
      <c r="G473" s="26">
        <f>ROUND(C473*E473,0)</f>
        <v>9275</v>
      </c>
      <c r="H473" t="s">
        <v>1023</v>
      </c>
    </row>
    <row r="474" spans="1:8" ht="30" x14ac:dyDescent="0.25">
      <c r="A474" s="21" t="s">
        <v>1135</v>
      </c>
      <c r="B474" s="25" t="s">
        <v>1137</v>
      </c>
      <c r="C474" s="26"/>
      <c r="D474" s="27"/>
      <c r="E474" s="26"/>
      <c r="F474" s="28"/>
      <c r="G474" s="26"/>
      <c r="H474" t="s">
        <v>1136</v>
      </c>
    </row>
    <row r="475" spans="1:8" ht="30" x14ac:dyDescent="0.25">
      <c r="A475" s="21" t="s">
        <v>1138</v>
      </c>
      <c r="B475" s="25" t="s">
        <v>1139</v>
      </c>
      <c r="C475" s="26">
        <v>1</v>
      </c>
      <c r="D475" s="27" t="s">
        <v>21</v>
      </c>
      <c r="E475" s="26">
        <v>956</v>
      </c>
      <c r="F475" s="28" t="s">
        <v>22</v>
      </c>
      <c r="G475" s="26">
        <f>ROUND(C475*E475,0)</f>
        <v>956</v>
      </c>
      <c r="H475" t="s">
        <v>1139</v>
      </c>
    </row>
    <row r="476" spans="1:8" ht="30" x14ac:dyDescent="0.25">
      <c r="A476" s="21" t="s">
        <v>1140</v>
      </c>
      <c r="B476" s="25" t="s">
        <v>1142</v>
      </c>
      <c r="C476" s="26">
        <v>1</v>
      </c>
      <c r="D476" s="27" t="s">
        <v>21</v>
      </c>
      <c r="E476" s="26">
        <v>2530.6</v>
      </c>
      <c r="F476" s="28" t="s">
        <v>22</v>
      </c>
      <c r="G476" s="26">
        <f>ROUND(C476*E476,0)</f>
        <v>2531</v>
      </c>
      <c r="H476" t="s">
        <v>1141</v>
      </c>
    </row>
    <row r="477" spans="1:8" ht="45" x14ac:dyDescent="0.25">
      <c r="A477" s="21" t="s">
        <v>1143</v>
      </c>
      <c r="B477" s="25" t="s">
        <v>1145</v>
      </c>
      <c r="C477" s="26">
        <v>1</v>
      </c>
      <c r="D477" s="27" t="s">
        <v>21</v>
      </c>
      <c r="E477" s="26">
        <v>1046.2</v>
      </c>
      <c r="F477" s="28" t="s">
        <v>22</v>
      </c>
      <c r="G477" s="26">
        <f>ROUND(C477*E477,0)</f>
        <v>1046</v>
      </c>
      <c r="H477" t="s">
        <v>1144</v>
      </c>
    </row>
    <row r="478" spans="1:8" ht="30" x14ac:dyDescent="0.25">
      <c r="A478" s="21" t="s">
        <v>1146</v>
      </c>
      <c r="B478" s="25" t="s">
        <v>1148</v>
      </c>
      <c r="C478" s="26"/>
      <c r="D478" s="27"/>
      <c r="E478" s="26"/>
      <c r="F478" s="28"/>
      <c r="G478" s="26"/>
      <c r="H478" t="s">
        <v>1147</v>
      </c>
    </row>
    <row r="479" spans="1:8" ht="30" x14ac:dyDescent="0.25">
      <c r="A479" s="21" t="s">
        <v>1149</v>
      </c>
      <c r="B479" s="25" t="s">
        <v>953</v>
      </c>
      <c r="C479" s="26">
        <v>1</v>
      </c>
      <c r="D479" s="27" t="s">
        <v>21</v>
      </c>
      <c r="E479" s="26">
        <v>8812.0499999999993</v>
      </c>
      <c r="F479" s="28" t="s">
        <v>22</v>
      </c>
      <c r="G479" s="26">
        <f>ROUND(C479*E479,0)</f>
        <v>8812</v>
      </c>
      <c r="H479" t="s">
        <v>1022</v>
      </c>
    </row>
    <row r="480" spans="1:8" ht="30" x14ac:dyDescent="0.25">
      <c r="A480" s="21" t="s">
        <v>1150</v>
      </c>
      <c r="B480" s="25" t="s">
        <v>1152</v>
      </c>
      <c r="C480" s="26"/>
      <c r="D480" s="27"/>
      <c r="E480" s="26"/>
      <c r="F480" s="28"/>
      <c r="G480" s="26"/>
      <c r="H480" t="s">
        <v>1151</v>
      </c>
    </row>
    <row r="481" spans="1:8" ht="30" x14ac:dyDescent="0.25">
      <c r="A481" s="21" t="s">
        <v>1153</v>
      </c>
      <c r="B481" s="25" t="s">
        <v>953</v>
      </c>
      <c r="C481" s="26">
        <v>1</v>
      </c>
      <c r="D481" s="27" t="s">
        <v>21</v>
      </c>
      <c r="E481" s="26">
        <v>8198.5499999999993</v>
      </c>
      <c r="F481" s="28" t="s">
        <v>22</v>
      </c>
      <c r="G481" s="26">
        <f>ROUND(C481*E481,0)</f>
        <v>8199</v>
      </c>
      <c r="H481" t="s">
        <v>1130</v>
      </c>
    </row>
    <row r="482" spans="1:8" ht="45" x14ac:dyDescent="0.25">
      <c r="A482" s="21" t="s">
        <v>1154</v>
      </c>
      <c r="B482" s="25" t="s">
        <v>1156</v>
      </c>
      <c r="C482" s="26"/>
      <c r="D482" s="27"/>
      <c r="E482" s="26"/>
      <c r="F482" s="28"/>
      <c r="G482" s="26"/>
      <c r="H482" t="s">
        <v>1155</v>
      </c>
    </row>
    <row r="483" spans="1:8" ht="30" x14ac:dyDescent="0.25">
      <c r="A483" s="21" t="s">
        <v>1157</v>
      </c>
      <c r="B483" s="25" t="s">
        <v>1158</v>
      </c>
      <c r="C483" s="26">
        <v>1</v>
      </c>
      <c r="D483" s="27" t="s">
        <v>21</v>
      </c>
      <c r="E483" s="26">
        <v>10741.6</v>
      </c>
      <c r="F483" s="28" t="s">
        <v>22</v>
      </c>
      <c r="G483" s="26">
        <f>ROUND(C483*E483,0)</f>
        <v>10742</v>
      </c>
      <c r="H483" t="s">
        <v>1158</v>
      </c>
    </row>
    <row r="484" spans="1:8" ht="30" x14ac:dyDescent="0.25">
      <c r="A484" s="21" t="s">
        <v>1159</v>
      </c>
      <c r="B484" s="25" t="s">
        <v>1160</v>
      </c>
      <c r="C484" s="26">
        <v>1</v>
      </c>
      <c r="D484" s="27" t="s">
        <v>21</v>
      </c>
      <c r="E484" s="26">
        <v>10128.1</v>
      </c>
      <c r="F484" s="28" t="s">
        <v>22</v>
      </c>
      <c r="G484" s="26">
        <f>ROUND(C484*E484,0)</f>
        <v>10128</v>
      </c>
      <c r="H484" t="s">
        <v>105</v>
      </c>
    </row>
    <row r="485" spans="1:8" ht="30" x14ac:dyDescent="0.25">
      <c r="A485" s="21" t="s">
        <v>1161</v>
      </c>
      <c r="B485" s="25" t="s">
        <v>1163</v>
      </c>
      <c r="C485" s="26"/>
      <c r="D485" s="27"/>
      <c r="E485" s="26"/>
      <c r="F485" s="28"/>
      <c r="G485" s="26"/>
      <c r="H485" t="s">
        <v>1162</v>
      </c>
    </row>
    <row r="486" spans="1:8" ht="30" x14ac:dyDescent="0.25">
      <c r="A486" s="21" t="s">
        <v>1164</v>
      </c>
      <c r="B486" s="25" t="s">
        <v>1139</v>
      </c>
      <c r="C486" s="26">
        <v>1</v>
      </c>
      <c r="D486" s="27" t="s">
        <v>21</v>
      </c>
      <c r="E486" s="26">
        <v>1060.5</v>
      </c>
      <c r="F486" s="28" t="s">
        <v>22</v>
      </c>
      <c r="G486" s="26">
        <f>ROUND(C486*E486,0)</f>
        <v>1061</v>
      </c>
      <c r="H486" t="s">
        <v>1139</v>
      </c>
    </row>
    <row r="487" spans="1:8" ht="30" x14ac:dyDescent="0.25">
      <c r="A487" s="21" t="s">
        <v>1165</v>
      </c>
      <c r="B487" s="25" t="s">
        <v>1142</v>
      </c>
      <c r="C487" s="26">
        <v>1</v>
      </c>
      <c r="D487" s="27" t="s">
        <v>21</v>
      </c>
      <c r="E487" s="26">
        <v>2874.2</v>
      </c>
      <c r="F487" s="28" t="s">
        <v>22</v>
      </c>
      <c r="G487" s="26">
        <f>ROUND(C487*E487,0)</f>
        <v>2874</v>
      </c>
      <c r="H487" t="s">
        <v>1141</v>
      </c>
    </row>
    <row r="488" spans="1:8" ht="45" x14ac:dyDescent="0.25">
      <c r="A488" s="21" t="s">
        <v>1166</v>
      </c>
      <c r="B488" s="25" t="s">
        <v>1168</v>
      </c>
      <c r="C488" s="26">
        <v>1</v>
      </c>
      <c r="D488" s="27" t="s">
        <v>21</v>
      </c>
      <c r="E488" s="26">
        <v>1133.6500000000001</v>
      </c>
      <c r="F488" s="28" t="s">
        <v>22</v>
      </c>
      <c r="G488" s="26">
        <f>ROUND(C488*E488,0)</f>
        <v>1134</v>
      </c>
      <c r="H488" t="s">
        <v>1167</v>
      </c>
    </row>
    <row r="489" spans="1:8" ht="90" x14ac:dyDescent="0.25">
      <c r="A489" s="21" t="s">
        <v>1169</v>
      </c>
      <c r="B489" s="25" t="s">
        <v>1171</v>
      </c>
      <c r="C489" s="26"/>
      <c r="D489" s="27"/>
      <c r="E489" s="26"/>
      <c r="F489" s="28"/>
      <c r="G489" s="26"/>
      <c r="H489" t="s">
        <v>1170</v>
      </c>
    </row>
    <row r="490" spans="1:8" x14ac:dyDescent="0.25">
      <c r="A490" s="21" t="s">
        <v>1172</v>
      </c>
      <c r="B490" s="25" t="s">
        <v>1174</v>
      </c>
      <c r="C490" s="26"/>
      <c r="D490" s="27"/>
      <c r="E490" s="26"/>
      <c r="F490" s="28"/>
      <c r="G490" s="26"/>
      <c r="H490" t="s">
        <v>1173</v>
      </c>
    </row>
    <row r="491" spans="1:8" ht="30" x14ac:dyDescent="0.25">
      <c r="A491" s="21" t="s">
        <v>1175</v>
      </c>
      <c r="B491" s="25" t="s">
        <v>1176</v>
      </c>
      <c r="C491" s="26">
        <v>1</v>
      </c>
      <c r="D491" s="27" t="s">
        <v>21</v>
      </c>
      <c r="E491" s="26">
        <v>68294</v>
      </c>
      <c r="F491" s="28" t="s">
        <v>22</v>
      </c>
      <c r="G491" s="26">
        <f>ROUND(C491*E491,0)</f>
        <v>68294</v>
      </c>
      <c r="H491" t="s">
        <v>1176</v>
      </c>
    </row>
    <row r="492" spans="1:8" ht="30" x14ac:dyDescent="0.25">
      <c r="A492" s="21" t="s">
        <v>1177</v>
      </c>
      <c r="B492" s="25" t="s">
        <v>1178</v>
      </c>
      <c r="C492" s="26">
        <v>1</v>
      </c>
      <c r="D492" s="27" t="s">
        <v>21</v>
      </c>
      <c r="E492" s="26">
        <v>82518</v>
      </c>
      <c r="F492" s="28" t="s">
        <v>22</v>
      </c>
      <c r="G492" s="26">
        <f>ROUND(C492*E492,0)</f>
        <v>82518</v>
      </c>
      <c r="H492" t="s">
        <v>1178</v>
      </c>
    </row>
    <row r="493" spans="1:8" x14ac:dyDescent="0.25">
      <c r="A493" s="21" t="s">
        <v>1179</v>
      </c>
      <c r="B493" s="25" t="s">
        <v>1181</v>
      </c>
      <c r="C493" s="26"/>
      <c r="D493" s="27"/>
      <c r="E493" s="26"/>
      <c r="F493" s="28"/>
      <c r="G493" s="26"/>
      <c r="H493" t="s">
        <v>1180</v>
      </c>
    </row>
    <row r="494" spans="1:8" ht="30" x14ac:dyDescent="0.25">
      <c r="A494" s="21" t="s">
        <v>1182</v>
      </c>
      <c r="B494" s="25" t="s">
        <v>1183</v>
      </c>
      <c r="C494" s="26">
        <v>1</v>
      </c>
      <c r="D494" s="27" t="s">
        <v>21</v>
      </c>
      <c r="E494" s="26">
        <v>91295</v>
      </c>
      <c r="F494" s="28" t="s">
        <v>22</v>
      </c>
      <c r="G494" s="26">
        <f>ROUND(C494*E494,0)</f>
        <v>91295</v>
      </c>
      <c r="H494" t="s">
        <v>1176</v>
      </c>
    </row>
    <row r="495" spans="1:8" ht="30" x14ac:dyDescent="0.25">
      <c r="A495" s="21" t="s">
        <v>1184</v>
      </c>
      <c r="B495" s="25" t="s">
        <v>1178</v>
      </c>
      <c r="C495" s="26">
        <v>1</v>
      </c>
      <c r="D495" s="27" t="s">
        <v>21</v>
      </c>
      <c r="E495" s="26">
        <v>105519</v>
      </c>
      <c r="F495" s="28" t="s">
        <v>22</v>
      </c>
      <c r="G495" s="26">
        <f>ROUND(C495*E495,0)</f>
        <v>105519</v>
      </c>
      <c r="H495" t="s">
        <v>1178</v>
      </c>
    </row>
    <row r="496" spans="1:8" ht="105" x14ac:dyDescent="0.25">
      <c r="A496" s="21" t="s">
        <v>1185</v>
      </c>
      <c r="B496" s="25" t="s">
        <v>1187</v>
      </c>
      <c r="C496" s="26"/>
      <c r="D496" s="27"/>
      <c r="E496" s="26"/>
      <c r="F496" s="28"/>
      <c r="G496" s="26"/>
      <c r="H496" t="s">
        <v>1186</v>
      </c>
    </row>
    <row r="497" spans="1:8" x14ac:dyDescent="0.25">
      <c r="A497" s="21" t="s">
        <v>1188</v>
      </c>
      <c r="B497" s="25" t="s">
        <v>1173</v>
      </c>
      <c r="C497" s="26"/>
      <c r="D497" s="27"/>
      <c r="E497" s="26"/>
      <c r="F497" s="28"/>
      <c r="G497" s="26"/>
      <c r="H497" t="s">
        <v>1173</v>
      </c>
    </row>
    <row r="498" spans="1:8" ht="30" x14ac:dyDescent="0.25">
      <c r="A498" s="21" t="s">
        <v>1189</v>
      </c>
      <c r="B498" s="25" t="s">
        <v>1176</v>
      </c>
      <c r="C498" s="26">
        <v>1</v>
      </c>
      <c r="D498" s="27" t="s">
        <v>21</v>
      </c>
      <c r="E498" s="26">
        <v>75263</v>
      </c>
      <c r="F498" s="28" t="s">
        <v>22</v>
      </c>
      <c r="G498" s="26">
        <f>ROUND(C498*E498,0)</f>
        <v>75263</v>
      </c>
      <c r="H498" t="s">
        <v>1176</v>
      </c>
    </row>
    <row r="499" spans="1:8" ht="30" x14ac:dyDescent="0.25">
      <c r="A499" s="21" t="s">
        <v>1190</v>
      </c>
      <c r="B499" s="25" t="s">
        <v>1178</v>
      </c>
      <c r="C499" s="26">
        <v>1</v>
      </c>
      <c r="D499" s="27" t="s">
        <v>21</v>
      </c>
      <c r="E499" s="26">
        <v>89487</v>
      </c>
      <c r="F499" s="28" t="s">
        <v>22</v>
      </c>
      <c r="G499" s="26">
        <f>ROUND(C499*E499,0)</f>
        <v>89487</v>
      </c>
      <c r="H499" t="s">
        <v>1178</v>
      </c>
    </row>
    <row r="500" spans="1:8" x14ac:dyDescent="0.25">
      <c r="A500" s="21" t="s">
        <v>1191</v>
      </c>
      <c r="B500" s="25" t="s">
        <v>1180</v>
      </c>
      <c r="C500" s="26"/>
      <c r="D500" s="27"/>
      <c r="E500" s="26"/>
      <c r="F500" s="28"/>
      <c r="G500" s="26"/>
      <c r="H500" t="s">
        <v>1180</v>
      </c>
    </row>
    <row r="501" spans="1:8" ht="30" x14ac:dyDescent="0.25">
      <c r="A501" s="21" t="s">
        <v>1192</v>
      </c>
      <c r="B501" s="25" t="s">
        <v>1176</v>
      </c>
      <c r="C501" s="26">
        <v>1</v>
      </c>
      <c r="D501" s="27" t="s">
        <v>21</v>
      </c>
      <c r="E501" s="26">
        <v>98265</v>
      </c>
      <c r="F501" s="28" t="s">
        <v>22</v>
      </c>
      <c r="G501" s="26">
        <f>ROUND(C501*E501,0)</f>
        <v>98265</v>
      </c>
      <c r="H501" t="s">
        <v>1176</v>
      </c>
    </row>
    <row r="502" spans="1:8" ht="30" x14ac:dyDescent="0.25">
      <c r="A502" s="21" t="s">
        <v>1193</v>
      </c>
      <c r="B502" s="25" t="s">
        <v>1178</v>
      </c>
      <c r="C502" s="26">
        <v>1</v>
      </c>
      <c r="D502" s="27" t="s">
        <v>21</v>
      </c>
      <c r="E502" s="26">
        <v>112488</v>
      </c>
      <c r="F502" s="28" t="s">
        <v>22</v>
      </c>
      <c r="G502" s="26">
        <f>ROUND(C502*E502,0)</f>
        <v>112488</v>
      </c>
      <c r="H502" t="s">
        <v>1178</v>
      </c>
    </row>
    <row r="503" spans="1:8" ht="105" x14ac:dyDescent="0.25">
      <c r="A503" s="21" t="s">
        <v>1194</v>
      </c>
      <c r="B503" s="25" t="s">
        <v>1196</v>
      </c>
      <c r="C503" s="26"/>
      <c r="D503" s="27"/>
      <c r="E503" s="26"/>
      <c r="F503" s="28"/>
      <c r="G503" s="26"/>
      <c r="H503" t="s">
        <v>1195</v>
      </c>
    </row>
    <row r="504" spans="1:8" x14ac:dyDescent="0.25">
      <c r="A504" s="21" t="s">
        <v>1197</v>
      </c>
      <c r="B504" s="25" t="s">
        <v>1173</v>
      </c>
      <c r="C504" s="26"/>
      <c r="D504" s="27"/>
      <c r="E504" s="26"/>
      <c r="F504" s="28"/>
      <c r="G504" s="26"/>
      <c r="H504" t="s">
        <v>1173</v>
      </c>
    </row>
    <row r="505" spans="1:8" ht="30" x14ac:dyDescent="0.25">
      <c r="A505" s="21" t="s">
        <v>1198</v>
      </c>
      <c r="B505" s="25" t="s">
        <v>1176</v>
      </c>
      <c r="C505" s="26">
        <v>1</v>
      </c>
      <c r="D505" s="27" t="s">
        <v>21</v>
      </c>
      <c r="E505" s="26">
        <v>114277</v>
      </c>
      <c r="F505" s="28" t="s">
        <v>22</v>
      </c>
      <c r="G505" s="26">
        <f>ROUND(C505*E505,0)</f>
        <v>114277</v>
      </c>
      <c r="H505" t="s">
        <v>1176</v>
      </c>
    </row>
    <row r="506" spans="1:8" ht="30" x14ac:dyDescent="0.25">
      <c r="A506" s="21" t="s">
        <v>1199</v>
      </c>
      <c r="B506" s="25" t="s">
        <v>1178</v>
      </c>
      <c r="C506" s="26">
        <v>1</v>
      </c>
      <c r="D506" s="27" t="s">
        <v>21</v>
      </c>
      <c r="E506" s="26">
        <v>128500</v>
      </c>
      <c r="F506" s="28" t="s">
        <v>22</v>
      </c>
      <c r="G506" s="26">
        <f>ROUND(C506*E506,0)</f>
        <v>128500</v>
      </c>
      <c r="H506" t="s">
        <v>1178</v>
      </c>
    </row>
    <row r="507" spans="1:8" x14ac:dyDescent="0.25">
      <c r="A507" s="21" t="s">
        <v>1200</v>
      </c>
      <c r="B507" s="25" t="s">
        <v>1180</v>
      </c>
      <c r="C507" s="26"/>
      <c r="D507" s="27"/>
      <c r="E507" s="26"/>
      <c r="F507" s="28"/>
      <c r="G507" s="26"/>
      <c r="H507" t="s">
        <v>1180</v>
      </c>
    </row>
    <row r="508" spans="1:8" ht="30" x14ac:dyDescent="0.25">
      <c r="A508" s="21" t="s">
        <v>1201</v>
      </c>
      <c r="B508" s="25" t="s">
        <v>1176</v>
      </c>
      <c r="C508" s="26">
        <v>1</v>
      </c>
      <c r="D508" s="27" t="s">
        <v>21</v>
      </c>
      <c r="E508" s="26">
        <v>169953</v>
      </c>
      <c r="F508" s="28" t="s">
        <v>22</v>
      </c>
      <c r="G508" s="26">
        <f>ROUND(C508*E508,0)</f>
        <v>169953</v>
      </c>
      <c r="H508" t="s">
        <v>1176</v>
      </c>
    </row>
    <row r="509" spans="1:8" ht="30" x14ac:dyDescent="0.25">
      <c r="A509" s="21" t="s">
        <v>1202</v>
      </c>
      <c r="B509" s="25" t="s">
        <v>1178</v>
      </c>
      <c r="C509" s="26">
        <v>1</v>
      </c>
      <c r="D509" s="27" t="s">
        <v>21</v>
      </c>
      <c r="E509" s="26">
        <v>184177</v>
      </c>
      <c r="F509" s="28" t="s">
        <v>22</v>
      </c>
      <c r="G509" s="26">
        <f>ROUND(C509*E509,0)</f>
        <v>184177</v>
      </c>
      <c r="H509" t="s">
        <v>1178</v>
      </c>
    </row>
    <row r="510" spans="1:8" ht="90" x14ac:dyDescent="0.25">
      <c r="A510" s="21" t="s">
        <v>1203</v>
      </c>
      <c r="B510" s="25" t="s">
        <v>1205</v>
      </c>
      <c r="C510" s="26"/>
      <c r="D510" s="27"/>
      <c r="E510" s="26"/>
      <c r="F510" s="28"/>
      <c r="G510" s="26"/>
      <c r="H510" t="s">
        <v>1204</v>
      </c>
    </row>
    <row r="511" spans="1:8" x14ac:dyDescent="0.25">
      <c r="A511" s="21" t="s">
        <v>1206</v>
      </c>
      <c r="B511" s="25" t="s">
        <v>1207</v>
      </c>
      <c r="C511" s="26"/>
      <c r="D511" s="27"/>
      <c r="E511" s="26"/>
      <c r="F511" s="28"/>
      <c r="G511" s="26"/>
      <c r="H511" t="s">
        <v>1207</v>
      </c>
    </row>
    <row r="512" spans="1:8" ht="30" x14ac:dyDescent="0.25">
      <c r="A512" s="21" t="s">
        <v>1208</v>
      </c>
      <c r="B512" s="25" t="s">
        <v>1183</v>
      </c>
      <c r="C512" s="26">
        <v>1</v>
      </c>
      <c r="D512" s="27" t="s">
        <v>21</v>
      </c>
      <c r="E512" s="26">
        <v>64926</v>
      </c>
      <c r="F512" s="28" t="s">
        <v>22</v>
      </c>
      <c r="G512" s="26">
        <f>ROUND(C512*E512,0)</f>
        <v>64926</v>
      </c>
      <c r="H512" t="s">
        <v>1183</v>
      </c>
    </row>
    <row r="513" spans="1:8" ht="30" x14ac:dyDescent="0.25">
      <c r="A513" s="21" t="s">
        <v>1209</v>
      </c>
      <c r="B513" s="25" t="s">
        <v>1210</v>
      </c>
      <c r="C513" s="26">
        <v>1</v>
      </c>
      <c r="D513" s="27" t="s">
        <v>21</v>
      </c>
      <c r="E513" s="26">
        <v>79150</v>
      </c>
      <c r="F513" s="28" t="s">
        <v>22</v>
      </c>
      <c r="G513" s="26">
        <f>ROUND(C513*E513,0)</f>
        <v>79150</v>
      </c>
      <c r="H513" t="s">
        <v>1210</v>
      </c>
    </row>
    <row r="514" spans="1:8" x14ac:dyDescent="0.25">
      <c r="A514" s="21" t="s">
        <v>1211</v>
      </c>
      <c r="B514" s="25" t="s">
        <v>1212</v>
      </c>
      <c r="C514" s="26"/>
      <c r="D514" s="27"/>
      <c r="E514" s="26"/>
      <c r="F514" s="28"/>
      <c r="G514" s="26"/>
      <c r="H514" t="s">
        <v>1212</v>
      </c>
    </row>
    <row r="515" spans="1:8" ht="30" x14ac:dyDescent="0.25">
      <c r="A515" s="21" t="s">
        <v>1213</v>
      </c>
      <c r="B515" s="25" t="s">
        <v>1183</v>
      </c>
      <c r="C515" s="26">
        <v>1</v>
      </c>
      <c r="D515" s="27" t="s">
        <v>21</v>
      </c>
      <c r="E515" s="26">
        <v>84560</v>
      </c>
      <c r="F515" s="28" t="s">
        <v>22</v>
      </c>
      <c r="G515" s="26">
        <f>ROUND(C515*E515,0)</f>
        <v>84560</v>
      </c>
      <c r="H515" t="s">
        <v>1183</v>
      </c>
    </row>
    <row r="516" spans="1:8" ht="30" x14ac:dyDescent="0.25">
      <c r="A516" s="21" t="s">
        <v>1214</v>
      </c>
      <c r="B516" s="25" t="s">
        <v>1210</v>
      </c>
      <c r="C516" s="26">
        <v>1</v>
      </c>
      <c r="D516" s="27" t="s">
        <v>21</v>
      </c>
      <c r="E516" s="26">
        <v>98784</v>
      </c>
      <c r="F516" s="28" t="s">
        <v>22</v>
      </c>
      <c r="G516" s="26">
        <f>ROUND(C516*E516,0)</f>
        <v>98784</v>
      </c>
      <c r="H516" t="s">
        <v>1210</v>
      </c>
    </row>
    <row r="517" spans="1:8" ht="60" x14ac:dyDescent="0.25">
      <c r="A517" s="21" t="s">
        <v>1215</v>
      </c>
      <c r="B517" s="25" t="s">
        <v>1217</v>
      </c>
      <c r="C517" s="26">
        <v>1</v>
      </c>
      <c r="D517" s="27" t="s">
        <v>21</v>
      </c>
      <c r="E517" s="26">
        <v>169.45</v>
      </c>
      <c r="F517" s="28" t="s">
        <v>22</v>
      </c>
      <c r="G517" s="26">
        <f>ROUND(C517*E517,0)</f>
        <v>169</v>
      </c>
      <c r="H517" t="s">
        <v>1216</v>
      </c>
    </row>
    <row r="518" spans="1:8" x14ac:dyDescent="0.25">
      <c r="A518" s="21" t="s">
        <v>1218</v>
      </c>
      <c r="B518" s="25" t="s">
        <v>1220</v>
      </c>
      <c r="C518" s="26"/>
      <c r="D518" s="27"/>
      <c r="E518" s="26"/>
      <c r="F518" s="28"/>
      <c r="G518" s="26"/>
      <c r="H518" t="s">
        <v>1219</v>
      </c>
    </row>
    <row r="519" spans="1:8" ht="30" x14ac:dyDescent="0.25">
      <c r="A519" s="21" t="s">
        <v>1221</v>
      </c>
      <c r="B519" s="25" t="s">
        <v>1139</v>
      </c>
      <c r="C519" s="26">
        <v>1</v>
      </c>
      <c r="D519" s="27" t="s">
        <v>21</v>
      </c>
      <c r="E519" s="26">
        <v>2896</v>
      </c>
      <c r="F519" s="28" t="s">
        <v>22</v>
      </c>
      <c r="G519" s="26">
        <f>ROUND(C519*E519,0)</f>
        <v>2896</v>
      </c>
      <c r="H519" t="s">
        <v>1222</v>
      </c>
    </row>
    <row r="520" spans="1:8" ht="45" x14ac:dyDescent="0.25">
      <c r="A520" s="21" t="s">
        <v>1223</v>
      </c>
      <c r="B520" s="25" t="s">
        <v>1225</v>
      </c>
      <c r="C520" s="26">
        <v>1</v>
      </c>
      <c r="D520" s="27" t="s">
        <v>21</v>
      </c>
      <c r="E520" s="26">
        <v>2014</v>
      </c>
      <c r="F520" s="28" t="s">
        <v>22</v>
      </c>
      <c r="G520" s="26">
        <f>ROUND(C520*E520,0)</f>
        <v>2014</v>
      </c>
      <c r="H520" t="s">
        <v>1224</v>
      </c>
    </row>
    <row r="521" spans="1:8" ht="60" x14ac:dyDescent="0.25">
      <c r="A521" s="21" t="s">
        <v>1226</v>
      </c>
      <c r="B521" s="25" t="s">
        <v>1228</v>
      </c>
      <c r="C521" s="26">
        <v>1</v>
      </c>
      <c r="D521" s="27" t="s">
        <v>15</v>
      </c>
      <c r="E521" s="26">
        <v>608.15</v>
      </c>
      <c r="F521" s="28" t="s">
        <v>16</v>
      </c>
      <c r="G521" s="26">
        <f>ROUND(C521*E521,0)</f>
        <v>608</v>
      </c>
      <c r="H521" t="s">
        <v>1227</v>
      </c>
    </row>
    <row r="522" spans="1:8" ht="90" x14ac:dyDescent="0.25">
      <c r="A522" s="21" t="s">
        <v>1229</v>
      </c>
      <c r="B522" s="25" t="s">
        <v>1231</v>
      </c>
      <c r="C522" s="26"/>
      <c r="D522" s="27"/>
      <c r="E522" s="26"/>
      <c r="F522" s="28"/>
      <c r="G522" s="26"/>
      <c r="H522" t="s">
        <v>1230</v>
      </c>
    </row>
    <row r="523" spans="1:8" ht="30" x14ac:dyDescent="0.25">
      <c r="A523" s="21" t="s">
        <v>1232</v>
      </c>
      <c r="B523" s="25" t="s">
        <v>1176</v>
      </c>
      <c r="C523" s="26">
        <v>1</v>
      </c>
      <c r="D523" s="27" t="s">
        <v>21</v>
      </c>
      <c r="E523" s="26">
        <v>94463</v>
      </c>
      <c r="F523" s="28" t="s">
        <v>22</v>
      </c>
      <c r="G523" s="26">
        <f>ROUND(C523*E523,0)</f>
        <v>94463</v>
      </c>
      <c r="H523" t="s">
        <v>1183</v>
      </c>
    </row>
    <row r="524" spans="1:8" ht="30" x14ac:dyDescent="0.25">
      <c r="A524" s="21" t="s">
        <v>1233</v>
      </c>
      <c r="B524" s="25" t="s">
        <v>1178</v>
      </c>
      <c r="C524" s="26">
        <v>1</v>
      </c>
      <c r="D524" s="27" t="s">
        <v>21</v>
      </c>
      <c r="E524" s="26">
        <v>108686</v>
      </c>
      <c r="F524" s="28" t="s">
        <v>22</v>
      </c>
      <c r="G524" s="26">
        <f>ROUND(C524*E524,0)</f>
        <v>108686</v>
      </c>
      <c r="H524" t="s">
        <v>1210</v>
      </c>
    </row>
    <row r="525" spans="1:8" ht="30" x14ac:dyDescent="0.25">
      <c r="A525" s="21" t="s">
        <v>1234</v>
      </c>
      <c r="B525" s="25" t="s">
        <v>1236</v>
      </c>
      <c r="C525" s="26"/>
      <c r="D525" s="27"/>
      <c r="E525" s="26"/>
      <c r="F525" s="28"/>
      <c r="G525" s="26"/>
      <c r="H525" t="s">
        <v>1235</v>
      </c>
    </row>
    <row r="526" spans="1:8" ht="30" x14ac:dyDescent="0.25">
      <c r="A526" s="21" t="s">
        <v>1237</v>
      </c>
      <c r="B526" s="25" t="s">
        <v>1239</v>
      </c>
      <c r="C526" s="26">
        <v>1</v>
      </c>
      <c r="D526" s="27" t="s">
        <v>21</v>
      </c>
      <c r="E526" s="26">
        <v>3779</v>
      </c>
      <c r="F526" s="28" t="s">
        <v>22</v>
      </c>
      <c r="G526" s="26">
        <f>ROUND(C526*E526,0)</f>
        <v>3779</v>
      </c>
      <c r="H526" t="s">
        <v>1238</v>
      </c>
    </row>
    <row r="527" spans="1:8" ht="30" x14ac:dyDescent="0.25">
      <c r="A527" s="21" t="s">
        <v>1240</v>
      </c>
      <c r="B527" s="25" t="s">
        <v>1242</v>
      </c>
      <c r="C527" s="26">
        <v>1</v>
      </c>
      <c r="D527" s="27" t="s">
        <v>21</v>
      </c>
      <c r="E527" s="26">
        <v>10706</v>
      </c>
      <c r="F527" s="28" t="s">
        <v>22</v>
      </c>
      <c r="G527" s="26">
        <f>ROUND(C527*E527,0)</f>
        <v>10706</v>
      </c>
      <c r="H527" t="s">
        <v>1241</v>
      </c>
    </row>
    <row r="528" spans="1:8" ht="30" x14ac:dyDescent="0.25">
      <c r="A528" s="21" t="s">
        <v>1243</v>
      </c>
      <c r="B528" s="25" t="s">
        <v>1245</v>
      </c>
      <c r="C528" s="26">
        <v>1</v>
      </c>
      <c r="D528" s="27" t="s">
        <v>429</v>
      </c>
      <c r="E528" s="26">
        <v>303.5</v>
      </c>
      <c r="F528" s="28" t="s">
        <v>1246</v>
      </c>
      <c r="G528" s="26">
        <f>ROUND(C528*E528,0)</f>
        <v>304</v>
      </c>
      <c r="H528" t="s">
        <v>1244</v>
      </c>
    </row>
    <row r="529" spans="1:8" ht="30" x14ac:dyDescent="0.25">
      <c r="A529" s="21" t="s">
        <v>1247</v>
      </c>
      <c r="B529" s="25" t="s">
        <v>1248</v>
      </c>
      <c r="C529" s="26">
        <v>1</v>
      </c>
      <c r="D529" s="27" t="s">
        <v>21</v>
      </c>
      <c r="E529" s="26">
        <v>2896</v>
      </c>
      <c r="F529" s="28" t="s">
        <v>22</v>
      </c>
      <c r="G529" s="26">
        <f>ROUND(C529*E529,0)</f>
        <v>2896</v>
      </c>
      <c r="H529" t="s">
        <v>1248</v>
      </c>
    </row>
    <row r="530" spans="1:8" ht="60" x14ac:dyDescent="0.25">
      <c r="A530" s="21" t="s">
        <v>1249</v>
      </c>
      <c r="B530" s="25" t="s">
        <v>1251</v>
      </c>
      <c r="C530" s="26">
        <v>1</v>
      </c>
      <c r="D530" s="27" t="s">
        <v>201</v>
      </c>
      <c r="E530" s="26">
        <v>54.55</v>
      </c>
      <c r="F530" s="28" t="s">
        <v>202</v>
      </c>
      <c r="G530" s="26">
        <f>ROUND(C530*E530,0)</f>
        <v>55</v>
      </c>
      <c r="H530" t="s">
        <v>1250</v>
      </c>
    </row>
    <row r="531" spans="1:8" ht="150" x14ac:dyDescent="0.25">
      <c r="A531" s="21" t="s">
        <v>1252</v>
      </c>
      <c r="B531" s="25" t="s">
        <v>1254</v>
      </c>
      <c r="C531" s="26"/>
      <c r="D531" s="27"/>
      <c r="E531" s="26"/>
      <c r="F531" s="28"/>
      <c r="G531" s="26"/>
      <c r="H531" t="s">
        <v>1253</v>
      </c>
    </row>
    <row r="532" spans="1:8" x14ac:dyDescent="0.25">
      <c r="A532" s="21" t="s">
        <v>1255</v>
      </c>
      <c r="B532" s="25" t="s">
        <v>1256</v>
      </c>
      <c r="C532" s="26"/>
      <c r="D532" s="27"/>
      <c r="E532" s="26"/>
      <c r="F532" s="28"/>
      <c r="G532" s="26"/>
      <c r="H532" t="s">
        <v>1256</v>
      </c>
    </row>
    <row r="533" spans="1:8" ht="30" x14ac:dyDescent="0.25">
      <c r="A533" s="21" t="s">
        <v>1257</v>
      </c>
      <c r="B533" s="25" t="s">
        <v>1259</v>
      </c>
      <c r="C533" s="26">
        <v>1</v>
      </c>
      <c r="D533" s="27" t="s">
        <v>15</v>
      </c>
      <c r="E533" s="26">
        <v>2854.35</v>
      </c>
      <c r="F533" s="28" t="s">
        <v>16</v>
      </c>
      <c r="G533" s="26">
        <f>ROUND(C533*E533,0)</f>
        <v>2854</v>
      </c>
      <c r="H533" t="s">
        <v>1258</v>
      </c>
    </row>
    <row r="534" spans="1:8" x14ac:dyDescent="0.25">
      <c r="A534" s="21" t="s">
        <v>1260</v>
      </c>
      <c r="B534" s="25" t="s">
        <v>1262</v>
      </c>
      <c r="C534" s="26"/>
      <c r="D534" s="27"/>
      <c r="E534" s="26"/>
      <c r="F534" s="28"/>
      <c r="G534" s="26"/>
      <c r="H534" t="s">
        <v>1261</v>
      </c>
    </row>
    <row r="535" spans="1:8" ht="30" x14ac:dyDescent="0.25">
      <c r="A535" s="21" t="s">
        <v>1263</v>
      </c>
      <c r="B535" s="25" t="s">
        <v>1259</v>
      </c>
      <c r="C535" s="26">
        <v>1</v>
      </c>
      <c r="D535" s="27" t="s">
        <v>15</v>
      </c>
      <c r="E535" s="26">
        <v>2932.6</v>
      </c>
      <c r="F535" s="28" t="s">
        <v>16</v>
      </c>
      <c r="G535" s="26">
        <f>ROUND(C535*E535,0)</f>
        <v>2933</v>
      </c>
      <c r="H535" t="s">
        <v>1264</v>
      </c>
    </row>
    <row r="536" spans="1:8" ht="90" x14ac:dyDescent="0.25">
      <c r="A536" s="21" t="s">
        <v>1265</v>
      </c>
      <c r="B536" s="25" t="s">
        <v>1267</v>
      </c>
      <c r="C536" s="26"/>
      <c r="D536" s="27"/>
      <c r="E536" s="26"/>
      <c r="F536" s="28"/>
      <c r="G536" s="26"/>
      <c r="H536" t="s">
        <v>1266</v>
      </c>
    </row>
    <row r="537" spans="1:8" ht="30" x14ac:dyDescent="0.25">
      <c r="A537" s="21" t="s">
        <v>1268</v>
      </c>
      <c r="B537" s="25" t="s">
        <v>1176</v>
      </c>
      <c r="C537" s="26">
        <v>1</v>
      </c>
      <c r="D537" s="27" t="s">
        <v>15</v>
      </c>
      <c r="E537" s="26">
        <v>1833.25</v>
      </c>
      <c r="F537" s="28" t="s">
        <v>16</v>
      </c>
      <c r="G537" s="26">
        <f>ROUND(C537*E537,0)</f>
        <v>1833</v>
      </c>
      <c r="H537" t="s">
        <v>1183</v>
      </c>
    </row>
    <row r="538" spans="1:8" ht="30" x14ac:dyDescent="0.25">
      <c r="A538" s="21" t="s">
        <v>1269</v>
      </c>
      <c r="B538" s="25" t="s">
        <v>1178</v>
      </c>
      <c r="C538" s="26">
        <v>1</v>
      </c>
      <c r="D538" s="27" t="s">
        <v>15</v>
      </c>
      <c r="E538" s="26">
        <v>1901.55</v>
      </c>
      <c r="F538" s="28" t="s">
        <v>16</v>
      </c>
      <c r="G538" s="26">
        <f>ROUND(C538*E538,0)</f>
        <v>1902</v>
      </c>
      <c r="H538" t="s">
        <v>1210</v>
      </c>
    </row>
    <row r="539" spans="1:8" ht="60" x14ac:dyDescent="0.25">
      <c r="A539" s="21" t="s">
        <v>1270</v>
      </c>
      <c r="B539" s="25" t="s">
        <v>1272</v>
      </c>
      <c r="C539" s="26">
        <v>1</v>
      </c>
      <c r="D539" s="27" t="s">
        <v>15</v>
      </c>
      <c r="E539" s="26">
        <v>2159.9</v>
      </c>
      <c r="F539" s="28" t="s">
        <v>16</v>
      </c>
      <c r="G539" s="26">
        <f>ROUND(C539*E539,0)</f>
        <v>2160</v>
      </c>
      <c r="H539" t="s">
        <v>1271</v>
      </c>
    </row>
    <row r="540" spans="1:8" ht="75" x14ac:dyDescent="0.25">
      <c r="A540" s="21" t="s">
        <v>1273</v>
      </c>
      <c r="B540" s="25" t="s">
        <v>1275</v>
      </c>
      <c r="C540" s="26">
        <v>1</v>
      </c>
      <c r="D540" s="27" t="s">
        <v>201</v>
      </c>
      <c r="E540" s="26">
        <v>6788.85</v>
      </c>
      <c r="F540" s="28" t="s">
        <v>202</v>
      </c>
      <c r="G540" s="26">
        <f>ROUND(C540*E540,0)</f>
        <v>6789</v>
      </c>
      <c r="H540" t="s">
        <v>1274</v>
      </c>
    </row>
    <row r="541" spans="1:8" ht="90" x14ac:dyDescent="0.25">
      <c r="A541" s="21" t="s">
        <v>1276</v>
      </c>
      <c r="B541" s="25" t="s">
        <v>1278</v>
      </c>
      <c r="C541" s="26"/>
      <c r="D541" s="27"/>
      <c r="E541" s="26"/>
      <c r="F541" s="28"/>
      <c r="G541" s="26"/>
      <c r="H541" t="s">
        <v>1277</v>
      </c>
    </row>
    <row r="542" spans="1:8" ht="30" x14ac:dyDescent="0.25">
      <c r="A542" s="21" t="s">
        <v>1279</v>
      </c>
      <c r="B542" s="25" t="s">
        <v>1176</v>
      </c>
      <c r="C542" s="26">
        <v>1</v>
      </c>
      <c r="D542" s="27" t="s">
        <v>21</v>
      </c>
      <c r="E542" s="26">
        <v>93741.1</v>
      </c>
      <c r="F542" s="28" t="s">
        <v>22</v>
      </c>
      <c r="G542" s="26">
        <f>ROUND(C542*E542,0)</f>
        <v>93741</v>
      </c>
      <c r="H542" t="s">
        <v>1183</v>
      </c>
    </row>
    <row r="543" spans="1:8" ht="30" x14ac:dyDescent="0.25">
      <c r="A543" s="21" t="s">
        <v>1280</v>
      </c>
      <c r="B543" s="25" t="s">
        <v>1178</v>
      </c>
      <c r="C543" s="26">
        <v>1</v>
      </c>
      <c r="D543" s="27" t="s">
        <v>21</v>
      </c>
      <c r="E543" s="26">
        <v>107965.1</v>
      </c>
      <c r="F543" s="28" t="s">
        <v>22</v>
      </c>
      <c r="G543" s="26">
        <f>ROUND(C543*E543,0)</f>
        <v>107965</v>
      </c>
      <c r="H543" t="s">
        <v>1210</v>
      </c>
    </row>
    <row r="544" spans="1:8" ht="90" x14ac:dyDescent="0.25">
      <c r="A544" s="21" t="s">
        <v>1281</v>
      </c>
      <c r="B544" s="25" t="s">
        <v>1283</v>
      </c>
      <c r="C544" s="26"/>
      <c r="D544" s="27"/>
      <c r="E544" s="26"/>
      <c r="F544" s="28"/>
      <c r="G544" s="26"/>
      <c r="H544" t="s">
        <v>1282</v>
      </c>
    </row>
    <row r="545" spans="1:8" ht="30" x14ac:dyDescent="0.25">
      <c r="A545" s="21" t="s">
        <v>1284</v>
      </c>
      <c r="B545" s="25" t="s">
        <v>1176</v>
      </c>
      <c r="C545" s="26">
        <v>1</v>
      </c>
      <c r="D545" s="27" t="s">
        <v>15</v>
      </c>
      <c r="E545" s="26">
        <v>14931.55</v>
      </c>
      <c r="F545" s="28" t="s">
        <v>16</v>
      </c>
      <c r="G545" s="26">
        <f>ROUND(C545*E545,0)</f>
        <v>14932</v>
      </c>
      <c r="H545" t="s">
        <v>1183</v>
      </c>
    </row>
    <row r="546" spans="1:8" ht="30" x14ac:dyDescent="0.25">
      <c r="A546" s="21" t="s">
        <v>1285</v>
      </c>
      <c r="B546" s="25" t="s">
        <v>1178</v>
      </c>
      <c r="C546" s="26">
        <v>1</v>
      </c>
      <c r="D546" s="27" t="s">
        <v>15</v>
      </c>
      <c r="E546" s="26">
        <v>14994.15</v>
      </c>
      <c r="F546" s="28" t="s">
        <v>16</v>
      </c>
      <c r="G546" s="26">
        <f>ROUND(C546*E546,0)</f>
        <v>14994</v>
      </c>
      <c r="H546" t="s">
        <v>1210</v>
      </c>
    </row>
    <row r="547" spans="1:8" ht="165" x14ac:dyDescent="0.25">
      <c r="A547" s="21" t="s">
        <v>1286</v>
      </c>
      <c r="B547" s="25" t="s">
        <v>1288</v>
      </c>
      <c r="C547" s="26">
        <v>1</v>
      </c>
      <c r="D547" s="27" t="s">
        <v>429</v>
      </c>
      <c r="E547" s="26">
        <v>1098.8</v>
      </c>
      <c r="F547" s="28" t="s">
        <v>1289</v>
      </c>
      <c r="G547" s="26">
        <f>ROUND(C547*E547,0)</f>
        <v>1099</v>
      </c>
      <c r="H547" t="s">
        <v>1287</v>
      </c>
    </row>
    <row r="548" spans="1:8" ht="30" x14ac:dyDescent="0.25">
      <c r="A548" s="21" t="s">
        <v>1290</v>
      </c>
      <c r="B548" s="25" t="s">
        <v>1292</v>
      </c>
      <c r="C548" s="26">
        <v>1</v>
      </c>
      <c r="D548" s="27" t="s">
        <v>21</v>
      </c>
      <c r="E548" s="26">
        <v>467.55</v>
      </c>
      <c r="F548" s="28" t="s">
        <v>22</v>
      </c>
      <c r="G548" s="26">
        <f>ROUND(C548*E548,0)</f>
        <v>468</v>
      </c>
      <c r="H548" t="s">
        <v>1291</v>
      </c>
    </row>
    <row r="549" spans="1:8" ht="75" x14ac:dyDescent="0.25">
      <c r="A549" s="21" t="s">
        <v>1293</v>
      </c>
      <c r="B549" s="25" t="s">
        <v>1295</v>
      </c>
      <c r="C549" s="26"/>
      <c r="D549" s="27"/>
      <c r="E549" s="26"/>
      <c r="F549" s="28"/>
      <c r="G549" s="26"/>
      <c r="H549" t="s">
        <v>1294</v>
      </c>
    </row>
    <row r="550" spans="1:8" ht="30" x14ac:dyDescent="0.25">
      <c r="A550" s="21" t="s">
        <v>1296</v>
      </c>
      <c r="B550" s="25" t="s">
        <v>1298</v>
      </c>
      <c r="C550" s="26"/>
      <c r="D550" s="27"/>
      <c r="E550" s="26"/>
      <c r="F550" s="28"/>
      <c r="G550" s="26"/>
      <c r="H550" t="s">
        <v>1297</v>
      </c>
    </row>
    <row r="551" spans="1:8" ht="30" x14ac:dyDescent="0.25">
      <c r="A551" s="21" t="s">
        <v>1299</v>
      </c>
      <c r="B551" s="25" t="s">
        <v>1301</v>
      </c>
      <c r="C551" s="26">
        <v>1</v>
      </c>
      <c r="D551" s="27" t="s">
        <v>15</v>
      </c>
      <c r="E551" s="26">
        <v>3094.55</v>
      </c>
      <c r="F551" s="28" t="s">
        <v>16</v>
      </c>
      <c r="G551" s="26">
        <f>ROUND(C551*E551,0)</f>
        <v>3095</v>
      </c>
      <c r="H551" t="s">
        <v>1300</v>
      </c>
    </row>
    <row r="552" spans="1:8" ht="30" x14ac:dyDescent="0.25">
      <c r="A552" s="21" t="s">
        <v>1302</v>
      </c>
      <c r="B552" s="25" t="s">
        <v>1304</v>
      </c>
      <c r="C552" s="26">
        <v>1</v>
      </c>
      <c r="D552" s="27" t="s">
        <v>15</v>
      </c>
      <c r="E552" s="26">
        <v>2766.45</v>
      </c>
      <c r="F552" s="28" t="s">
        <v>16</v>
      </c>
      <c r="G552" s="26">
        <f>ROUND(C552*E552,0)</f>
        <v>2766</v>
      </c>
      <c r="H552" t="s">
        <v>1303</v>
      </c>
    </row>
    <row r="553" spans="1:8" x14ac:dyDescent="0.25">
      <c r="A553" s="21"/>
      <c r="B553" s="45" t="s">
        <v>1305</v>
      </c>
      <c r="C553" s="45"/>
      <c r="D553" s="45"/>
      <c r="E553" s="45"/>
      <c r="F553" s="45"/>
      <c r="G553" s="29">
        <f>SUM(G470:G552)</f>
        <v>2195632</v>
      </c>
    </row>
    <row r="554" spans="1:8" x14ac:dyDescent="0.25">
      <c r="A554" s="46" t="s">
        <v>1306</v>
      </c>
      <c r="B554" s="47"/>
      <c r="C554" s="47"/>
      <c r="D554" s="47"/>
      <c r="E554" s="47"/>
      <c r="F554" s="47"/>
      <c r="G554" s="47"/>
    </row>
    <row r="555" spans="1:8" ht="150" x14ac:dyDescent="0.25">
      <c r="A555" s="21" t="s">
        <v>1307</v>
      </c>
      <c r="B555" s="25" t="s">
        <v>1309</v>
      </c>
      <c r="C555" s="26"/>
      <c r="D555" s="27"/>
      <c r="E555" s="26"/>
      <c r="F555" s="28"/>
      <c r="G555" s="26"/>
      <c r="H555" t="s">
        <v>1308</v>
      </c>
    </row>
    <row r="556" spans="1:8" ht="30" x14ac:dyDescent="0.25">
      <c r="A556" s="21" t="s">
        <v>1310</v>
      </c>
      <c r="B556" s="25" t="s">
        <v>1312</v>
      </c>
      <c r="C556" s="26"/>
      <c r="D556" s="27"/>
      <c r="E556" s="26"/>
      <c r="F556" s="28"/>
      <c r="G556" s="26"/>
      <c r="H556" t="s">
        <v>1311</v>
      </c>
    </row>
    <row r="557" spans="1:8" ht="30" x14ac:dyDescent="0.25">
      <c r="A557" s="21" t="s">
        <v>1313</v>
      </c>
      <c r="B557" s="25" t="s">
        <v>1315</v>
      </c>
      <c r="C557" s="26">
        <v>1</v>
      </c>
      <c r="D557" s="27" t="s">
        <v>15</v>
      </c>
      <c r="E557" s="26">
        <v>5742.55</v>
      </c>
      <c r="F557" s="28" t="s">
        <v>16</v>
      </c>
      <c r="G557" s="26">
        <f>ROUND(C557*E557,0)</f>
        <v>5743</v>
      </c>
      <c r="H557" t="s">
        <v>1314</v>
      </c>
    </row>
    <row r="558" spans="1:8" ht="30" x14ac:dyDescent="0.25">
      <c r="A558" s="21" t="s">
        <v>1316</v>
      </c>
      <c r="B558" s="25" t="s">
        <v>1318</v>
      </c>
      <c r="C558" s="26">
        <v>1</v>
      </c>
      <c r="D558" s="27" t="s">
        <v>15</v>
      </c>
      <c r="E558" s="26">
        <v>5938</v>
      </c>
      <c r="F558" s="28" t="s">
        <v>16</v>
      </c>
      <c r="G558" s="26">
        <f>ROUND(C558*E558,0)</f>
        <v>5938</v>
      </c>
      <c r="H558" t="s">
        <v>1317</v>
      </c>
    </row>
    <row r="559" spans="1:8" ht="165" x14ac:dyDescent="0.25">
      <c r="A559" s="21" t="s">
        <v>1319</v>
      </c>
      <c r="B559" s="25" t="s">
        <v>1321</v>
      </c>
      <c r="C559" s="26"/>
      <c r="D559" s="27"/>
      <c r="E559" s="26"/>
      <c r="F559" s="28"/>
      <c r="G559" s="26"/>
      <c r="H559" t="s">
        <v>1320</v>
      </c>
    </row>
    <row r="560" spans="1:8" ht="30" x14ac:dyDescent="0.25">
      <c r="A560" s="21" t="s">
        <v>1322</v>
      </c>
      <c r="B560" s="25" t="s">
        <v>1323</v>
      </c>
      <c r="C560" s="26"/>
      <c r="D560" s="27"/>
      <c r="E560" s="26"/>
      <c r="F560" s="28"/>
      <c r="G560" s="26"/>
      <c r="H560" t="s">
        <v>1311</v>
      </c>
    </row>
    <row r="561" spans="1:8" ht="30" x14ac:dyDescent="0.25">
      <c r="A561" s="21" t="s">
        <v>1324</v>
      </c>
      <c r="B561" s="25" t="s">
        <v>1315</v>
      </c>
      <c r="C561" s="26">
        <v>1</v>
      </c>
      <c r="D561" s="27" t="s">
        <v>15</v>
      </c>
      <c r="E561" s="26">
        <v>3414.8</v>
      </c>
      <c r="F561" s="28" t="s">
        <v>16</v>
      </c>
      <c r="G561" s="26">
        <f>ROUND(C561*E561,0)</f>
        <v>3415</v>
      </c>
      <c r="H561" t="s">
        <v>1314</v>
      </c>
    </row>
    <row r="562" spans="1:8" ht="30" x14ac:dyDescent="0.25">
      <c r="A562" s="21" t="s">
        <v>1325</v>
      </c>
      <c r="B562" s="25" t="s">
        <v>1318</v>
      </c>
      <c r="C562" s="26">
        <v>1</v>
      </c>
      <c r="D562" s="27" t="s">
        <v>15</v>
      </c>
      <c r="E562" s="26">
        <v>3078.4</v>
      </c>
      <c r="F562" s="28" t="s">
        <v>16</v>
      </c>
      <c r="G562" s="26">
        <f>ROUND(C562*E562,0)</f>
        <v>3078</v>
      </c>
      <c r="H562" t="s">
        <v>1317</v>
      </c>
    </row>
    <row r="563" spans="1:8" x14ac:dyDescent="0.25">
      <c r="A563" s="21" t="s">
        <v>1326</v>
      </c>
      <c r="B563" s="25" t="s">
        <v>1328</v>
      </c>
      <c r="C563" s="26"/>
      <c r="D563" s="27"/>
      <c r="E563" s="26"/>
      <c r="F563" s="28"/>
      <c r="G563" s="26"/>
      <c r="H563" t="s">
        <v>1327</v>
      </c>
    </row>
    <row r="564" spans="1:8" ht="30" x14ac:dyDescent="0.25">
      <c r="A564" s="21" t="s">
        <v>1329</v>
      </c>
      <c r="B564" s="25" t="s">
        <v>1315</v>
      </c>
      <c r="C564" s="26">
        <v>1</v>
      </c>
      <c r="D564" s="27" t="s">
        <v>15</v>
      </c>
      <c r="E564" s="26">
        <v>5413.5</v>
      </c>
      <c r="F564" s="28" t="s">
        <v>16</v>
      </c>
      <c r="G564" s="26">
        <f>ROUND(C564*E564,0)</f>
        <v>5414</v>
      </c>
      <c r="H564" t="s">
        <v>1314</v>
      </c>
    </row>
    <row r="565" spans="1:8" ht="30" x14ac:dyDescent="0.25">
      <c r="A565" s="21" t="s">
        <v>1330</v>
      </c>
      <c r="B565" s="25" t="s">
        <v>1318</v>
      </c>
      <c r="C565" s="26">
        <v>1</v>
      </c>
      <c r="D565" s="27" t="s">
        <v>15</v>
      </c>
      <c r="E565" s="26">
        <v>5136.3</v>
      </c>
      <c r="F565" s="28" t="s">
        <v>16</v>
      </c>
      <c r="G565" s="26">
        <f>ROUND(C565*E565,0)</f>
        <v>5136</v>
      </c>
      <c r="H565" t="s">
        <v>1317</v>
      </c>
    </row>
    <row r="566" spans="1:8" ht="30" x14ac:dyDescent="0.25">
      <c r="A566" s="21" t="s">
        <v>1331</v>
      </c>
      <c r="B566" s="25" t="s">
        <v>1333</v>
      </c>
      <c r="C566" s="26"/>
      <c r="D566" s="27"/>
      <c r="E566" s="26"/>
      <c r="F566" s="28"/>
      <c r="G566" s="26"/>
      <c r="H566" t="s">
        <v>1332</v>
      </c>
    </row>
    <row r="567" spans="1:8" ht="30" x14ac:dyDescent="0.25">
      <c r="A567" s="21" t="s">
        <v>1334</v>
      </c>
      <c r="B567" s="25" t="s">
        <v>1315</v>
      </c>
      <c r="C567" s="26">
        <v>1</v>
      </c>
      <c r="D567" s="27" t="s">
        <v>15</v>
      </c>
      <c r="E567" s="26">
        <v>4170.7</v>
      </c>
      <c r="F567" s="28" t="s">
        <v>16</v>
      </c>
      <c r="G567" s="26">
        <f>ROUND(C567*E567,0)</f>
        <v>4171</v>
      </c>
      <c r="H567" t="s">
        <v>1314</v>
      </c>
    </row>
    <row r="568" spans="1:8" ht="30" x14ac:dyDescent="0.25">
      <c r="A568" s="21" t="s">
        <v>1335</v>
      </c>
      <c r="B568" s="25" t="s">
        <v>1318</v>
      </c>
      <c r="C568" s="26">
        <v>1</v>
      </c>
      <c r="D568" s="27" t="s">
        <v>15</v>
      </c>
      <c r="E568" s="26">
        <v>3848.7</v>
      </c>
      <c r="F568" s="28" t="s">
        <v>16</v>
      </c>
      <c r="G568" s="26">
        <f>ROUND(C568*E568,0)</f>
        <v>3849</v>
      </c>
      <c r="H568" t="s">
        <v>1317</v>
      </c>
    </row>
    <row r="569" spans="1:8" ht="75" x14ac:dyDescent="0.25">
      <c r="A569" s="21" t="s">
        <v>1336</v>
      </c>
      <c r="B569" s="25" t="s">
        <v>1338</v>
      </c>
      <c r="C569" s="26"/>
      <c r="D569" s="27"/>
      <c r="E569" s="26"/>
      <c r="F569" s="28"/>
      <c r="G569" s="26"/>
      <c r="H569" t="s">
        <v>1337</v>
      </c>
    </row>
    <row r="570" spans="1:8" x14ac:dyDescent="0.25">
      <c r="A570" s="21" t="s">
        <v>1339</v>
      </c>
      <c r="B570" s="25" t="s">
        <v>1340</v>
      </c>
      <c r="C570" s="26">
        <v>1</v>
      </c>
      <c r="D570" s="27" t="s">
        <v>110</v>
      </c>
      <c r="E570" s="26">
        <v>298.60000000000002</v>
      </c>
      <c r="F570" s="28" t="s">
        <v>68</v>
      </c>
      <c r="G570" s="26">
        <f>ROUND(C570*E570,0)</f>
        <v>299</v>
      </c>
      <c r="H570" t="s">
        <v>1340</v>
      </c>
    </row>
    <row r="571" spans="1:8" x14ac:dyDescent="0.25">
      <c r="A571" s="21" t="s">
        <v>1341</v>
      </c>
      <c r="B571" s="25" t="s">
        <v>1342</v>
      </c>
      <c r="C571" s="26">
        <v>1</v>
      </c>
      <c r="D571" s="27" t="s">
        <v>110</v>
      </c>
      <c r="E571" s="26">
        <v>510.95</v>
      </c>
      <c r="F571" s="28" t="s">
        <v>68</v>
      </c>
      <c r="G571" s="26">
        <f>ROUND(C571*E571,0)</f>
        <v>511</v>
      </c>
      <c r="H571" t="s">
        <v>1342</v>
      </c>
    </row>
    <row r="572" spans="1:8" ht="75" x14ac:dyDescent="0.25">
      <c r="A572" s="21" t="s">
        <v>1343</v>
      </c>
      <c r="B572" s="25" t="s">
        <v>1345</v>
      </c>
      <c r="C572" s="26">
        <v>1</v>
      </c>
      <c r="D572" s="27" t="s">
        <v>110</v>
      </c>
      <c r="E572" s="26">
        <v>568.54999999999995</v>
      </c>
      <c r="F572" s="28" t="s">
        <v>68</v>
      </c>
      <c r="G572" s="26">
        <f>ROUND(C572*E572,0)</f>
        <v>569</v>
      </c>
      <c r="H572" t="s">
        <v>1344</v>
      </c>
    </row>
    <row r="573" spans="1:8" ht="90" x14ac:dyDescent="0.25">
      <c r="A573" s="21" t="s">
        <v>1346</v>
      </c>
      <c r="B573" s="25" t="s">
        <v>1348</v>
      </c>
      <c r="C573" s="26">
        <v>1</v>
      </c>
      <c r="D573" s="27" t="s">
        <v>201</v>
      </c>
      <c r="E573" s="26">
        <v>978.7</v>
      </c>
      <c r="F573" s="28" t="s">
        <v>202</v>
      </c>
      <c r="G573" s="26">
        <f>ROUND(C573*E573,0)</f>
        <v>979</v>
      </c>
      <c r="H573" t="s">
        <v>1347</v>
      </c>
    </row>
    <row r="574" spans="1:8" ht="45" x14ac:dyDescent="0.25">
      <c r="A574" s="21" t="s">
        <v>1349</v>
      </c>
      <c r="B574" s="25" t="s">
        <v>1351</v>
      </c>
      <c r="C574" s="26">
        <v>1</v>
      </c>
      <c r="D574" s="27" t="s">
        <v>15</v>
      </c>
      <c r="E574" s="26">
        <v>506.7</v>
      </c>
      <c r="F574" s="28" t="s">
        <v>16</v>
      </c>
      <c r="G574" s="26">
        <f>ROUND(C574*E574,0)</f>
        <v>507</v>
      </c>
      <c r="H574" t="s">
        <v>1350</v>
      </c>
    </row>
    <row r="575" spans="1:8" ht="90" x14ac:dyDescent="0.25">
      <c r="A575" s="21" t="s">
        <v>1352</v>
      </c>
      <c r="B575" s="25" t="s">
        <v>1354</v>
      </c>
      <c r="C575" s="26"/>
      <c r="D575" s="27"/>
      <c r="E575" s="26"/>
      <c r="F575" s="28"/>
      <c r="G575" s="26"/>
      <c r="H575" t="s">
        <v>1353</v>
      </c>
    </row>
    <row r="576" spans="1:8" ht="30" x14ac:dyDescent="0.25">
      <c r="A576" s="21" t="s">
        <v>1355</v>
      </c>
      <c r="B576" s="25" t="s">
        <v>1357</v>
      </c>
      <c r="C576" s="26">
        <v>1</v>
      </c>
      <c r="D576" s="27" t="s">
        <v>725</v>
      </c>
      <c r="E576" s="26">
        <v>723.45</v>
      </c>
      <c r="F576" s="28" t="s">
        <v>726</v>
      </c>
      <c r="G576" s="26">
        <f>ROUND(C576*E576,0)</f>
        <v>723</v>
      </c>
      <c r="H576" t="s">
        <v>1356</v>
      </c>
    </row>
    <row r="577" spans="1:8" ht="30" x14ac:dyDescent="0.25">
      <c r="A577" s="21" t="s">
        <v>1358</v>
      </c>
      <c r="B577" s="25" t="s">
        <v>1360</v>
      </c>
      <c r="C577" s="26">
        <v>1</v>
      </c>
      <c r="D577" s="27" t="s">
        <v>725</v>
      </c>
      <c r="E577" s="26">
        <v>714.4</v>
      </c>
      <c r="F577" s="28" t="s">
        <v>726</v>
      </c>
      <c r="G577" s="26">
        <f>ROUND(C577*E577,0)</f>
        <v>714</v>
      </c>
      <c r="H577" t="s">
        <v>1359</v>
      </c>
    </row>
    <row r="578" spans="1:8" ht="60" x14ac:dyDescent="0.25">
      <c r="A578" s="21" t="s">
        <v>1361</v>
      </c>
      <c r="B578" s="25" t="s">
        <v>1363</v>
      </c>
      <c r="C578" s="26"/>
      <c r="D578" s="27"/>
      <c r="E578" s="26"/>
      <c r="F578" s="28"/>
      <c r="G578" s="26"/>
      <c r="H578" t="s">
        <v>1362</v>
      </c>
    </row>
    <row r="579" spans="1:8" x14ac:dyDescent="0.25">
      <c r="A579" s="21" t="s">
        <v>1364</v>
      </c>
      <c r="B579" s="25" t="s">
        <v>1366</v>
      </c>
      <c r="C579" s="26"/>
      <c r="D579" s="27"/>
      <c r="E579" s="26"/>
      <c r="F579" s="28"/>
      <c r="G579" s="26"/>
      <c r="H579" t="s">
        <v>1365</v>
      </c>
    </row>
    <row r="580" spans="1:8" x14ac:dyDescent="0.25">
      <c r="A580" s="21" t="s">
        <v>1367</v>
      </c>
      <c r="B580" s="25" t="s">
        <v>1369</v>
      </c>
      <c r="C580" s="26">
        <v>1</v>
      </c>
      <c r="D580" s="27" t="s">
        <v>201</v>
      </c>
      <c r="E580" s="26">
        <v>36.75</v>
      </c>
      <c r="F580" s="28" t="s">
        <v>202</v>
      </c>
      <c r="G580" s="26">
        <f>ROUND(C580*E580,0)</f>
        <v>37</v>
      </c>
      <c r="H580" t="s">
        <v>1368</v>
      </c>
    </row>
    <row r="581" spans="1:8" x14ac:dyDescent="0.25">
      <c r="A581" s="21" t="s">
        <v>1370</v>
      </c>
      <c r="B581" s="25" t="s">
        <v>1372</v>
      </c>
      <c r="C581" s="26">
        <v>1</v>
      </c>
      <c r="D581" s="27" t="s">
        <v>201</v>
      </c>
      <c r="E581" s="26">
        <v>40</v>
      </c>
      <c r="F581" s="28" t="s">
        <v>202</v>
      </c>
      <c r="G581" s="26">
        <f>ROUND(C581*E581,0)</f>
        <v>40</v>
      </c>
      <c r="H581" t="s">
        <v>1371</v>
      </c>
    </row>
    <row r="582" spans="1:8" x14ac:dyDescent="0.25">
      <c r="A582" s="21" t="s">
        <v>1373</v>
      </c>
      <c r="B582" s="25" t="s">
        <v>1375</v>
      </c>
      <c r="C582" s="26">
        <v>1</v>
      </c>
      <c r="D582" s="27" t="s">
        <v>201</v>
      </c>
      <c r="E582" s="26">
        <v>61.7</v>
      </c>
      <c r="F582" s="28" t="s">
        <v>202</v>
      </c>
      <c r="G582" s="26">
        <f>ROUND(C582*E582,0)</f>
        <v>62</v>
      </c>
      <c r="H582" t="s">
        <v>1374</v>
      </c>
    </row>
    <row r="583" spans="1:8" ht="60" x14ac:dyDescent="0.25">
      <c r="A583" s="21" t="s">
        <v>1376</v>
      </c>
      <c r="B583" s="25" t="s">
        <v>1378</v>
      </c>
      <c r="C583" s="26"/>
      <c r="D583" s="27"/>
      <c r="E583" s="26"/>
      <c r="F583" s="28"/>
      <c r="G583" s="26"/>
      <c r="H583" t="s">
        <v>1377</v>
      </c>
    </row>
    <row r="584" spans="1:8" x14ac:dyDescent="0.25">
      <c r="A584" s="21" t="s">
        <v>1379</v>
      </c>
      <c r="B584" s="25" t="s">
        <v>1381</v>
      </c>
      <c r="C584" s="26"/>
      <c r="D584" s="27"/>
      <c r="E584" s="26"/>
      <c r="F584" s="28"/>
      <c r="G584" s="26"/>
      <c r="H584" t="s">
        <v>1380</v>
      </c>
    </row>
    <row r="585" spans="1:8" ht="30" x14ac:dyDescent="0.25">
      <c r="A585" s="21" t="s">
        <v>1382</v>
      </c>
      <c r="B585" s="25" t="s">
        <v>1384</v>
      </c>
      <c r="C585" s="26">
        <v>1</v>
      </c>
      <c r="D585" s="27" t="s">
        <v>15</v>
      </c>
      <c r="E585" s="26">
        <v>3190.3</v>
      </c>
      <c r="F585" s="28" t="s">
        <v>16</v>
      </c>
      <c r="G585" s="26">
        <f>ROUND(C585*E585,0)</f>
        <v>3190</v>
      </c>
      <c r="H585" t="s">
        <v>1383</v>
      </c>
    </row>
    <row r="586" spans="1:8" ht="30" x14ac:dyDescent="0.25">
      <c r="A586" s="21" t="s">
        <v>1385</v>
      </c>
      <c r="B586" s="25" t="s">
        <v>1387</v>
      </c>
      <c r="C586" s="26">
        <v>1</v>
      </c>
      <c r="D586" s="27" t="s">
        <v>15</v>
      </c>
      <c r="E586" s="26">
        <v>3617.55</v>
      </c>
      <c r="F586" s="28" t="s">
        <v>16</v>
      </c>
      <c r="G586" s="26">
        <f>ROUND(C586*E586,0)</f>
        <v>3618</v>
      </c>
      <c r="H586" t="s">
        <v>1386</v>
      </c>
    </row>
    <row r="587" spans="1:8" ht="150" x14ac:dyDescent="0.25">
      <c r="A587" s="21" t="s">
        <v>1388</v>
      </c>
      <c r="B587" s="25" t="s">
        <v>1390</v>
      </c>
      <c r="C587" s="26"/>
      <c r="D587" s="27"/>
      <c r="E587" s="26"/>
      <c r="F587" s="28"/>
      <c r="G587" s="26"/>
      <c r="H587" t="s">
        <v>1389</v>
      </c>
    </row>
    <row r="588" spans="1:8" ht="30" x14ac:dyDescent="0.25">
      <c r="A588" s="21" t="s">
        <v>1391</v>
      </c>
      <c r="B588" s="25" t="s">
        <v>1393</v>
      </c>
      <c r="C588" s="26">
        <v>1</v>
      </c>
      <c r="D588" s="27" t="s">
        <v>15</v>
      </c>
      <c r="E588" s="26">
        <v>3500.45</v>
      </c>
      <c r="F588" s="28" t="s">
        <v>16</v>
      </c>
      <c r="G588" s="26">
        <f>ROUND(C588*E588,0)</f>
        <v>3500</v>
      </c>
      <c r="H588" t="s">
        <v>1392</v>
      </c>
    </row>
    <row r="589" spans="1:8" ht="30" x14ac:dyDescent="0.25">
      <c r="A589" s="21" t="s">
        <v>1394</v>
      </c>
      <c r="B589" s="25" t="s">
        <v>1396</v>
      </c>
      <c r="C589" s="26">
        <v>1</v>
      </c>
      <c r="D589" s="27" t="s">
        <v>15</v>
      </c>
      <c r="E589" s="26">
        <v>4051.85</v>
      </c>
      <c r="F589" s="28" t="s">
        <v>16</v>
      </c>
      <c r="G589" s="26">
        <f>ROUND(C589*E589,0)</f>
        <v>4052</v>
      </c>
      <c r="H589" t="s">
        <v>1395</v>
      </c>
    </row>
    <row r="590" spans="1:8" ht="195" x14ac:dyDescent="0.25">
      <c r="A590" s="21" t="s">
        <v>1397</v>
      </c>
      <c r="B590" s="25" t="s">
        <v>1399</v>
      </c>
      <c r="C590" s="26"/>
      <c r="D590" s="27"/>
      <c r="E590" s="26"/>
      <c r="F590" s="28"/>
      <c r="G590" s="26"/>
      <c r="H590" t="s">
        <v>1398</v>
      </c>
    </row>
    <row r="591" spans="1:8" ht="30" x14ac:dyDescent="0.25">
      <c r="A591" s="21" t="s">
        <v>1400</v>
      </c>
      <c r="B591" s="25" t="s">
        <v>1401</v>
      </c>
      <c r="C591" s="26">
        <v>1</v>
      </c>
      <c r="D591" s="27" t="s">
        <v>15</v>
      </c>
      <c r="E591" s="26">
        <v>10414.799999999999</v>
      </c>
      <c r="F591" s="28" t="s">
        <v>16</v>
      </c>
      <c r="G591" s="26">
        <f>ROUND(C591*E591,0)</f>
        <v>10415</v>
      </c>
      <c r="H591" t="s">
        <v>1401</v>
      </c>
    </row>
    <row r="592" spans="1:8" ht="150" x14ac:dyDescent="0.25">
      <c r="A592" s="21" t="s">
        <v>1402</v>
      </c>
      <c r="B592" s="25" t="s">
        <v>1404</v>
      </c>
      <c r="C592" s="26"/>
      <c r="D592" s="27"/>
      <c r="E592" s="26"/>
      <c r="F592" s="28"/>
      <c r="G592" s="26"/>
      <c r="H592" t="s">
        <v>1403</v>
      </c>
    </row>
    <row r="593" spans="1:8" ht="30" x14ac:dyDescent="0.25">
      <c r="A593" s="21" t="s">
        <v>1405</v>
      </c>
      <c r="B593" s="25" t="s">
        <v>1406</v>
      </c>
      <c r="C593" s="26"/>
      <c r="D593" s="27"/>
      <c r="E593" s="26"/>
      <c r="F593" s="28"/>
      <c r="G593" s="26"/>
      <c r="H593" t="s">
        <v>1406</v>
      </c>
    </row>
    <row r="594" spans="1:8" ht="30" x14ac:dyDescent="0.25">
      <c r="A594" s="21" t="s">
        <v>1407</v>
      </c>
      <c r="B594" s="25" t="s">
        <v>1408</v>
      </c>
      <c r="C594" s="26">
        <v>1</v>
      </c>
      <c r="D594" s="27" t="s">
        <v>15</v>
      </c>
      <c r="E594" s="26">
        <v>6282.4</v>
      </c>
      <c r="F594" s="28" t="s">
        <v>16</v>
      </c>
      <c r="G594" s="26">
        <f>ROUND(C594*E594,0)</f>
        <v>6282</v>
      </c>
      <c r="H594" t="s">
        <v>1408</v>
      </c>
    </row>
    <row r="595" spans="1:8" ht="30" x14ac:dyDescent="0.25">
      <c r="A595" s="21" t="s">
        <v>1409</v>
      </c>
      <c r="B595" s="25" t="s">
        <v>1410</v>
      </c>
      <c r="C595" s="26">
        <v>1</v>
      </c>
      <c r="D595" s="27" t="s">
        <v>15</v>
      </c>
      <c r="E595" s="26">
        <v>6035.85</v>
      </c>
      <c r="F595" s="28" t="s">
        <v>16</v>
      </c>
      <c r="G595" s="26">
        <f>ROUND(C595*E595,0)</f>
        <v>6036</v>
      </c>
      <c r="H595" t="s">
        <v>1410</v>
      </c>
    </row>
    <row r="596" spans="1:8" ht="30" x14ac:dyDescent="0.25">
      <c r="A596" s="21" t="s">
        <v>1411</v>
      </c>
      <c r="B596" s="25" t="s">
        <v>697</v>
      </c>
      <c r="C596" s="26">
        <v>1</v>
      </c>
      <c r="D596" s="27" t="s">
        <v>15</v>
      </c>
      <c r="E596" s="26">
        <v>5789.9</v>
      </c>
      <c r="F596" s="28" t="s">
        <v>16</v>
      </c>
      <c r="G596" s="26">
        <f>ROUND(C596*E596,0)</f>
        <v>5790</v>
      </c>
      <c r="H596" t="s">
        <v>697</v>
      </c>
    </row>
    <row r="597" spans="1:8" ht="30" x14ac:dyDescent="0.25">
      <c r="A597" s="21" t="s">
        <v>1412</v>
      </c>
      <c r="B597" s="25" t="s">
        <v>700</v>
      </c>
      <c r="C597" s="26">
        <v>1</v>
      </c>
      <c r="D597" s="27" t="s">
        <v>15</v>
      </c>
      <c r="E597" s="26">
        <v>5542.6</v>
      </c>
      <c r="F597" s="28" t="s">
        <v>16</v>
      </c>
      <c r="G597" s="26">
        <f>ROUND(C597*E597,0)</f>
        <v>5543</v>
      </c>
      <c r="H597" t="s">
        <v>700</v>
      </c>
    </row>
    <row r="598" spans="1:8" ht="30" x14ac:dyDescent="0.25">
      <c r="A598" s="21" t="s">
        <v>1413</v>
      </c>
      <c r="B598" s="25" t="s">
        <v>1414</v>
      </c>
      <c r="C598" s="26">
        <v>1</v>
      </c>
      <c r="D598" s="27" t="s">
        <v>15</v>
      </c>
      <c r="E598" s="26">
        <v>5295.9</v>
      </c>
      <c r="F598" s="28" t="s">
        <v>16</v>
      </c>
      <c r="G598" s="26">
        <f>ROUND(C598*E598,0)</f>
        <v>5296</v>
      </c>
      <c r="H598" t="s">
        <v>1414</v>
      </c>
    </row>
    <row r="599" spans="1:8" ht="30" x14ac:dyDescent="0.25">
      <c r="A599" s="21" t="s">
        <v>1415</v>
      </c>
      <c r="B599" s="25" t="s">
        <v>1416</v>
      </c>
      <c r="C599" s="26"/>
      <c r="D599" s="27"/>
      <c r="E599" s="26"/>
      <c r="F599" s="28"/>
      <c r="G599" s="26"/>
      <c r="H599" t="s">
        <v>1416</v>
      </c>
    </row>
    <row r="600" spans="1:8" ht="30" x14ac:dyDescent="0.25">
      <c r="A600" s="21" t="s">
        <v>1417</v>
      </c>
      <c r="B600" s="25" t="s">
        <v>1408</v>
      </c>
      <c r="C600" s="26">
        <v>1</v>
      </c>
      <c r="D600" s="27" t="s">
        <v>15</v>
      </c>
      <c r="E600" s="26">
        <v>8502.25</v>
      </c>
      <c r="F600" s="28" t="s">
        <v>16</v>
      </c>
      <c r="G600" s="26">
        <f>ROUND(C600*E600,0)</f>
        <v>8502</v>
      </c>
      <c r="H600" t="s">
        <v>1408</v>
      </c>
    </row>
    <row r="601" spans="1:8" ht="30" x14ac:dyDescent="0.25">
      <c r="A601" s="21" t="s">
        <v>1418</v>
      </c>
      <c r="B601" s="25" t="s">
        <v>1410</v>
      </c>
      <c r="C601" s="26">
        <v>1</v>
      </c>
      <c r="D601" s="27" t="s">
        <v>15</v>
      </c>
      <c r="E601" s="26">
        <v>8255.75</v>
      </c>
      <c r="F601" s="28" t="s">
        <v>16</v>
      </c>
      <c r="G601" s="26">
        <f>ROUND(C601*E601,0)</f>
        <v>8256</v>
      </c>
      <c r="H601" t="s">
        <v>1410</v>
      </c>
    </row>
    <row r="602" spans="1:8" ht="30" x14ac:dyDescent="0.25">
      <c r="A602" s="21" t="s">
        <v>1419</v>
      </c>
      <c r="B602" s="25" t="s">
        <v>697</v>
      </c>
      <c r="C602" s="26">
        <v>1</v>
      </c>
      <c r="D602" s="27" t="s">
        <v>15</v>
      </c>
      <c r="E602" s="26">
        <v>8009.75</v>
      </c>
      <c r="F602" s="28" t="s">
        <v>16</v>
      </c>
      <c r="G602" s="26">
        <f>ROUND(C602*E602,0)</f>
        <v>8010</v>
      </c>
      <c r="H602" t="s">
        <v>697</v>
      </c>
    </row>
    <row r="603" spans="1:8" ht="30" x14ac:dyDescent="0.25">
      <c r="A603" s="21" t="s">
        <v>1420</v>
      </c>
      <c r="B603" s="25" t="s">
        <v>700</v>
      </c>
      <c r="C603" s="26">
        <v>1</v>
      </c>
      <c r="D603" s="27" t="s">
        <v>15</v>
      </c>
      <c r="E603" s="26">
        <v>7762.5</v>
      </c>
      <c r="F603" s="28" t="s">
        <v>16</v>
      </c>
      <c r="G603" s="26">
        <f>ROUND(C603*E603,0)</f>
        <v>7763</v>
      </c>
      <c r="H603" t="s">
        <v>700</v>
      </c>
    </row>
    <row r="604" spans="1:8" ht="30" x14ac:dyDescent="0.25">
      <c r="A604" s="21" t="s">
        <v>1421</v>
      </c>
      <c r="B604" s="25" t="s">
        <v>1414</v>
      </c>
      <c r="C604" s="26">
        <v>1</v>
      </c>
      <c r="D604" s="27" t="s">
        <v>15</v>
      </c>
      <c r="E604" s="26">
        <v>7515.8</v>
      </c>
      <c r="F604" s="28" t="s">
        <v>16</v>
      </c>
      <c r="G604" s="26">
        <f>ROUND(C604*E604,0)</f>
        <v>7516</v>
      </c>
      <c r="H604" t="s">
        <v>1414</v>
      </c>
    </row>
    <row r="605" spans="1:8" ht="30" x14ac:dyDescent="0.25">
      <c r="A605" s="21" t="s">
        <v>1422</v>
      </c>
      <c r="B605" s="25" t="s">
        <v>1416</v>
      </c>
      <c r="C605" s="26"/>
      <c r="D605" s="27"/>
      <c r="E605" s="26"/>
      <c r="F605" s="28"/>
      <c r="G605" s="26"/>
      <c r="H605" t="s">
        <v>1416</v>
      </c>
    </row>
    <row r="606" spans="1:8" ht="30" x14ac:dyDescent="0.25">
      <c r="A606" s="21" t="s">
        <v>1423</v>
      </c>
      <c r="B606" s="25" t="s">
        <v>1408</v>
      </c>
      <c r="C606" s="26">
        <v>1</v>
      </c>
      <c r="D606" s="27" t="s">
        <v>15</v>
      </c>
      <c r="E606" s="26">
        <v>7278.2</v>
      </c>
      <c r="F606" s="28" t="s">
        <v>16</v>
      </c>
      <c r="G606" s="26">
        <f>ROUND(C606*E606,0)</f>
        <v>7278</v>
      </c>
      <c r="H606" t="s">
        <v>1408</v>
      </c>
    </row>
    <row r="607" spans="1:8" ht="30" x14ac:dyDescent="0.25">
      <c r="A607" s="21" t="s">
        <v>1424</v>
      </c>
      <c r="B607" s="25" t="s">
        <v>1410</v>
      </c>
      <c r="C607" s="26">
        <v>1</v>
      </c>
      <c r="D607" s="27" t="s">
        <v>15</v>
      </c>
      <c r="E607" s="26">
        <v>6889.45</v>
      </c>
      <c r="F607" s="28" t="s">
        <v>16</v>
      </c>
      <c r="G607" s="26">
        <f>ROUND(C607*E607,0)</f>
        <v>6889</v>
      </c>
      <c r="H607" t="s">
        <v>1410</v>
      </c>
    </row>
    <row r="608" spans="1:8" ht="30" x14ac:dyDescent="0.25">
      <c r="A608" s="21" t="s">
        <v>1425</v>
      </c>
      <c r="B608" s="25" t="s">
        <v>697</v>
      </c>
      <c r="C608" s="26">
        <v>1</v>
      </c>
      <c r="D608" s="27" t="s">
        <v>15</v>
      </c>
      <c r="E608" s="26">
        <v>6501.55</v>
      </c>
      <c r="F608" s="28" t="s">
        <v>16</v>
      </c>
      <c r="G608" s="26">
        <f>ROUND(C608*E608,0)</f>
        <v>6502</v>
      </c>
      <c r="H608" t="s">
        <v>697</v>
      </c>
    </row>
    <row r="609" spans="1:8" ht="30" x14ac:dyDescent="0.25">
      <c r="A609" s="21" t="s">
        <v>1426</v>
      </c>
      <c r="B609" s="25" t="s">
        <v>700</v>
      </c>
      <c r="C609" s="26">
        <v>1</v>
      </c>
      <c r="D609" s="27" t="s">
        <v>15</v>
      </c>
      <c r="E609" s="26">
        <v>6110.75</v>
      </c>
      <c r="F609" s="28" t="s">
        <v>16</v>
      </c>
      <c r="G609" s="26">
        <f>ROUND(C609*E609,0)</f>
        <v>6111</v>
      </c>
      <c r="H609" t="s">
        <v>700</v>
      </c>
    </row>
    <row r="610" spans="1:8" ht="30" x14ac:dyDescent="0.25">
      <c r="A610" s="21" t="s">
        <v>1427</v>
      </c>
      <c r="B610" s="25" t="s">
        <v>1414</v>
      </c>
      <c r="C610" s="26">
        <v>1</v>
      </c>
      <c r="D610" s="27" t="s">
        <v>15</v>
      </c>
      <c r="E610" s="26">
        <v>5722.6</v>
      </c>
      <c r="F610" s="28" t="s">
        <v>16</v>
      </c>
      <c r="G610" s="26">
        <f>ROUND(C610*E610,0)</f>
        <v>5723</v>
      </c>
      <c r="H610" t="s">
        <v>1414</v>
      </c>
    </row>
    <row r="611" spans="1:8" ht="30" x14ac:dyDescent="0.25">
      <c r="A611" s="21" t="s">
        <v>1428</v>
      </c>
      <c r="B611" s="25" t="s">
        <v>1429</v>
      </c>
      <c r="C611" s="26"/>
      <c r="D611" s="27"/>
      <c r="E611" s="26"/>
      <c r="F611" s="28"/>
      <c r="G611" s="26"/>
      <c r="H611" t="s">
        <v>1429</v>
      </c>
    </row>
    <row r="612" spans="1:8" ht="30" x14ac:dyDescent="0.25">
      <c r="A612" s="21" t="s">
        <v>1430</v>
      </c>
      <c r="B612" s="25" t="s">
        <v>1408</v>
      </c>
      <c r="C612" s="26">
        <v>1</v>
      </c>
      <c r="D612" s="27" t="s">
        <v>15</v>
      </c>
      <c r="E612" s="26">
        <v>9498.1</v>
      </c>
      <c r="F612" s="28" t="s">
        <v>16</v>
      </c>
      <c r="G612" s="26">
        <f>ROUND(C612*E612,0)</f>
        <v>9498</v>
      </c>
      <c r="H612" t="s">
        <v>1408</v>
      </c>
    </row>
    <row r="613" spans="1:8" ht="30" x14ac:dyDescent="0.25">
      <c r="A613" s="21" t="s">
        <v>1431</v>
      </c>
      <c r="B613" s="25" t="s">
        <v>1410</v>
      </c>
      <c r="C613" s="26">
        <v>1</v>
      </c>
      <c r="D613" s="27" t="s">
        <v>15</v>
      </c>
      <c r="E613" s="26">
        <v>9109.2999999999993</v>
      </c>
      <c r="F613" s="28" t="s">
        <v>16</v>
      </c>
      <c r="G613" s="26">
        <f>ROUND(C613*E613,0)</f>
        <v>9109</v>
      </c>
      <c r="H613" t="s">
        <v>1410</v>
      </c>
    </row>
    <row r="614" spans="1:8" ht="30" x14ac:dyDescent="0.25">
      <c r="A614" s="21" t="s">
        <v>1432</v>
      </c>
      <c r="B614" s="25" t="s">
        <v>697</v>
      </c>
      <c r="C614" s="26">
        <v>1</v>
      </c>
      <c r="D614" s="27" t="s">
        <v>15</v>
      </c>
      <c r="E614" s="26">
        <v>8721.4500000000007</v>
      </c>
      <c r="F614" s="28" t="s">
        <v>16</v>
      </c>
      <c r="G614" s="26">
        <f>ROUND(C614*E614,0)</f>
        <v>8721</v>
      </c>
      <c r="H614" t="s">
        <v>697</v>
      </c>
    </row>
    <row r="615" spans="1:8" ht="30" x14ac:dyDescent="0.25">
      <c r="A615" s="21" t="s">
        <v>1433</v>
      </c>
      <c r="B615" s="25" t="s">
        <v>700</v>
      </c>
      <c r="C615" s="26">
        <v>1</v>
      </c>
      <c r="D615" s="27" t="s">
        <v>15</v>
      </c>
      <c r="E615" s="26">
        <v>8330.65</v>
      </c>
      <c r="F615" s="28" t="s">
        <v>16</v>
      </c>
      <c r="G615" s="26">
        <f>ROUND(C615*E615,0)</f>
        <v>8331</v>
      </c>
      <c r="H615" t="s">
        <v>700</v>
      </c>
    </row>
    <row r="616" spans="1:8" ht="30" x14ac:dyDescent="0.25">
      <c r="A616" s="21" t="s">
        <v>1434</v>
      </c>
      <c r="B616" s="25" t="s">
        <v>1414</v>
      </c>
      <c r="C616" s="26">
        <v>1</v>
      </c>
      <c r="D616" s="27" t="s">
        <v>15</v>
      </c>
      <c r="E616" s="26">
        <v>7942.5</v>
      </c>
      <c r="F616" s="28" t="s">
        <v>16</v>
      </c>
      <c r="G616" s="26">
        <f>ROUND(C616*E616,0)</f>
        <v>7943</v>
      </c>
      <c r="H616" t="s">
        <v>1414</v>
      </c>
    </row>
    <row r="617" spans="1:8" x14ac:dyDescent="0.25">
      <c r="A617" s="21" t="s">
        <v>1435</v>
      </c>
      <c r="B617" s="25" t="s">
        <v>1436</v>
      </c>
      <c r="C617" s="26"/>
      <c r="D617" s="27"/>
      <c r="E617" s="26"/>
      <c r="F617" s="28"/>
      <c r="G617" s="26"/>
      <c r="H617" t="s">
        <v>1436</v>
      </c>
    </row>
    <row r="618" spans="1:8" ht="30" x14ac:dyDescent="0.25">
      <c r="A618" s="21" t="s">
        <v>1437</v>
      </c>
      <c r="B618" s="25" t="s">
        <v>1438</v>
      </c>
      <c r="C618" s="26">
        <v>1</v>
      </c>
      <c r="D618" s="27" t="s">
        <v>15</v>
      </c>
      <c r="E618" s="26">
        <v>3256.65</v>
      </c>
      <c r="F618" s="28" t="s">
        <v>16</v>
      </c>
      <c r="G618" s="26">
        <f>ROUND(C618*E618,0)</f>
        <v>3257</v>
      </c>
      <c r="H618" t="s">
        <v>1438</v>
      </c>
    </row>
    <row r="619" spans="1:8" ht="30" x14ac:dyDescent="0.25">
      <c r="A619" s="21" t="s">
        <v>1439</v>
      </c>
      <c r="B619" s="25" t="s">
        <v>1440</v>
      </c>
      <c r="C619" s="26">
        <v>1</v>
      </c>
      <c r="D619" s="27" t="s">
        <v>15</v>
      </c>
      <c r="E619" s="26">
        <v>3119.2</v>
      </c>
      <c r="F619" s="28" t="s">
        <v>16</v>
      </c>
      <c r="G619" s="26">
        <f>ROUND(C619*E619,0)</f>
        <v>3119</v>
      </c>
      <c r="H619" t="s">
        <v>1440</v>
      </c>
    </row>
    <row r="620" spans="1:8" ht="105" x14ac:dyDescent="0.25">
      <c r="A620" s="21" t="s">
        <v>1441</v>
      </c>
      <c r="B620" s="25" t="s">
        <v>1443</v>
      </c>
      <c r="C620" s="26">
        <v>1</v>
      </c>
      <c r="D620" s="27" t="s">
        <v>725</v>
      </c>
      <c r="E620" s="26">
        <v>714.4</v>
      </c>
      <c r="F620" s="28" t="s">
        <v>726</v>
      </c>
      <c r="G620" s="26">
        <f>ROUND(C620*E620,0)</f>
        <v>714</v>
      </c>
      <c r="H620" t="s">
        <v>1442</v>
      </c>
    </row>
    <row r="621" spans="1:8" ht="75" x14ac:dyDescent="0.25">
      <c r="A621" s="21" t="s">
        <v>1444</v>
      </c>
      <c r="B621" s="25" t="s">
        <v>1446</v>
      </c>
      <c r="C621" s="26">
        <v>1</v>
      </c>
      <c r="D621" s="27" t="s">
        <v>201</v>
      </c>
      <c r="E621" s="26">
        <v>43.9</v>
      </c>
      <c r="F621" s="28" t="s">
        <v>202</v>
      </c>
      <c r="G621" s="26">
        <f>ROUND(C621*E621,0)</f>
        <v>44</v>
      </c>
      <c r="H621" t="s">
        <v>1445</v>
      </c>
    </row>
    <row r="622" spans="1:8" ht="210" x14ac:dyDescent="0.25">
      <c r="A622" s="21" t="s">
        <v>1447</v>
      </c>
      <c r="B622" s="25" t="s">
        <v>1449</v>
      </c>
      <c r="C622" s="26">
        <v>1</v>
      </c>
      <c r="D622" s="27" t="s">
        <v>15</v>
      </c>
      <c r="E622" s="26">
        <v>3135</v>
      </c>
      <c r="F622" s="28" t="s">
        <v>16</v>
      </c>
      <c r="G622" s="26">
        <f>ROUND(C622*E622,0)</f>
        <v>3135</v>
      </c>
      <c r="H622" t="s">
        <v>1448</v>
      </c>
    </row>
    <row r="623" spans="1:8" ht="120" x14ac:dyDescent="0.25">
      <c r="A623" s="21" t="s">
        <v>1450</v>
      </c>
      <c r="B623" s="25" t="s">
        <v>1452</v>
      </c>
      <c r="C623" s="26"/>
      <c r="D623" s="27"/>
      <c r="E623" s="26"/>
      <c r="F623" s="28"/>
      <c r="G623" s="26"/>
      <c r="H623" t="s">
        <v>1451</v>
      </c>
    </row>
    <row r="624" spans="1:8" ht="30" x14ac:dyDescent="0.25">
      <c r="A624" s="21" t="s">
        <v>1453</v>
      </c>
      <c r="B624" s="25" t="s">
        <v>1454</v>
      </c>
      <c r="C624" s="26"/>
      <c r="D624" s="27"/>
      <c r="E624" s="26"/>
      <c r="F624" s="28"/>
      <c r="G624" s="26"/>
      <c r="H624" t="s">
        <v>1454</v>
      </c>
    </row>
    <row r="625" spans="1:8" ht="30" x14ac:dyDescent="0.25">
      <c r="A625" s="21" t="s">
        <v>1455</v>
      </c>
      <c r="B625" s="25" t="s">
        <v>703</v>
      </c>
      <c r="C625" s="26">
        <v>1</v>
      </c>
      <c r="D625" s="27" t="s">
        <v>15</v>
      </c>
      <c r="E625" s="26">
        <v>2651.35</v>
      </c>
      <c r="F625" s="28" t="s">
        <v>16</v>
      </c>
      <c r="G625" s="26">
        <f>ROUND(C625*E625,0)</f>
        <v>2651</v>
      </c>
      <c r="H625" t="s">
        <v>703</v>
      </c>
    </row>
    <row r="626" spans="1:8" ht="60" x14ac:dyDescent="0.25">
      <c r="A626" s="21" t="s">
        <v>1456</v>
      </c>
      <c r="B626" s="25" t="s">
        <v>1457</v>
      </c>
      <c r="C626" s="26">
        <v>1</v>
      </c>
      <c r="D626" s="27" t="s">
        <v>15</v>
      </c>
      <c r="E626" s="26">
        <v>165.85</v>
      </c>
      <c r="F626" s="28" t="s">
        <v>16</v>
      </c>
      <c r="G626" s="26">
        <f>ROUND(C626*E626,0)</f>
        <v>166</v>
      </c>
      <c r="H626" t="s">
        <v>1457</v>
      </c>
    </row>
    <row r="627" spans="1:8" ht="150" x14ac:dyDescent="0.25">
      <c r="A627" s="21" t="s">
        <v>1458</v>
      </c>
      <c r="B627" s="25" t="s">
        <v>1460</v>
      </c>
      <c r="C627" s="26"/>
      <c r="D627" s="27"/>
      <c r="E627" s="26"/>
      <c r="F627" s="28"/>
      <c r="G627" s="26"/>
      <c r="H627" t="s">
        <v>1459</v>
      </c>
    </row>
    <row r="628" spans="1:8" ht="30" x14ac:dyDescent="0.25">
      <c r="A628" s="21" t="s">
        <v>1461</v>
      </c>
      <c r="B628" s="25" t="s">
        <v>1462</v>
      </c>
      <c r="C628" s="26">
        <v>1</v>
      </c>
      <c r="D628" s="27" t="s">
        <v>15</v>
      </c>
      <c r="E628" s="26">
        <v>2902.65</v>
      </c>
      <c r="F628" s="28" t="s">
        <v>16</v>
      </c>
      <c r="G628" s="26">
        <f>ROUND(C628*E628,0)</f>
        <v>2903</v>
      </c>
      <c r="H628" t="s">
        <v>1462</v>
      </c>
    </row>
    <row r="629" spans="1:8" ht="30" x14ac:dyDescent="0.25">
      <c r="A629" s="21" t="s">
        <v>1463</v>
      </c>
      <c r="B629" s="25" t="s">
        <v>1464</v>
      </c>
      <c r="C629" s="26">
        <v>1</v>
      </c>
      <c r="D629" s="27" t="s">
        <v>15</v>
      </c>
      <c r="E629" s="26">
        <v>3040.1</v>
      </c>
      <c r="F629" s="28" t="s">
        <v>16</v>
      </c>
      <c r="G629" s="26">
        <f>ROUND(C629*E629,0)</f>
        <v>3040</v>
      </c>
      <c r="H629" t="s">
        <v>1464</v>
      </c>
    </row>
    <row r="630" spans="1:8" ht="240" x14ac:dyDescent="0.25">
      <c r="A630" s="21" t="s">
        <v>1465</v>
      </c>
      <c r="B630" s="25" t="s">
        <v>1466</v>
      </c>
      <c r="C630" s="26"/>
      <c r="D630" s="27"/>
      <c r="E630" s="26"/>
      <c r="F630" s="28"/>
      <c r="G630" s="26"/>
      <c r="H630" t="s">
        <v>105</v>
      </c>
    </row>
    <row r="631" spans="1:8" ht="195" x14ac:dyDescent="0.25">
      <c r="A631" s="21"/>
      <c r="B631" s="25" t="s">
        <v>1467</v>
      </c>
      <c r="C631" s="26">
        <v>1</v>
      </c>
      <c r="D631" s="27" t="s">
        <v>725</v>
      </c>
      <c r="E631" s="26">
        <v>269.95</v>
      </c>
      <c r="F631" s="28" t="s">
        <v>726</v>
      </c>
      <c r="G631" s="26">
        <f>ROUND(C631*E631,0)</f>
        <v>270</v>
      </c>
    </row>
    <row r="632" spans="1:8" ht="135" x14ac:dyDescent="0.25">
      <c r="A632" s="21" t="s">
        <v>1468</v>
      </c>
      <c r="B632" s="25" t="s">
        <v>1470</v>
      </c>
      <c r="C632" s="26">
        <v>1</v>
      </c>
      <c r="D632" s="27" t="s">
        <v>201</v>
      </c>
      <c r="E632" s="26">
        <v>437</v>
      </c>
      <c r="F632" s="28" t="s">
        <v>202</v>
      </c>
      <c r="G632" s="26">
        <f>ROUND(C632*E632,0)</f>
        <v>437</v>
      </c>
      <c r="H632" t="s">
        <v>1469</v>
      </c>
    </row>
    <row r="633" spans="1:8" ht="60" x14ac:dyDescent="0.25">
      <c r="A633" s="21" t="s">
        <v>1471</v>
      </c>
      <c r="B633" s="25" t="s">
        <v>1473</v>
      </c>
      <c r="C633" s="26">
        <v>1</v>
      </c>
      <c r="D633" s="27" t="s">
        <v>201</v>
      </c>
      <c r="E633" s="26">
        <v>40.85</v>
      </c>
      <c r="F633" s="28" t="s">
        <v>202</v>
      </c>
      <c r="G633" s="26">
        <f>ROUND(C633*E633,0)</f>
        <v>41</v>
      </c>
      <c r="H633" t="s">
        <v>1472</v>
      </c>
    </row>
    <row r="634" spans="1:8" ht="75" x14ac:dyDescent="0.25">
      <c r="A634" s="21" t="s">
        <v>1474</v>
      </c>
      <c r="B634" s="25" t="s">
        <v>1476</v>
      </c>
      <c r="C634" s="26"/>
      <c r="D634" s="27"/>
      <c r="E634" s="26"/>
      <c r="F634" s="28"/>
      <c r="G634" s="26"/>
      <c r="H634" t="s">
        <v>1475</v>
      </c>
    </row>
    <row r="635" spans="1:8" x14ac:dyDescent="0.25">
      <c r="A635" s="21" t="s">
        <v>1477</v>
      </c>
      <c r="B635" s="25" t="s">
        <v>1478</v>
      </c>
      <c r="C635" s="26">
        <v>1</v>
      </c>
      <c r="D635" s="27" t="s">
        <v>201</v>
      </c>
      <c r="E635" s="26">
        <v>22.35</v>
      </c>
      <c r="F635" s="28" t="s">
        <v>202</v>
      </c>
      <c r="G635" s="26">
        <f>ROUND(C635*E635,0)</f>
        <v>22</v>
      </c>
      <c r="H635" t="s">
        <v>1478</v>
      </c>
    </row>
    <row r="636" spans="1:8" x14ac:dyDescent="0.25">
      <c r="A636" s="21" t="s">
        <v>1479</v>
      </c>
      <c r="B636" s="25" t="s">
        <v>1480</v>
      </c>
      <c r="C636" s="26">
        <v>1</v>
      </c>
      <c r="D636" s="27" t="s">
        <v>201</v>
      </c>
      <c r="E636" s="26">
        <v>24.05</v>
      </c>
      <c r="F636" s="28" t="s">
        <v>202</v>
      </c>
      <c r="G636" s="26">
        <f>ROUND(C636*E636,0)</f>
        <v>24</v>
      </c>
      <c r="H636" t="s">
        <v>1480</v>
      </c>
    </row>
    <row r="637" spans="1:8" x14ac:dyDescent="0.25">
      <c r="A637" s="21" t="s">
        <v>1481</v>
      </c>
      <c r="B637" s="25" t="s">
        <v>1482</v>
      </c>
      <c r="C637" s="26">
        <v>1</v>
      </c>
      <c r="D637" s="27" t="s">
        <v>201</v>
      </c>
      <c r="E637" s="26">
        <v>28.3</v>
      </c>
      <c r="F637" s="28" t="s">
        <v>202</v>
      </c>
      <c r="G637" s="26">
        <f>ROUND(C637*E637,0)</f>
        <v>28</v>
      </c>
      <c r="H637" t="s">
        <v>1482</v>
      </c>
    </row>
    <row r="638" spans="1:8" x14ac:dyDescent="0.25">
      <c r="A638" s="21" t="s">
        <v>1483</v>
      </c>
      <c r="B638" s="25" t="s">
        <v>1484</v>
      </c>
      <c r="C638" s="26">
        <v>1</v>
      </c>
      <c r="D638" s="27" t="s">
        <v>201</v>
      </c>
      <c r="E638" s="26">
        <v>29.75</v>
      </c>
      <c r="F638" s="28" t="s">
        <v>202</v>
      </c>
      <c r="G638" s="26">
        <f>ROUND(C638*E638,0)</f>
        <v>30</v>
      </c>
      <c r="H638" t="s">
        <v>1484</v>
      </c>
    </row>
    <row r="639" spans="1:8" ht="60" x14ac:dyDescent="0.25">
      <c r="A639" s="21" t="s">
        <v>1485</v>
      </c>
      <c r="B639" s="25" t="s">
        <v>1487</v>
      </c>
      <c r="C639" s="26"/>
      <c r="D639" s="27"/>
      <c r="E639" s="26"/>
      <c r="F639" s="28"/>
      <c r="G639" s="26"/>
      <c r="H639" t="s">
        <v>1486</v>
      </c>
    </row>
    <row r="640" spans="1:8" ht="30" x14ac:dyDescent="0.25">
      <c r="A640" s="21" t="s">
        <v>1488</v>
      </c>
      <c r="B640" s="25" t="s">
        <v>700</v>
      </c>
      <c r="C640" s="26">
        <v>1</v>
      </c>
      <c r="D640" s="27" t="s">
        <v>15</v>
      </c>
      <c r="E640" s="26">
        <v>6646.7</v>
      </c>
      <c r="F640" s="28" t="s">
        <v>16</v>
      </c>
      <c r="G640" s="26">
        <f>ROUND(C640*E640,0)</f>
        <v>6647</v>
      </c>
      <c r="H640" t="s">
        <v>700</v>
      </c>
    </row>
    <row r="641" spans="1:8" ht="30" x14ac:dyDescent="0.25">
      <c r="A641" s="21" t="s">
        <v>1489</v>
      </c>
      <c r="B641" s="25" t="s">
        <v>703</v>
      </c>
      <c r="C641" s="26">
        <v>1</v>
      </c>
      <c r="D641" s="27" t="s">
        <v>15</v>
      </c>
      <c r="E641" s="26">
        <v>4437.8</v>
      </c>
      <c r="F641" s="28" t="s">
        <v>16</v>
      </c>
      <c r="G641" s="26">
        <f>ROUND(C641*E641,0)</f>
        <v>4438</v>
      </c>
      <c r="H641" t="s">
        <v>703</v>
      </c>
    </row>
    <row r="642" spans="1:8" ht="30" x14ac:dyDescent="0.25">
      <c r="A642" s="21" t="s">
        <v>1490</v>
      </c>
      <c r="B642" s="25" t="s">
        <v>1491</v>
      </c>
      <c r="C642" s="26">
        <v>1</v>
      </c>
      <c r="D642" s="27" t="s">
        <v>15</v>
      </c>
      <c r="E642" s="26">
        <v>3601.3</v>
      </c>
      <c r="F642" s="28" t="s">
        <v>16</v>
      </c>
      <c r="G642" s="26">
        <f>ROUND(C642*E642,0)</f>
        <v>3601</v>
      </c>
      <c r="H642" t="s">
        <v>1491</v>
      </c>
    </row>
    <row r="643" spans="1:8" ht="30" x14ac:dyDescent="0.25">
      <c r="A643" s="21" t="s">
        <v>1492</v>
      </c>
      <c r="B643" s="25" t="s">
        <v>1493</v>
      </c>
      <c r="C643" s="26">
        <v>1</v>
      </c>
      <c r="D643" s="27" t="s">
        <v>15</v>
      </c>
      <c r="E643" s="26">
        <v>2423.25</v>
      </c>
      <c r="F643" s="28" t="s">
        <v>16</v>
      </c>
      <c r="G643" s="26">
        <f>ROUND(C643*E643,0)</f>
        <v>2423</v>
      </c>
      <c r="H643" t="s">
        <v>1493</v>
      </c>
    </row>
    <row r="644" spans="1:8" ht="105" x14ac:dyDescent="0.25">
      <c r="A644" s="21" t="s">
        <v>1494</v>
      </c>
      <c r="B644" s="25" t="s">
        <v>1496</v>
      </c>
      <c r="C644" s="26"/>
      <c r="D644" s="27"/>
      <c r="E644" s="26"/>
      <c r="F644" s="28"/>
      <c r="G644" s="26"/>
      <c r="H644" t="s">
        <v>1495</v>
      </c>
    </row>
    <row r="645" spans="1:8" ht="30" x14ac:dyDescent="0.25">
      <c r="A645" s="21" t="s">
        <v>1497</v>
      </c>
      <c r="B645" s="25" t="s">
        <v>1493</v>
      </c>
      <c r="C645" s="26">
        <v>1</v>
      </c>
      <c r="D645" s="27" t="s">
        <v>15</v>
      </c>
      <c r="E645" s="26">
        <v>1430.2</v>
      </c>
      <c r="F645" s="28" t="s">
        <v>16</v>
      </c>
      <c r="G645" s="26">
        <f>ROUND(C645*E645,0)</f>
        <v>1430</v>
      </c>
      <c r="H645" t="s">
        <v>1493</v>
      </c>
    </row>
    <row r="646" spans="1:8" ht="30" x14ac:dyDescent="0.25">
      <c r="A646" s="21" t="s">
        <v>1498</v>
      </c>
      <c r="B646" s="25" t="s">
        <v>1499</v>
      </c>
      <c r="C646" s="26">
        <v>1</v>
      </c>
      <c r="D646" s="27" t="s">
        <v>15</v>
      </c>
      <c r="E646" s="26">
        <v>1492.8</v>
      </c>
      <c r="F646" s="28" t="s">
        <v>16</v>
      </c>
      <c r="G646" s="26">
        <f>ROUND(C646*E646,0)</f>
        <v>1493</v>
      </c>
      <c r="H646" t="s">
        <v>1499</v>
      </c>
    </row>
    <row r="647" spans="1:8" ht="30" x14ac:dyDescent="0.25">
      <c r="A647" s="21" t="s">
        <v>1500</v>
      </c>
      <c r="B647" s="25" t="s">
        <v>703</v>
      </c>
      <c r="C647" s="26">
        <v>1</v>
      </c>
      <c r="D647" s="27" t="s">
        <v>15</v>
      </c>
      <c r="E647" s="26">
        <v>1979.5</v>
      </c>
      <c r="F647" s="28" t="s">
        <v>16</v>
      </c>
      <c r="G647" s="26">
        <f>ROUND(C647*E647,0)</f>
        <v>1980</v>
      </c>
      <c r="H647" t="s">
        <v>703</v>
      </c>
    </row>
    <row r="648" spans="1:8" ht="60" x14ac:dyDescent="0.25">
      <c r="A648" s="21" t="s">
        <v>1501</v>
      </c>
      <c r="B648" s="25" t="s">
        <v>1503</v>
      </c>
      <c r="C648" s="26"/>
      <c r="D648" s="27"/>
      <c r="E648" s="26"/>
      <c r="F648" s="28"/>
      <c r="G648" s="26"/>
      <c r="H648" t="s">
        <v>1502</v>
      </c>
    </row>
    <row r="649" spans="1:8" ht="30" x14ac:dyDescent="0.25">
      <c r="A649" s="21" t="s">
        <v>1504</v>
      </c>
      <c r="B649" s="25" t="s">
        <v>1505</v>
      </c>
      <c r="C649" s="26">
        <v>1</v>
      </c>
      <c r="D649" s="27" t="s">
        <v>21</v>
      </c>
      <c r="E649" s="26">
        <v>187277.65</v>
      </c>
      <c r="F649" s="28" t="s">
        <v>22</v>
      </c>
      <c r="G649" s="26">
        <f>ROUND(C649*E649,0)</f>
        <v>187278</v>
      </c>
      <c r="H649" t="s">
        <v>1505</v>
      </c>
    </row>
    <row r="650" spans="1:8" ht="75" x14ac:dyDescent="0.25">
      <c r="A650" s="21" t="s">
        <v>1506</v>
      </c>
      <c r="B650" s="25" t="s">
        <v>1508</v>
      </c>
      <c r="C650" s="26"/>
      <c r="D650" s="27"/>
      <c r="E650" s="26"/>
      <c r="F650" s="28"/>
      <c r="G650" s="26"/>
      <c r="H650" t="s">
        <v>1507</v>
      </c>
    </row>
    <row r="651" spans="1:8" ht="30" x14ac:dyDescent="0.25">
      <c r="A651" s="21" t="s">
        <v>1509</v>
      </c>
      <c r="B651" s="25" t="s">
        <v>1510</v>
      </c>
      <c r="C651" s="26">
        <v>1</v>
      </c>
      <c r="D651" s="27" t="s">
        <v>15</v>
      </c>
      <c r="E651" s="26">
        <v>1946.25</v>
      </c>
      <c r="F651" s="28" t="s">
        <v>16</v>
      </c>
      <c r="G651" s="26">
        <f>ROUND(C651*E651,0)</f>
        <v>1946</v>
      </c>
      <c r="H651" t="s">
        <v>1510</v>
      </c>
    </row>
    <row r="652" spans="1:8" ht="60" x14ac:dyDescent="0.25">
      <c r="A652" s="21" t="s">
        <v>1511</v>
      </c>
      <c r="B652" s="25" t="s">
        <v>1513</v>
      </c>
      <c r="C652" s="26">
        <v>1</v>
      </c>
      <c r="D652" s="27" t="s">
        <v>15</v>
      </c>
      <c r="E652" s="26">
        <v>1825.05</v>
      </c>
      <c r="F652" s="28" t="s">
        <v>16</v>
      </c>
      <c r="G652" s="26">
        <f>ROUND(C652*E652,0)</f>
        <v>1825</v>
      </c>
      <c r="H652" t="s">
        <v>1512</v>
      </c>
    </row>
    <row r="653" spans="1:8" ht="120" x14ac:dyDescent="0.25">
      <c r="A653" s="21" t="s">
        <v>1514</v>
      </c>
      <c r="B653" s="25" t="s">
        <v>1516</v>
      </c>
      <c r="C653" s="26"/>
      <c r="D653" s="27"/>
      <c r="E653" s="26"/>
      <c r="F653" s="28"/>
      <c r="G653" s="26"/>
      <c r="H653" t="s">
        <v>1515</v>
      </c>
    </row>
    <row r="654" spans="1:8" ht="30" x14ac:dyDescent="0.25">
      <c r="A654" s="21" t="s">
        <v>1517</v>
      </c>
      <c r="B654" s="25" t="s">
        <v>1499</v>
      </c>
      <c r="C654" s="26">
        <v>1</v>
      </c>
      <c r="D654" s="27" t="s">
        <v>15</v>
      </c>
      <c r="E654" s="26">
        <v>1976.45</v>
      </c>
      <c r="F654" s="28" t="s">
        <v>16</v>
      </c>
      <c r="G654" s="26">
        <f>ROUND(C654*E654,0)</f>
        <v>1976</v>
      </c>
      <c r="H654" t="s">
        <v>1499</v>
      </c>
    </row>
    <row r="655" spans="1:8" ht="30" x14ac:dyDescent="0.25">
      <c r="A655" s="21" t="s">
        <v>1518</v>
      </c>
      <c r="B655" s="25" t="s">
        <v>703</v>
      </c>
      <c r="C655" s="26">
        <v>1</v>
      </c>
      <c r="D655" s="27" t="s">
        <v>15</v>
      </c>
      <c r="E655" s="26">
        <v>2463.1</v>
      </c>
      <c r="F655" s="28" t="s">
        <v>16</v>
      </c>
      <c r="G655" s="26">
        <f>ROUND(C655*E655,0)</f>
        <v>2463</v>
      </c>
      <c r="H655" t="s">
        <v>703</v>
      </c>
    </row>
    <row r="656" spans="1:8" ht="165" x14ac:dyDescent="0.25">
      <c r="A656" s="21" t="s">
        <v>1519</v>
      </c>
      <c r="B656" s="25" t="s">
        <v>1521</v>
      </c>
      <c r="C656" s="26">
        <v>1</v>
      </c>
      <c r="D656" s="27" t="s">
        <v>15</v>
      </c>
      <c r="E656" s="26">
        <v>1267.95</v>
      </c>
      <c r="F656" s="28" t="s">
        <v>16</v>
      </c>
      <c r="G656" s="26">
        <f>ROUND(C656*E656,0)</f>
        <v>1268</v>
      </c>
      <c r="H656" t="s">
        <v>1520</v>
      </c>
    </row>
    <row r="657" spans="1:8" ht="90" x14ac:dyDescent="0.25">
      <c r="A657" s="21" t="s">
        <v>1522</v>
      </c>
      <c r="B657" s="25" t="s">
        <v>1524</v>
      </c>
      <c r="C657" s="26">
        <v>1</v>
      </c>
      <c r="D657" s="27" t="s">
        <v>15</v>
      </c>
      <c r="E657" s="26">
        <v>5015.05</v>
      </c>
      <c r="F657" s="28" t="s">
        <v>16</v>
      </c>
      <c r="G657" s="26">
        <f>ROUND(C657*E657,0)</f>
        <v>5015</v>
      </c>
      <c r="H657" t="s">
        <v>1523</v>
      </c>
    </row>
    <row r="658" spans="1:8" x14ac:dyDescent="0.25">
      <c r="A658" s="21"/>
      <c r="B658" s="45" t="s">
        <v>1525</v>
      </c>
      <c r="C658" s="45"/>
      <c r="D658" s="45"/>
      <c r="E658" s="45"/>
      <c r="F658" s="45"/>
      <c r="G658" s="29">
        <f>SUM(G555:G657)</f>
        <v>454723</v>
      </c>
    </row>
    <row r="659" spans="1:8" x14ac:dyDescent="0.25">
      <c r="A659" s="46" t="s">
        <v>1526</v>
      </c>
      <c r="B659" s="47"/>
      <c r="C659" s="47"/>
      <c r="D659" s="47"/>
      <c r="E659" s="47"/>
      <c r="F659" s="47"/>
      <c r="G659" s="47"/>
    </row>
    <row r="660" spans="1:8" ht="90" x14ac:dyDescent="0.25">
      <c r="A660" s="21" t="s">
        <v>1527</v>
      </c>
      <c r="B660" s="25" t="s">
        <v>1529</v>
      </c>
      <c r="C660" s="26"/>
      <c r="D660" s="27"/>
      <c r="E660" s="26"/>
      <c r="F660" s="28"/>
      <c r="G660" s="26"/>
      <c r="H660" t="s">
        <v>1528</v>
      </c>
    </row>
    <row r="661" spans="1:8" ht="30" x14ac:dyDescent="0.25">
      <c r="A661" s="21" t="s">
        <v>1530</v>
      </c>
      <c r="B661" s="25" t="s">
        <v>1532</v>
      </c>
      <c r="C661" s="26">
        <v>1</v>
      </c>
      <c r="D661" s="27" t="s">
        <v>21</v>
      </c>
      <c r="E661" s="26">
        <v>142949.70000000001</v>
      </c>
      <c r="F661" s="28" t="s">
        <v>22</v>
      </c>
      <c r="G661" s="26">
        <f>ROUND(C661*E661,0)</f>
        <v>142950</v>
      </c>
      <c r="H661" t="s">
        <v>1531</v>
      </c>
    </row>
    <row r="662" spans="1:8" ht="30" x14ac:dyDescent="0.25">
      <c r="A662" s="21" t="s">
        <v>1533</v>
      </c>
      <c r="B662" s="25" t="s">
        <v>1535</v>
      </c>
      <c r="C662" s="26">
        <v>1</v>
      </c>
      <c r="D662" s="27" t="s">
        <v>21</v>
      </c>
      <c r="E662" s="26">
        <v>116520.3</v>
      </c>
      <c r="F662" s="28" t="s">
        <v>22</v>
      </c>
      <c r="G662" s="26">
        <f>ROUND(C662*E662,0)</f>
        <v>116520</v>
      </c>
      <c r="H662" t="s">
        <v>1534</v>
      </c>
    </row>
    <row r="663" spans="1:8" ht="30" x14ac:dyDescent="0.25">
      <c r="A663" s="21" t="s">
        <v>1536</v>
      </c>
      <c r="B663" s="25" t="s">
        <v>1537</v>
      </c>
      <c r="C663" s="26">
        <v>1</v>
      </c>
      <c r="D663" s="27" t="s">
        <v>21</v>
      </c>
      <c r="E663" s="26">
        <v>83378.05</v>
      </c>
      <c r="F663" s="28" t="s">
        <v>22</v>
      </c>
      <c r="G663" s="26">
        <f>ROUND(C663*E663,0)</f>
        <v>83378</v>
      </c>
      <c r="H663" t="s">
        <v>1537</v>
      </c>
    </row>
    <row r="664" spans="1:8" ht="105" x14ac:dyDescent="0.25">
      <c r="A664" s="21" t="s">
        <v>1538</v>
      </c>
      <c r="B664" s="25" t="s">
        <v>1540</v>
      </c>
      <c r="C664" s="26">
        <v>1</v>
      </c>
      <c r="D664" s="27" t="s">
        <v>21</v>
      </c>
      <c r="E664" s="26">
        <v>131981.1</v>
      </c>
      <c r="F664" s="28" t="s">
        <v>22</v>
      </c>
      <c r="G664" s="26">
        <f>ROUND(C664*E664,0)</f>
        <v>131981</v>
      </c>
      <c r="H664" t="s">
        <v>1539</v>
      </c>
    </row>
    <row r="665" spans="1:8" ht="45" x14ac:dyDescent="0.25">
      <c r="A665" s="21" t="s">
        <v>1541</v>
      </c>
      <c r="B665" s="25" t="s">
        <v>1543</v>
      </c>
      <c r="C665" s="26"/>
      <c r="D665" s="27"/>
      <c r="E665" s="26"/>
      <c r="F665" s="28"/>
      <c r="G665" s="26"/>
      <c r="H665" t="s">
        <v>1542</v>
      </c>
    </row>
    <row r="666" spans="1:8" ht="30" x14ac:dyDescent="0.25">
      <c r="A666" s="21" t="s">
        <v>1544</v>
      </c>
      <c r="B666" s="25" t="s">
        <v>1535</v>
      </c>
      <c r="C666" s="26">
        <v>1</v>
      </c>
      <c r="D666" s="27" t="s">
        <v>21</v>
      </c>
      <c r="E666" s="26">
        <v>104754.35</v>
      </c>
      <c r="F666" s="28" t="s">
        <v>22</v>
      </c>
      <c r="G666" s="26">
        <f>ROUND(C666*E666,0)</f>
        <v>104754</v>
      </c>
      <c r="H666" t="s">
        <v>1545</v>
      </c>
    </row>
    <row r="667" spans="1:8" ht="30" x14ac:dyDescent="0.25">
      <c r="A667" s="21" t="s">
        <v>1546</v>
      </c>
      <c r="B667" s="25" t="s">
        <v>1505</v>
      </c>
      <c r="C667" s="26">
        <v>1</v>
      </c>
      <c r="D667" s="27" t="s">
        <v>21</v>
      </c>
      <c r="E667" s="26">
        <v>71337.850000000006</v>
      </c>
      <c r="F667" s="28" t="s">
        <v>22</v>
      </c>
      <c r="G667" s="26">
        <f>ROUND(C667*E667,0)</f>
        <v>71338</v>
      </c>
      <c r="H667" t="s">
        <v>1537</v>
      </c>
    </row>
    <row r="668" spans="1:8" ht="30" x14ac:dyDescent="0.25">
      <c r="A668" s="21" t="s">
        <v>1547</v>
      </c>
      <c r="B668" s="25" t="s">
        <v>1549</v>
      </c>
      <c r="C668" s="26"/>
      <c r="D668" s="27"/>
      <c r="E668" s="26"/>
      <c r="F668" s="28"/>
      <c r="G668" s="26"/>
      <c r="H668" t="s">
        <v>1548</v>
      </c>
    </row>
    <row r="669" spans="1:8" ht="30" x14ac:dyDescent="0.25">
      <c r="A669" s="21" t="s">
        <v>1550</v>
      </c>
      <c r="B669" s="25" t="s">
        <v>1532</v>
      </c>
      <c r="C669" s="26">
        <v>1</v>
      </c>
      <c r="D669" s="27" t="s">
        <v>21</v>
      </c>
      <c r="E669" s="26">
        <v>14294.95</v>
      </c>
      <c r="F669" s="28" t="s">
        <v>22</v>
      </c>
      <c r="G669" s="26">
        <f>ROUND(C669*E669,0)</f>
        <v>14295</v>
      </c>
      <c r="H669" t="s">
        <v>1531</v>
      </c>
    </row>
    <row r="670" spans="1:8" ht="30" x14ac:dyDescent="0.25">
      <c r="A670" s="21" t="s">
        <v>1551</v>
      </c>
      <c r="B670" s="25" t="s">
        <v>1535</v>
      </c>
      <c r="C670" s="26">
        <v>1</v>
      </c>
      <c r="D670" s="27" t="s">
        <v>21</v>
      </c>
      <c r="E670" s="26">
        <v>11652.05</v>
      </c>
      <c r="F670" s="28" t="s">
        <v>22</v>
      </c>
      <c r="G670" s="26">
        <f>ROUND(C670*E670,0)</f>
        <v>11652</v>
      </c>
      <c r="H670" t="s">
        <v>1552</v>
      </c>
    </row>
    <row r="671" spans="1:8" ht="30" x14ac:dyDescent="0.25">
      <c r="A671" s="21" t="s">
        <v>1553</v>
      </c>
      <c r="B671" s="25" t="s">
        <v>1505</v>
      </c>
      <c r="C671" s="26">
        <v>1</v>
      </c>
      <c r="D671" s="27" t="s">
        <v>21</v>
      </c>
      <c r="E671" s="26">
        <v>8338.1</v>
      </c>
      <c r="F671" s="28" t="s">
        <v>22</v>
      </c>
      <c r="G671" s="26">
        <f>ROUND(C671*E671,0)</f>
        <v>8338</v>
      </c>
      <c r="H671" t="s">
        <v>1537</v>
      </c>
    </row>
    <row r="672" spans="1:8" ht="120" x14ac:dyDescent="0.25">
      <c r="A672" s="21" t="s">
        <v>1554</v>
      </c>
      <c r="B672" s="25" t="s">
        <v>1556</v>
      </c>
      <c r="C672" s="26"/>
      <c r="D672" s="27"/>
      <c r="E672" s="26"/>
      <c r="F672" s="28"/>
      <c r="G672" s="26"/>
      <c r="H672" t="s">
        <v>1555</v>
      </c>
    </row>
    <row r="673" spans="1:8" x14ac:dyDescent="0.25">
      <c r="A673" s="21" t="s">
        <v>1557</v>
      </c>
      <c r="B673" s="25" t="s">
        <v>1532</v>
      </c>
      <c r="C673" s="26"/>
      <c r="D673" s="27"/>
      <c r="E673" s="26"/>
      <c r="F673" s="28"/>
      <c r="G673" s="26"/>
      <c r="H673" t="s">
        <v>1531</v>
      </c>
    </row>
    <row r="674" spans="1:8" ht="30" x14ac:dyDescent="0.25">
      <c r="A674" s="21" t="s">
        <v>1558</v>
      </c>
      <c r="B674" s="25" t="s">
        <v>1560</v>
      </c>
      <c r="C674" s="26">
        <v>1</v>
      </c>
      <c r="D674" s="27" t="s">
        <v>15</v>
      </c>
      <c r="E674" s="26">
        <v>4111.95</v>
      </c>
      <c r="F674" s="28" t="s">
        <v>16</v>
      </c>
      <c r="G674" s="26">
        <f>ROUND(C674*E674,0)</f>
        <v>4112</v>
      </c>
      <c r="H674" t="s">
        <v>1559</v>
      </c>
    </row>
    <row r="675" spans="1:8" ht="30" x14ac:dyDescent="0.25">
      <c r="A675" s="21" t="s">
        <v>1561</v>
      </c>
      <c r="B675" s="25" t="s">
        <v>1562</v>
      </c>
      <c r="C675" s="26">
        <v>1</v>
      </c>
      <c r="D675" s="27" t="s">
        <v>15</v>
      </c>
      <c r="E675" s="26">
        <v>3747.3</v>
      </c>
      <c r="F675" s="28" t="s">
        <v>16</v>
      </c>
      <c r="G675" s="26">
        <f>ROUND(C675*E675,0)</f>
        <v>3747</v>
      </c>
      <c r="H675" t="s">
        <v>1414</v>
      </c>
    </row>
    <row r="676" spans="1:8" ht="30" x14ac:dyDescent="0.25">
      <c r="A676" s="21" t="s">
        <v>1563</v>
      </c>
      <c r="B676" s="25" t="s">
        <v>1505</v>
      </c>
      <c r="C676" s="26"/>
      <c r="D676" s="27"/>
      <c r="E676" s="26"/>
      <c r="F676" s="28"/>
      <c r="G676" s="26"/>
      <c r="H676" t="s">
        <v>1505</v>
      </c>
    </row>
    <row r="677" spans="1:8" ht="30" x14ac:dyDescent="0.25">
      <c r="A677" s="21" t="s">
        <v>1564</v>
      </c>
      <c r="B677" s="25" t="s">
        <v>1560</v>
      </c>
      <c r="C677" s="26">
        <v>1</v>
      </c>
      <c r="D677" s="27" t="s">
        <v>15</v>
      </c>
      <c r="E677" s="26">
        <v>2869.1</v>
      </c>
      <c r="F677" s="28" t="s">
        <v>16</v>
      </c>
      <c r="G677" s="26">
        <f>ROUND(C677*E677,0)</f>
        <v>2869</v>
      </c>
      <c r="H677" t="s">
        <v>1559</v>
      </c>
    </row>
    <row r="678" spans="1:8" ht="30" x14ac:dyDescent="0.25">
      <c r="A678" s="21" t="s">
        <v>1565</v>
      </c>
      <c r="B678" s="25" t="s">
        <v>1562</v>
      </c>
      <c r="C678" s="26">
        <v>1</v>
      </c>
      <c r="D678" s="27" t="s">
        <v>15</v>
      </c>
      <c r="E678" s="26">
        <v>2676.85</v>
      </c>
      <c r="F678" s="28" t="s">
        <v>16</v>
      </c>
      <c r="G678" s="26">
        <f>ROUND(C678*E678,0)</f>
        <v>2677</v>
      </c>
      <c r="H678" t="s">
        <v>1414</v>
      </c>
    </row>
    <row r="679" spans="1:8" x14ac:dyDescent="0.25">
      <c r="A679" s="21" t="s">
        <v>1566</v>
      </c>
      <c r="B679" s="25" t="s">
        <v>1568</v>
      </c>
      <c r="C679" s="26"/>
      <c r="D679" s="27"/>
      <c r="E679" s="26"/>
      <c r="F679" s="28"/>
      <c r="G679" s="26"/>
      <c r="H679" t="s">
        <v>1567</v>
      </c>
    </row>
    <row r="680" spans="1:8" ht="30" x14ac:dyDescent="0.25">
      <c r="A680" s="21" t="s">
        <v>1569</v>
      </c>
      <c r="B680" s="25" t="s">
        <v>1560</v>
      </c>
      <c r="C680" s="26">
        <v>1</v>
      </c>
      <c r="D680" s="27" t="s">
        <v>15</v>
      </c>
      <c r="E680" s="26">
        <v>3638.35</v>
      </c>
      <c r="F680" s="28" t="s">
        <v>16</v>
      </c>
      <c r="G680" s="26">
        <f>ROUND(C680*E680,0)</f>
        <v>3638</v>
      </c>
      <c r="H680" t="s">
        <v>1560</v>
      </c>
    </row>
    <row r="681" spans="1:8" ht="30" x14ac:dyDescent="0.25">
      <c r="A681" s="21" t="s">
        <v>1570</v>
      </c>
      <c r="B681" s="25" t="s">
        <v>1562</v>
      </c>
      <c r="C681" s="26">
        <v>1</v>
      </c>
      <c r="D681" s="27" t="s">
        <v>15</v>
      </c>
      <c r="E681" s="26">
        <v>3338.65</v>
      </c>
      <c r="F681" s="28" t="s">
        <v>16</v>
      </c>
      <c r="G681" s="26">
        <f>ROUND(C681*E681,0)</f>
        <v>3339</v>
      </c>
      <c r="H681" t="s">
        <v>1562</v>
      </c>
    </row>
    <row r="682" spans="1:8" ht="120" x14ac:dyDescent="0.25">
      <c r="A682" s="21" t="s">
        <v>1571</v>
      </c>
      <c r="B682" s="25" t="s">
        <v>1573</v>
      </c>
      <c r="C682" s="26"/>
      <c r="D682" s="27"/>
      <c r="E682" s="26"/>
      <c r="F682" s="28"/>
      <c r="G682" s="26"/>
      <c r="H682" t="s">
        <v>1572</v>
      </c>
    </row>
    <row r="683" spans="1:8" ht="75" x14ac:dyDescent="0.25">
      <c r="A683" s="21" t="s">
        <v>1574</v>
      </c>
      <c r="B683" s="25" t="s">
        <v>1576</v>
      </c>
      <c r="C683" s="26">
        <v>1</v>
      </c>
      <c r="D683" s="27" t="s">
        <v>15</v>
      </c>
      <c r="E683" s="26">
        <v>3069.05</v>
      </c>
      <c r="F683" s="28" t="s">
        <v>16</v>
      </c>
      <c r="G683" s="26">
        <f>ROUND(C683*E683,0)</f>
        <v>3069</v>
      </c>
      <c r="H683" t="s">
        <v>1575</v>
      </c>
    </row>
    <row r="684" spans="1:8" ht="120" x14ac:dyDescent="0.25">
      <c r="A684" s="21" t="s">
        <v>1577</v>
      </c>
      <c r="B684" s="25" t="s">
        <v>1579</v>
      </c>
      <c r="C684" s="26">
        <v>1</v>
      </c>
      <c r="D684" s="27" t="s">
        <v>15</v>
      </c>
      <c r="E684" s="26">
        <v>3212.7</v>
      </c>
      <c r="F684" s="28" t="s">
        <v>16</v>
      </c>
      <c r="G684" s="26">
        <f>ROUND(C684*E684,0)</f>
        <v>3213</v>
      </c>
      <c r="H684" t="s">
        <v>1578</v>
      </c>
    </row>
    <row r="685" spans="1:8" ht="135" x14ac:dyDescent="0.25">
      <c r="A685" s="21" t="s">
        <v>1580</v>
      </c>
      <c r="B685" s="25" t="s">
        <v>1582</v>
      </c>
      <c r="C685" s="26">
        <v>1</v>
      </c>
      <c r="D685" s="27" t="s">
        <v>15</v>
      </c>
      <c r="E685" s="26">
        <v>3450.3</v>
      </c>
      <c r="F685" s="28" t="s">
        <v>16</v>
      </c>
      <c r="G685" s="26">
        <f>ROUND(C685*E685,0)</f>
        <v>3450</v>
      </c>
      <c r="H685" t="s">
        <v>1581</v>
      </c>
    </row>
    <row r="686" spans="1:8" ht="105" x14ac:dyDescent="0.25">
      <c r="A686" s="21" t="s">
        <v>1583</v>
      </c>
      <c r="B686" s="25" t="s">
        <v>1585</v>
      </c>
      <c r="C686" s="26"/>
      <c r="D686" s="27"/>
      <c r="E686" s="26"/>
      <c r="F686" s="28"/>
      <c r="G686" s="26"/>
      <c r="H686" t="s">
        <v>1584</v>
      </c>
    </row>
    <row r="687" spans="1:8" ht="30" x14ac:dyDescent="0.25">
      <c r="A687" s="21" t="s">
        <v>1586</v>
      </c>
      <c r="B687" s="25" t="s">
        <v>1532</v>
      </c>
      <c r="C687" s="26">
        <v>1</v>
      </c>
      <c r="D687" s="27" t="s">
        <v>15</v>
      </c>
      <c r="E687" s="26">
        <v>3323.2</v>
      </c>
      <c r="F687" s="28" t="s">
        <v>16</v>
      </c>
      <c r="G687" s="26">
        <f>ROUND(C687*E687,0)</f>
        <v>3323</v>
      </c>
      <c r="H687" t="s">
        <v>1531</v>
      </c>
    </row>
    <row r="688" spans="1:8" ht="30" x14ac:dyDescent="0.25">
      <c r="A688" s="21" t="s">
        <v>1587</v>
      </c>
      <c r="B688" s="25" t="s">
        <v>1537</v>
      </c>
      <c r="C688" s="26">
        <v>1</v>
      </c>
      <c r="D688" s="27" t="s">
        <v>15</v>
      </c>
      <c r="E688" s="26">
        <v>2327.1</v>
      </c>
      <c r="F688" s="28" t="s">
        <v>16</v>
      </c>
      <c r="G688" s="26">
        <f>ROUND(C688*E688,0)</f>
        <v>2327</v>
      </c>
      <c r="H688" t="s">
        <v>1505</v>
      </c>
    </row>
    <row r="689" spans="1:8" x14ac:dyDescent="0.25">
      <c r="A689" s="21" t="s">
        <v>1588</v>
      </c>
      <c r="B689" s="25" t="s">
        <v>1590</v>
      </c>
      <c r="C689" s="26"/>
      <c r="D689" s="27"/>
      <c r="E689" s="26"/>
      <c r="F689" s="28"/>
      <c r="G689" s="26"/>
      <c r="H689" t="s">
        <v>1589</v>
      </c>
    </row>
    <row r="690" spans="1:8" ht="30" x14ac:dyDescent="0.25">
      <c r="A690" s="21" t="s">
        <v>1591</v>
      </c>
      <c r="B690" s="25" t="s">
        <v>1593</v>
      </c>
      <c r="C690" s="26">
        <v>1</v>
      </c>
      <c r="D690" s="27" t="s">
        <v>15</v>
      </c>
      <c r="E690" s="26">
        <v>2724.25</v>
      </c>
      <c r="F690" s="28" t="s">
        <v>16</v>
      </c>
      <c r="G690" s="26">
        <f>ROUND(C690*E690,0)</f>
        <v>2724</v>
      </c>
      <c r="H690" t="s">
        <v>1592</v>
      </c>
    </row>
    <row r="691" spans="1:8" ht="45" x14ac:dyDescent="0.25">
      <c r="A691" s="21" t="s">
        <v>1594</v>
      </c>
      <c r="B691" s="25" t="s">
        <v>1596</v>
      </c>
      <c r="C691" s="26">
        <v>1</v>
      </c>
      <c r="D691" s="27" t="s">
        <v>15</v>
      </c>
      <c r="E691" s="26">
        <v>2698.4</v>
      </c>
      <c r="F691" s="28" t="s">
        <v>16</v>
      </c>
      <c r="G691" s="26">
        <f>ROUND(C691*E691,0)</f>
        <v>2698</v>
      </c>
      <c r="H691" t="s">
        <v>1595</v>
      </c>
    </row>
    <row r="692" spans="1:8" x14ac:dyDescent="0.25">
      <c r="A692" s="21" t="s">
        <v>1597</v>
      </c>
      <c r="B692" s="25" t="s">
        <v>1598</v>
      </c>
      <c r="C692" s="26"/>
      <c r="D692" s="27"/>
      <c r="E692" s="26"/>
      <c r="F692" s="28"/>
      <c r="G692" s="26"/>
      <c r="H692" t="s">
        <v>1598</v>
      </c>
    </row>
    <row r="693" spans="1:8" ht="45" x14ac:dyDescent="0.25">
      <c r="A693" s="21" t="s">
        <v>1599</v>
      </c>
      <c r="B693" s="25" t="s">
        <v>1596</v>
      </c>
      <c r="C693" s="26">
        <v>1</v>
      </c>
      <c r="D693" s="27" t="s">
        <v>15</v>
      </c>
      <c r="E693" s="26">
        <v>2907.05</v>
      </c>
      <c r="F693" s="28" t="s">
        <v>16</v>
      </c>
      <c r="G693" s="26">
        <f>ROUND(C693*E693,0)</f>
        <v>2907</v>
      </c>
      <c r="H693" t="s">
        <v>1595</v>
      </c>
    </row>
    <row r="694" spans="1:8" x14ac:dyDescent="0.25">
      <c r="A694" s="21" t="s">
        <v>1600</v>
      </c>
      <c r="B694" s="25" t="s">
        <v>1602</v>
      </c>
      <c r="C694" s="26"/>
      <c r="D694" s="27"/>
      <c r="E694" s="26"/>
      <c r="F694" s="28"/>
      <c r="G694" s="26"/>
      <c r="H694" t="s">
        <v>1601</v>
      </c>
    </row>
    <row r="695" spans="1:8" ht="45" x14ac:dyDescent="0.25">
      <c r="A695" s="21" t="s">
        <v>1603</v>
      </c>
      <c r="B695" s="25" t="s">
        <v>1605</v>
      </c>
      <c r="C695" s="26">
        <v>1</v>
      </c>
      <c r="D695" s="27" t="s">
        <v>15</v>
      </c>
      <c r="E695" s="26">
        <v>1693</v>
      </c>
      <c r="F695" s="28" t="s">
        <v>16</v>
      </c>
      <c r="G695" s="26">
        <f>ROUND(C695*E695,0)</f>
        <v>1693</v>
      </c>
      <c r="H695" t="s">
        <v>1604</v>
      </c>
    </row>
    <row r="696" spans="1:8" ht="45" x14ac:dyDescent="0.25">
      <c r="A696" s="21" t="s">
        <v>1606</v>
      </c>
      <c r="B696" s="25" t="s">
        <v>1608</v>
      </c>
      <c r="C696" s="26">
        <v>1</v>
      </c>
      <c r="D696" s="27" t="s">
        <v>15</v>
      </c>
      <c r="E696" s="26">
        <v>2012.05</v>
      </c>
      <c r="F696" s="28" t="s">
        <v>16</v>
      </c>
      <c r="G696" s="26">
        <f>ROUND(C696*E696,0)</f>
        <v>2012</v>
      </c>
      <c r="H696" t="s">
        <v>1607</v>
      </c>
    </row>
    <row r="697" spans="1:8" ht="45" x14ac:dyDescent="0.25">
      <c r="A697" s="21" t="s">
        <v>1609</v>
      </c>
      <c r="B697" s="25" t="s">
        <v>1611</v>
      </c>
      <c r="C697" s="26">
        <v>1</v>
      </c>
      <c r="D697" s="27" t="s">
        <v>15</v>
      </c>
      <c r="E697" s="26">
        <v>2081.0500000000002</v>
      </c>
      <c r="F697" s="28" t="s">
        <v>16</v>
      </c>
      <c r="G697" s="26">
        <f>ROUND(C697*E697,0)</f>
        <v>2081</v>
      </c>
      <c r="H697" t="s">
        <v>1610</v>
      </c>
    </row>
    <row r="698" spans="1:8" ht="45" x14ac:dyDescent="0.25">
      <c r="A698" s="21" t="s">
        <v>1612</v>
      </c>
      <c r="B698" s="25" t="s">
        <v>1614</v>
      </c>
      <c r="C698" s="26">
        <v>1</v>
      </c>
      <c r="D698" s="27" t="s">
        <v>15</v>
      </c>
      <c r="E698" s="26">
        <v>2053.4499999999998</v>
      </c>
      <c r="F698" s="28" t="s">
        <v>16</v>
      </c>
      <c r="G698" s="26">
        <f>ROUND(C698*E698,0)</f>
        <v>2053</v>
      </c>
      <c r="H698" t="s">
        <v>1613</v>
      </c>
    </row>
    <row r="699" spans="1:8" x14ac:dyDescent="0.25">
      <c r="A699" s="21" t="s">
        <v>1615</v>
      </c>
      <c r="B699" s="25" t="s">
        <v>1616</v>
      </c>
      <c r="C699" s="26"/>
      <c r="D699" s="27"/>
      <c r="E699" s="26"/>
      <c r="F699" s="28"/>
      <c r="G699" s="26"/>
      <c r="H699" t="s">
        <v>1616</v>
      </c>
    </row>
    <row r="700" spans="1:8" ht="30" x14ac:dyDescent="0.25">
      <c r="A700" s="21" t="s">
        <v>1617</v>
      </c>
      <c r="B700" s="25" t="s">
        <v>1493</v>
      </c>
      <c r="C700" s="26">
        <v>1</v>
      </c>
      <c r="D700" s="27" t="s">
        <v>15</v>
      </c>
      <c r="E700" s="26">
        <v>2253.4499999999998</v>
      </c>
      <c r="F700" s="28" t="s">
        <v>16</v>
      </c>
      <c r="G700" s="26">
        <f>ROUND(C700*E700,0)</f>
        <v>2253</v>
      </c>
      <c r="H700" t="s">
        <v>1493</v>
      </c>
    </row>
    <row r="701" spans="1:8" x14ac:dyDescent="0.25">
      <c r="A701" s="21" t="s">
        <v>1618</v>
      </c>
      <c r="B701" s="25" t="s">
        <v>1619</v>
      </c>
      <c r="C701" s="26"/>
      <c r="D701" s="27"/>
      <c r="E701" s="26"/>
      <c r="F701" s="28"/>
      <c r="G701" s="26"/>
      <c r="H701" t="s">
        <v>1619</v>
      </c>
    </row>
    <row r="702" spans="1:8" ht="30" x14ac:dyDescent="0.25">
      <c r="A702" s="21" t="s">
        <v>1620</v>
      </c>
      <c r="B702" s="25" t="s">
        <v>1622</v>
      </c>
      <c r="C702" s="26">
        <v>1</v>
      </c>
      <c r="D702" s="27" t="s">
        <v>15</v>
      </c>
      <c r="E702" s="26">
        <v>2241.8000000000002</v>
      </c>
      <c r="F702" s="28" t="s">
        <v>16</v>
      </c>
      <c r="G702" s="26">
        <f>ROUND(C702*E702,0)</f>
        <v>2242</v>
      </c>
      <c r="H702" t="s">
        <v>1621</v>
      </c>
    </row>
    <row r="703" spans="1:8" ht="30" x14ac:dyDescent="0.25">
      <c r="A703" s="21" t="s">
        <v>1623</v>
      </c>
      <c r="B703" s="25" t="s">
        <v>1625</v>
      </c>
      <c r="C703" s="26">
        <v>1</v>
      </c>
      <c r="D703" s="27" t="s">
        <v>15</v>
      </c>
      <c r="E703" s="26">
        <v>2600.4499999999998</v>
      </c>
      <c r="F703" s="28" t="s">
        <v>16</v>
      </c>
      <c r="G703" s="26">
        <f>ROUND(C703*E703,0)</f>
        <v>2600</v>
      </c>
      <c r="H703" t="s">
        <v>1624</v>
      </c>
    </row>
    <row r="704" spans="1:8" ht="45" x14ac:dyDescent="0.25">
      <c r="A704" s="21" t="s">
        <v>1626</v>
      </c>
      <c r="B704" s="25" t="s">
        <v>1628</v>
      </c>
      <c r="C704" s="26">
        <v>1</v>
      </c>
      <c r="D704" s="27" t="s">
        <v>15</v>
      </c>
      <c r="E704" s="26">
        <v>1800.45</v>
      </c>
      <c r="F704" s="28" t="s">
        <v>16</v>
      </c>
      <c r="G704" s="26">
        <f>ROUND(C704*E704,0)</f>
        <v>1800</v>
      </c>
      <c r="H704" t="s">
        <v>1627</v>
      </c>
    </row>
    <row r="705" spans="1:8" ht="90" x14ac:dyDescent="0.25">
      <c r="A705" s="21" t="s">
        <v>1629</v>
      </c>
      <c r="B705" s="25" t="s">
        <v>1631</v>
      </c>
      <c r="C705" s="26"/>
      <c r="D705" s="27"/>
      <c r="E705" s="26"/>
      <c r="F705" s="28"/>
      <c r="G705" s="26"/>
      <c r="H705" t="s">
        <v>1630</v>
      </c>
    </row>
    <row r="706" spans="1:8" x14ac:dyDescent="0.25">
      <c r="A706" s="21" t="s">
        <v>1632</v>
      </c>
      <c r="B706" s="25" t="s">
        <v>1532</v>
      </c>
      <c r="C706" s="26"/>
      <c r="D706" s="27"/>
      <c r="E706" s="26"/>
      <c r="F706" s="28"/>
      <c r="G706" s="26"/>
      <c r="H706" t="s">
        <v>1531</v>
      </c>
    </row>
    <row r="707" spans="1:8" ht="30" x14ac:dyDescent="0.25">
      <c r="A707" s="21" t="s">
        <v>1633</v>
      </c>
      <c r="B707" s="25" t="s">
        <v>1559</v>
      </c>
      <c r="C707" s="26">
        <v>1</v>
      </c>
      <c r="D707" s="27" t="s">
        <v>15</v>
      </c>
      <c r="E707" s="26">
        <v>4940.2</v>
      </c>
      <c r="F707" s="28" t="s">
        <v>16</v>
      </c>
      <c r="G707" s="26">
        <f>ROUND(C707*E707,0)</f>
        <v>4940</v>
      </c>
      <c r="H707" t="s">
        <v>1559</v>
      </c>
    </row>
    <row r="708" spans="1:8" ht="30" x14ac:dyDescent="0.25">
      <c r="A708" s="21" t="s">
        <v>1634</v>
      </c>
      <c r="B708" s="25" t="s">
        <v>1414</v>
      </c>
      <c r="C708" s="26">
        <v>1</v>
      </c>
      <c r="D708" s="27" t="s">
        <v>15</v>
      </c>
      <c r="E708" s="26">
        <v>4523.3999999999996</v>
      </c>
      <c r="F708" s="28" t="s">
        <v>16</v>
      </c>
      <c r="G708" s="26">
        <f>ROUND(C708*E708,0)</f>
        <v>4523</v>
      </c>
      <c r="H708" t="s">
        <v>1414</v>
      </c>
    </row>
    <row r="709" spans="1:8" ht="30" x14ac:dyDescent="0.25">
      <c r="A709" s="21" t="s">
        <v>1635</v>
      </c>
      <c r="B709" s="25" t="s">
        <v>1505</v>
      </c>
      <c r="C709" s="26"/>
      <c r="D709" s="27"/>
      <c r="E709" s="26"/>
      <c r="F709" s="28"/>
      <c r="G709" s="26"/>
      <c r="H709" t="s">
        <v>1636</v>
      </c>
    </row>
    <row r="710" spans="1:8" ht="30" x14ac:dyDescent="0.25">
      <c r="A710" s="21" t="s">
        <v>1637</v>
      </c>
      <c r="B710" s="25" t="s">
        <v>1559</v>
      </c>
      <c r="C710" s="26">
        <v>1</v>
      </c>
      <c r="D710" s="27" t="s">
        <v>15</v>
      </c>
      <c r="E710" s="26">
        <v>3524.85</v>
      </c>
      <c r="F710" s="28" t="s">
        <v>16</v>
      </c>
      <c r="G710" s="26">
        <f>ROUND(C710*E710,0)</f>
        <v>3525</v>
      </c>
      <c r="H710" t="s">
        <v>1638</v>
      </c>
    </row>
    <row r="711" spans="1:8" ht="30" x14ac:dyDescent="0.25">
      <c r="A711" s="21" t="s">
        <v>1639</v>
      </c>
      <c r="B711" s="25" t="s">
        <v>1414</v>
      </c>
      <c r="C711" s="26">
        <v>1</v>
      </c>
      <c r="D711" s="27" t="s">
        <v>15</v>
      </c>
      <c r="E711" s="26">
        <v>3305.2</v>
      </c>
      <c r="F711" s="28" t="s">
        <v>16</v>
      </c>
      <c r="G711" s="26">
        <f>ROUND(C711*E711,0)</f>
        <v>3305</v>
      </c>
      <c r="H711" t="s">
        <v>1640</v>
      </c>
    </row>
    <row r="712" spans="1:8" x14ac:dyDescent="0.25">
      <c r="A712" s="21" t="s">
        <v>1641</v>
      </c>
      <c r="B712" s="25" t="s">
        <v>1568</v>
      </c>
      <c r="C712" s="26"/>
      <c r="D712" s="27"/>
      <c r="E712" s="26"/>
      <c r="F712" s="28"/>
      <c r="G712" s="26"/>
      <c r="H712" t="s">
        <v>1567</v>
      </c>
    </row>
    <row r="713" spans="1:8" ht="30" x14ac:dyDescent="0.25">
      <c r="A713" s="21" t="s">
        <v>1642</v>
      </c>
      <c r="B713" s="25" t="s">
        <v>1559</v>
      </c>
      <c r="C713" s="26">
        <v>1</v>
      </c>
      <c r="D713" s="27" t="s">
        <v>15</v>
      </c>
      <c r="E713" s="26">
        <v>4401.55</v>
      </c>
      <c r="F713" s="28" t="s">
        <v>16</v>
      </c>
      <c r="G713" s="26">
        <f>ROUND(C713*E713,0)</f>
        <v>4402</v>
      </c>
      <c r="H713" t="s">
        <v>1559</v>
      </c>
    </row>
    <row r="714" spans="1:8" ht="30" x14ac:dyDescent="0.25">
      <c r="A714" s="21" t="s">
        <v>1643</v>
      </c>
      <c r="B714" s="25" t="s">
        <v>1414</v>
      </c>
      <c r="C714" s="26">
        <v>1</v>
      </c>
      <c r="D714" s="27" t="s">
        <v>15</v>
      </c>
      <c r="E714" s="26">
        <v>4059.05</v>
      </c>
      <c r="F714" s="28" t="s">
        <v>16</v>
      </c>
      <c r="G714" s="26">
        <f>ROUND(C714*E714,0)</f>
        <v>4059</v>
      </c>
      <c r="H714" t="s">
        <v>1414</v>
      </c>
    </row>
    <row r="715" spans="1:8" ht="135" x14ac:dyDescent="0.25">
      <c r="A715" s="21" t="s">
        <v>1644</v>
      </c>
      <c r="B715" s="25" t="s">
        <v>1646</v>
      </c>
      <c r="C715" s="26"/>
      <c r="D715" s="27"/>
      <c r="E715" s="26"/>
      <c r="F715" s="28"/>
      <c r="G715" s="26"/>
      <c r="H715" t="s">
        <v>1645</v>
      </c>
    </row>
    <row r="716" spans="1:8" ht="30" x14ac:dyDescent="0.25">
      <c r="A716" s="21" t="s">
        <v>1647</v>
      </c>
      <c r="B716" s="25" t="s">
        <v>1562</v>
      </c>
      <c r="C716" s="26">
        <v>1</v>
      </c>
      <c r="D716" s="27" t="s">
        <v>15</v>
      </c>
      <c r="E716" s="26">
        <v>3066.2</v>
      </c>
      <c r="F716" s="28" t="s">
        <v>16</v>
      </c>
      <c r="G716" s="26">
        <f>ROUND(C716*E716,0)</f>
        <v>3066</v>
      </c>
      <c r="H716" t="s">
        <v>1648</v>
      </c>
    </row>
    <row r="717" spans="1:8" ht="75" x14ac:dyDescent="0.25">
      <c r="A717" s="21" t="s">
        <v>1649</v>
      </c>
      <c r="B717" s="25" t="s">
        <v>1651</v>
      </c>
      <c r="C717" s="26"/>
      <c r="D717" s="27"/>
      <c r="E717" s="26"/>
      <c r="F717" s="28"/>
      <c r="G717" s="26"/>
      <c r="H717" t="s">
        <v>1650</v>
      </c>
    </row>
    <row r="718" spans="1:8" ht="45" x14ac:dyDescent="0.25">
      <c r="A718" s="21" t="s">
        <v>1652</v>
      </c>
      <c r="B718" s="25" t="s">
        <v>1654</v>
      </c>
      <c r="C718" s="26">
        <v>1</v>
      </c>
      <c r="D718" s="27" t="s">
        <v>15</v>
      </c>
      <c r="E718" s="26">
        <v>295.89999999999998</v>
      </c>
      <c r="F718" s="28" t="s">
        <v>16</v>
      </c>
      <c r="G718" s="26">
        <f>ROUND(C718*E718,0)</f>
        <v>296</v>
      </c>
      <c r="H718" t="s">
        <v>1653</v>
      </c>
    </row>
    <row r="719" spans="1:8" ht="105" x14ac:dyDescent="0.25">
      <c r="A719" s="21" t="s">
        <v>1655</v>
      </c>
      <c r="B719" s="25" t="s">
        <v>1657</v>
      </c>
      <c r="C719" s="26">
        <v>1</v>
      </c>
      <c r="D719" s="27" t="s">
        <v>15</v>
      </c>
      <c r="E719" s="26">
        <v>176.4</v>
      </c>
      <c r="F719" s="28" t="s">
        <v>16</v>
      </c>
      <c r="G719" s="26">
        <f>ROUND(C719*E719,0)</f>
        <v>176</v>
      </c>
      <c r="H719" t="s">
        <v>1656</v>
      </c>
    </row>
    <row r="720" spans="1:8" ht="90" x14ac:dyDescent="0.25">
      <c r="A720" s="21" t="s">
        <v>1658</v>
      </c>
      <c r="B720" s="25" t="s">
        <v>1660</v>
      </c>
      <c r="C720" s="26">
        <v>1</v>
      </c>
      <c r="D720" s="27" t="s">
        <v>15</v>
      </c>
      <c r="E720" s="26">
        <v>-73.95</v>
      </c>
      <c r="F720" s="28" t="s">
        <v>16</v>
      </c>
      <c r="G720" s="26">
        <f>ROUND(C720*E720,0)</f>
        <v>-74</v>
      </c>
      <c r="H720" t="s">
        <v>1659</v>
      </c>
    </row>
    <row r="721" spans="1:8" ht="60" x14ac:dyDescent="0.25">
      <c r="A721" s="21" t="s">
        <v>1661</v>
      </c>
      <c r="B721" s="25" t="s">
        <v>1663</v>
      </c>
      <c r="C721" s="26">
        <v>1</v>
      </c>
      <c r="D721" s="27" t="s">
        <v>15</v>
      </c>
      <c r="E721" s="26">
        <v>193.55</v>
      </c>
      <c r="F721" s="28" t="s">
        <v>16</v>
      </c>
      <c r="G721" s="26">
        <f>ROUND(C721*E721,0)</f>
        <v>194</v>
      </c>
      <c r="H721" t="s">
        <v>1662</v>
      </c>
    </row>
    <row r="722" spans="1:8" ht="30" x14ac:dyDescent="0.25">
      <c r="A722" s="21" t="s">
        <v>1664</v>
      </c>
      <c r="B722" s="25" t="s">
        <v>1666</v>
      </c>
      <c r="C722" s="26"/>
      <c r="D722" s="27"/>
      <c r="E722" s="26"/>
      <c r="F722" s="28"/>
      <c r="G722" s="26"/>
      <c r="H722" t="s">
        <v>1665</v>
      </c>
    </row>
    <row r="723" spans="1:8" ht="30" x14ac:dyDescent="0.25">
      <c r="A723" s="21" t="s">
        <v>1667</v>
      </c>
      <c r="B723" s="25" t="s">
        <v>1669</v>
      </c>
      <c r="C723" s="26"/>
      <c r="D723" s="27"/>
      <c r="E723" s="26"/>
      <c r="F723" s="28"/>
      <c r="G723" s="26"/>
      <c r="H723" t="s">
        <v>1668</v>
      </c>
    </row>
    <row r="724" spans="1:8" ht="30" x14ac:dyDescent="0.25">
      <c r="A724" s="21" t="s">
        <v>1670</v>
      </c>
      <c r="B724" s="25" t="s">
        <v>1672</v>
      </c>
      <c r="C724" s="26">
        <v>1</v>
      </c>
      <c r="D724" s="27" t="s">
        <v>15</v>
      </c>
      <c r="E724" s="26">
        <v>-253.3</v>
      </c>
      <c r="F724" s="28" t="s">
        <v>16</v>
      </c>
      <c r="G724" s="26">
        <f>ROUND(C724*E724,0)</f>
        <v>-253</v>
      </c>
      <c r="H724" t="s">
        <v>1671</v>
      </c>
    </row>
    <row r="725" spans="1:8" ht="30" x14ac:dyDescent="0.25">
      <c r="A725" s="21" t="s">
        <v>1673</v>
      </c>
      <c r="B725" s="25" t="s">
        <v>1675</v>
      </c>
      <c r="C725" s="26"/>
      <c r="D725" s="27"/>
      <c r="E725" s="26"/>
      <c r="F725" s="28"/>
      <c r="G725" s="26"/>
      <c r="H725" t="s">
        <v>1674</v>
      </c>
    </row>
    <row r="726" spans="1:8" ht="30" x14ac:dyDescent="0.25">
      <c r="A726" s="21" t="s">
        <v>1676</v>
      </c>
      <c r="B726" s="25" t="s">
        <v>1672</v>
      </c>
      <c r="C726" s="26">
        <v>1</v>
      </c>
      <c r="D726" s="27" t="s">
        <v>15</v>
      </c>
      <c r="E726" s="26">
        <v>-59.8</v>
      </c>
      <c r="F726" s="28" t="s">
        <v>16</v>
      </c>
      <c r="G726" s="26">
        <f>ROUND(C726*E726,0)</f>
        <v>-60</v>
      </c>
      <c r="H726" t="s">
        <v>1671</v>
      </c>
    </row>
    <row r="727" spans="1:8" ht="30" x14ac:dyDescent="0.25">
      <c r="A727" s="21" t="s">
        <v>1677</v>
      </c>
      <c r="B727" s="25" t="s">
        <v>1679</v>
      </c>
      <c r="C727" s="26"/>
      <c r="D727" s="27"/>
      <c r="E727" s="26"/>
      <c r="F727" s="28"/>
      <c r="G727" s="26"/>
      <c r="H727" t="s">
        <v>1678</v>
      </c>
    </row>
    <row r="728" spans="1:8" x14ac:dyDescent="0.25">
      <c r="A728" s="21" t="s">
        <v>1680</v>
      </c>
      <c r="B728" s="25" t="s">
        <v>1681</v>
      </c>
      <c r="C728" s="26"/>
      <c r="D728" s="27"/>
      <c r="E728" s="26"/>
      <c r="F728" s="28"/>
      <c r="G728" s="26"/>
      <c r="H728" t="s">
        <v>1681</v>
      </c>
    </row>
    <row r="729" spans="1:8" ht="45" x14ac:dyDescent="0.25">
      <c r="A729" s="21" t="s">
        <v>1682</v>
      </c>
      <c r="B729" s="25" t="s">
        <v>1684</v>
      </c>
      <c r="C729" s="26">
        <v>1</v>
      </c>
      <c r="D729" s="27" t="s">
        <v>15</v>
      </c>
      <c r="E729" s="26">
        <v>4402.8500000000004</v>
      </c>
      <c r="F729" s="28" t="s">
        <v>16</v>
      </c>
      <c r="G729" s="26">
        <f>ROUND(C729*E729,0)</f>
        <v>4403</v>
      </c>
      <c r="H729" t="s">
        <v>1683</v>
      </c>
    </row>
    <row r="730" spans="1:8" ht="45" x14ac:dyDescent="0.25">
      <c r="A730" s="21" t="s">
        <v>1685</v>
      </c>
      <c r="B730" s="25" t="s">
        <v>1687</v>
      </c>
      <c r="C730" s="26">
        <v>1</v>
      </c>
      <c r="D730" s="27" t="s">
        <v>15</v>
      </c>
      <c r="E730" s="26">
        <v>4542.8999999999996</v>
      </c>
      <c r="F730" s="28" t="s">
        <v>16</v>
      </c>
      <c r="G730" s="26">
        <f>ROUND(C730*E730,0)</f>
        <v>4543</v>
      </c>
      <c r="H730" t="s">
        <v>1686</v>
      </c>
    </row>
    <row r="731" spans="1:8" x14ac:dyDescent="0.25">
      <c r="A731" s="21" t="s">
        <v>1688</v>
      </c>
      <c r="B731" s="25" t="s">
        <v>1690</v>
      </c>
      <c r="C731" s="26"/>
      <c r="D731" s="27"/>
      <c r="E731" s="26"/>
      <c r="F731" s="28"/>
      <c r="G731" s="26"/>
      <c r="H731" t="s">
        <v>1689</v>
      </c>
    </row>
    <row r="732" spans="1:8" ht="45" x14ac:dyDescent="0.25">
      <c r="A732" s="21" t="s">
        <v>1691</v>
      </c>
      <c r="B732" s="25" t="s">
        <v>1692</v>
      </c>
      <c r="C732" s="26">
        <v>1</v>
      </c>
      <c r="D732" s="27" t="s">
        <v>15</v>
      </c>
      <c r="E732" s="26">
        <v>4193.25</v>
      </c>
      <c r="F732" s="28" t="s">
        <v>16</v>
      </c>
      <c r="G732" s="26">
        <f>ROUND(C732*E732,0)</f>
        <v>4193</v>
      </c>
      <c r="H732" t="s">
        <v>1683</v>
      </c>
    </row>
    <row r="733" spans="1:8" ht="45" x14ac:dyDescent="0.25">
      <c r="A733" s="21" t="s">
        <v>1693</v>
      </c>
      <c r="B733" s="25" t="s">
        <v>1687</v>
      </c>
      <c r="C733" s="26">
        <v>1</v>
      </c>
      <c r="D733" s="27" t="s">
        <v>15</v>
      </c>
      <c r="E733" s="26">
        <v>4241.1499999999996</v>
      </c>
      <c r="F733" s="28" t="s">
        <v>16</v>
      </c>
      <c r="G733" s="26">
        <f>ROUND(C733*E733,0)</f>
        <v>4241</v>
      </c>
      <c r="H733" t="s">
        <v>1686</v>
      </c>
    </row>
    <row r="734" spans="1:8" ht="90" x14ac:dyDescent="0.25">
      <c r="A734" s="21" t="s">
        <v>1694</v>
      </c>
      <c r="B734" s="25" t="s">
        <v>1696</v>
      </c>
      <c r="C734" s="26"/>
      <c r="D734" s="27"/>
      <c r="E734" s="26"/>
      <c r="F734" s="28"/>
      <c r="G734" s="26"/>
      <c r="H734" t="s">
        <v>1695</v>
      </c>
    </row>
    <row r="735" spans="1:8" ht="30" x14ac:dyDescent="0.25">
      <c r="A735" s="21" t="s">
        <v>1697</v>
      </c>
      <c r="B735" s="25" t="s">
        <v>1493</v>
      </c>
      <c r="C735" s="26">
        <v>1</v>
      </c>
      <c r="D735" s="27" t="s">
        <v>15</v>
      </c>
      <c r="E735" s="26">
        <v>802.95</v>
      </c>
      <c r="F735" s="28" t="s">
        <v>16</v>
      </c>
      <c r="G735" s="26">
        <f>ROUND(C735*E735,0)</f>
        <v>803</v>
      </c>
      <c r="H735" t="s">
        <v>1493</v>
      </c>
    </row>
    <row r="736" spans="1:8" ht="30" x14ac:dyDescent="0.25">
      <c r="A736" s="21" t="s">
        <v>1698</v>
      </c>
      <c r="B736" s="25" t="s">
        <v>1499</v>
      </c>
      <c r="C736" s="26">
        <v>1</v>
      </c>
      <c r="D736" s="27" t="s">
        <v>15</v>
      </c>
      <c r="E736" s="26">
        <v>1020.95</v>
      </c>
      <c r="F736" s="28" t="s">
        <v>16</v>
      </c>
      <c r="G736" s="26">
        <f>ROUND(C736*E736,0)</f>
        <v>1021</v>
      </c>
      <c r="H736" t="s">
        <v>1499</v>
      </c>
    </row>
    <row r="737" spans="1:8" ht="135" x14ac:dyDescent="0.25">
      <c r="A737" s="21" t="s">
        <v>1699</v>
      </c>
      <c r="B737" s="25" t="s">
        <v>1701</v>
      </c>
      <c r="C737" s="26"/>
      <c r="D737" s="27"/>
      <c r="E737" s="26"/>
      <c r="F737" s="28"/>
      <c r="G737" s="26"/>
      <c r="H737" t="s">
        <v>1700</v>
      </c>
    </row>
    <row r="738" spans="1:8" ht="30" x14ac:dyDescent="0.25">
      <c r="A738" s="21" t="s">
        <v>1702</v>
      </c>
      <c r="B738" s="25" t="s">
        <v>1499</v>
      </c>
      <c r="C738" s="26">
        <v>1</v>
      </c>
      <c r="D738" s="27" t="s">
        <v>15</v>
      </c>
      <c r="E738" s="26">
        <v>1245.75</v>
      </c>
      <c r="F738" s="28" t="s">
        <v>16</v>
      </c>
      <c r="G738" s="26">
        <f>ROUND(C738*E738,0)</f>
        <v>1246</v>
      </c>
      <c r="H738" t="s">
        <v>1499</v>
      </c>
    </row>
    <row r="739" spans="1:8" ht="30" x14ac:dyDescent="0.25">
      <c r="A739" s="21" t="s">
        <v>1703</v>
      </c>
      <c r="B739" s="25" t="s">
        <v>703</v>
      </c>
      <c r="C739" s="26">
        <v>1</v>
      </c>
      <c r="D739" s="27" t="s">
        <v>15</v>
      </c>
      <c r="E739" s="26">
        <v>1715.2</v>
      </c>
      <c r="F739" s="28" t="s">
        <v>16</v>
      </c>
      <c r="G739" s="26">
        <f>ROUND(C739*E739,0)</f>
        <v>1715</v>
      </c>
      <c r="H739" t="s">
        <v>703</v>
      </c>
    </row>
    <row r="740" spans="1:8" ht="105" x14ac:dyDescent="0.25">
      <c r="A740" s="21" t="s">
        <v>1704</v>
      </c>
      <c r="B740" s="25" t="s">
        <v>1706</v>
      </c>
      <c r="C740" s="26"/>
      <c r="D740" s="27"/>
      <c r="E740" s="26"/>
      <c r="F740" s="28"/>
      <c r="G740" s="26"/>
      <c r="H740" t="s">
        <v>1705</v>
      </c>
    </row>
    <row r="741" spans="1:8" ht="30" x14ac:dyDescent="0.25">
      <c r="A741" s="21" t="s">
        <v>1707</v>
      </c>
      <c r="B741" s="25" t="s">
        <v>1709</v>
      </c>
      <c r="C741" s="26">
        <v>1</v>
      </c>
      <c r="D741" s="27" t="s">
        <v>15</v>
      </c>
      <c r="E741" s="26">
        <v>3473.85</v>
      </c>
      <c r="F741" s="28" t="s">
        <v>16</v>
      </c>
      <c r="G741" s="26">
        <f>ROUND(C741*E741,0)</f>
        <v>3474</v>
      </c>
      <c r="H741" t="s">
        <v>1708</v>
      </c>
    </row>
    <row r="742" spans="1:8" ht="30" x14ac:dyDescent="0.25">
      <c r="A742" s="21" t="s">
        <v>1710</v>
      </c>
      <c r="B742" s="25" t="s">
        <v>1712</v>
      </c>
      <c r="C742" s="26">
        <v>1</v>
      </c>
      <c r="D742" s="27" t="s">
        <v>15</v>
      </c>
      <c r="E742" s="26">
        <v>3167.95</v>
      </c>
      <c r="F742" s="28" t="s">
        <v>16</v>
      </c>
      <c r="G742" s="26">
        <f>ROUND(C742*E742,0)</f>
        <v>3168</v>
      </c>
      <c r="H742" t="s">
        <v>1711</v>
      </c>
    </row>
    <row r="743" spans="1:8" ht="45" x14ac:dyDescent="0.25">
      <c r="A743" s="21" t="s">
        <v>1713</v>
      </c>
      <c r="B743" s="25" t="s">
        <v>1715</v>
      </c>
      <c r="C743" s="26">
        <v>1</v>
      </c>
      <c r="D743" s="27" t="s">
        <v>15</v>
      </c>
      <c r="E743" s="26">
        <v>2819.25</v>
      </c>
      <c r="F743" s="28" t="s">
        <v>16</v>
      </c>
      <c r="G743" s="26">
        <f>ROUND(C743*E743,0)</f>
        <v>2819</v>
      </c>
      <c r="H743" t="s">
        <v>1714</v>
      </c>
    </row>
    <row r="744" spans="1:8" ht="105" x14ac:dyDescent="0.25">
      <c r="A744" s="21" t="s">
        <v>1716</v>
      </c>
      <c r="B744" s="25" t="s">
        <v>1718</v>
      </c>
      <c r="C744" s="26"/>
      <c r="D744" s="27"/>
      <c r="E744" s="26"/>
      <c r="F744" s="28"/>
      <c r="G744" s="26"/>
      <c r="H744" t="s">
        <v>1717</v>
      </c>
    </row>
    <row r="745" spans="1:8" ht="30" x14ac:dyDescent="0.25">
      <c r="A745" s="21" t="s">
        <v>1719</v>
      </c>
      <c r="B745" s="25" t="s">
        <v>1721</v>
      </c>
      <c r="C745" s="26">
        <v>1</v>
      </c>
      <c r="D745" s="27" t="s">
        <v>15</v>
      </c>
      <c r="E745" s="26">
        <v>2392.65</v>
      </c>
      <c r="F745" s="28" t="s">
        <v>16</v>
      </c>
      <c r="G745" s="26">
        <f>ROUND(C745*E745,0)</f>
        <v>2393</v>
      </c>
      <c r="H745" t="s">
        <v>1720</v>
      </c>
    </row>
    <row r="746" spans="1:8" ht="30" x14ac:dyDescent="0.25">
      <c r="A746" s="21" t="s">
        <v>1722</v>
      </c>
      <c r="B746" s="25" t="s">
        <v>1712</v>
      </c>
      <c r="C746" s="26">
        <v>1</v>
      </c>
      <c r="D746" s="27" t="s">
        <v>15</v>
      </c>
      <c r="E746" s="26">
        <v>2172.1</v>
      </c>
      <c r="F746" s="28" t="s">
        <v>16</v>
      </c>
      <c r="G746" s="26">
        <f>ROUND(C746*E746,0)</f>
        <v>2172</v>
      </c>
      <c r="H746" t="s">
        <v>1711</v>
      </c>
    </row>
    <row r="747" spans="1:8" ht="45" x14ac:dyDescent="0.25">
      <c r="A747" s="21" t="s">
        <v>1723</v>
      </c>
      <c r="B747" s="25" t="s">
        <v>1724</v>
      </c>
      <c r="C747" s="26">
        <v>1</v>
      </c>
      <c r="D747" s="27" t="s">
        <v>15</v>
      </c>
      <c r="E747" s="26">
        <v>2093.6999999999998</v>
      </c>
      <c r="F747" s="28" t="s">
        <v>16</v>
      </c>
      <c r="G747" s="26">
        <f>ROUND(C747*E747,0)</f>
        <v>2094</v>
      </c>
      <c r="H747" t="s">
        <v>1714</v>
      </c>
    </row>
    <row r="748" spans="1:8" ht="60" x14ac:dyDescent="0.25">
      <c r="A748" s="21" t="s">
        <v>1725</v>
      </c>
      <c r="B748" s="25" t="s">
        <v>1727</v>
      </c>
      <c r="C748" s="26"/>
      <c r="D748" s="27"/>
      <c r="E748" s="26"/>
      <c r="F748" s="28"/>
      <c r="G748" s="26"/>
      <c r="H748" t="s">
        <v>1726</v>
      </c>
    </row>
    <row r="749" spans="1:8" ht="30" x14ac:dyDescent="0.25">
      <c r="A749" s="21" t="s">
        <v>1728</v>
      </c>
      <c r="B749" s="25" t="s">
        <v>1730</v>
      </c>
      <c r="C749" s="26">
        <v>1</v>
      </c>
      <c r="D749" s="27" t="s">
        <v>15</v>
      </c>
      <c r="E749" s="26">
        <v>478</v>
      </c>
      <c r="F749" s="28" t="s">
        <v>16</v>
      </c>
      <c r="G749" s="26">
        <f>ROUND(C749*E749,0)</f>
        <v>478</v>
      </c>
      <c r="H749" t="s">
        <v>1729</v>
      </c>
    </row>
    <row r="750" spans="1:8" ht="60" x14ac:dyDescent="0.25">
      <c r="A750" s="21" t="s">
        <v>1731</v>
      </c>
      <c r="B750" s="25" t="s">
        <v>1733</v>
      </c>
      <c r="C750" s="26">
        <v>1</v>
      </c>
      <c r="D750" s="27" t="s">
        <v>15</v>
      </c>
      <c r="E750" s="26">
        <v>462.35</v>
      </c>
      <c r="F750" s="28" t="s">
        <v>16</v>
      </c>
      <c r="G750" s="26">
        <f>ROUND(C750*E750,0)</f>
        <v>462</v>
      </c>
      <c r="H750" t="s">
        <v>1732</v>
      </c>
    </row>
    <row r="751" spans="1:8" ht="60" x14ac:dyDescent="0.25">
      <c r="A751" s="21" t="s">
        <v>1734</v>
      </c>
      <c r="B751" s="25" t="s">
        <v>1736</v>
      </c>
      <c r="C751" s="26"/>
      <c r="D751" s="27"/>
      <c r="E751" s="26"/>
      <c r="F751" s="28"/>
      <c r="G751" s="26"/>
      <c r="H751" t="s">
        <v>1735</v>
      </c>
    </row>
    <row r="752" spans="1:8" ht="30" x14ac:dyDescent="0.25">
      <c r="A752" s="21" t="s">
        <v>1737</v>
      </c>
      <c r="B752" s="25" t="s">
        <v>1738</v>
      </c>
      <c r="C752" s="26">
        <v>1</v>
      </c>
      <c r="D752" s="27" t="s">
        <v>15</v>
      </c>
      <c r="E752" s="26">
        <v>199.15</v>
      </c>
      <c r="F752" s="28" t="s">
        <v>16</v>
      </c>
      <c r="G752" s="26">
        <f>ROUND(C752*E752,0)</f>
        <v>199</v>
      </c>
      <c r="H752" t="s">
        <v>1738</v>
      </c>
    </row>
    <row r="753" spans="1:8" ht="30" x14ac:dyDescent="0.25">
      <c r="A753" s="21" t="s">
        <v>1739</v>
      </c>
      <c r="B753" s="25" t="s">
        <v>1740</v>
      </c>
      <c r="C753" s="26">
        <v>1</v>
      </c>
      <c r="D753" s="27" t="s">
        <v>15</v>
      </c>
      <c r="E753" s="26">
        <v>206.3</v>
      </c>
      <c r="F753" s="28" t="s">
        <v>16</v>
      </c>
      <c r="G753" s="26">
        <f>ROUND(C753*E753,0)</f>
        <v>206</v>
      </c>
      <c r="H753" t="s">
        <v>1740</v>
      </c>
    </row>
    <row r="754" spans="1:8" ht="45" x14ac:dyDescent="0.25">
      <c r="A754" s="21" t="s">
        <v>1741</v>
      </c>
      <c r="B754" s="25" t="s">
        <v>1743</v>
      </c>
      <c r="C754" s="26"/>
      <c r="D754" s="27"/>
      <c r="E754" s="26"/>
      <c r="F754" s="28"/>
      <c r="G754" s="26"/>
      <c r="H754" t="s">
        <v>1742</v>
      </c>
    </row>
    <row r="755" spans="1:8" ht="30" x14ac:dyDescent="0.25">
      <c r="A755" s="21" t="s">
        <v>1744</v>
      </c>
      <c r="B755" s="25" t="s">
        <v>1745</v>
      </c>
      <c r="C755" s="26">
        <v>1</v>
      </c>
      <c r="D755" s="27" t="s">
        <v>15</v>
      </c>
      <c r="E755" s="26">
        <v>405.45</v>
      </c>
      <c r="F755" s="28" t="s">
        <v>16</v>
      </c>
      <c r="G755" s="26">
        <f>ROUND(C755*E755,0)</f>
        <v>405</v>
      </c>
      <c r="H755" t="s">
        <v>1745</v>
      </c>
    </row>
    <row r="756" spans="1:8" ht="30" x14ac:dyDescent="0.25">
      <c r="A756" s="21" t="s">
        <v>1746</v>
      </c>
      <c r="B756" s="25" t="s">
        <v>1748</v>
      </c>
      <c r="C756" s="26">
        <v>1</v>
      </c>
      <c r="D756" s="27" t="s">
        <v>15</v>
      </c>
      <c r="E756" s="26">
        <v>106.7</v>
      </c>
      <c r="F756" s="28" t="s">
        <v>16</v>
      </c>
      <c r="G756" s="26">
        <f>ROUND(C756*E756,0)</f>
        <v>107</v>
      </c>
      <c r="H756" t="s">
        <v>1747</v>
      </c>
    </row>
    <row r="757" spans="1:8" ht="75" x14ac:dyDescent="0.25">
      <c r="A757" s="21" t="s">
        <v>1749</v>
      </c>
      <c r="B757" s="25" t="s">
        <v>1751</v>
      </c>
      <c r="C757" s="26"/>
      <c r="D757" s="27"/>
      <c r="E757" s="26"/>
      <c r="F757" s="28"/>
      <c r="G757" s="26"/>
      <c r="H757" t="s">
        <v>1750</v>
      </c>
    </row>
    <row r="758" spans="1:8" x14ac:dyDescent="0.25">
      <c r="A758" s="21" t="s">
        <v>1752</v>
      </c>
      <c r="B758" s="25" t="s">
        <v>1753</v>
      </c>
      <c r="C758" s="26"/>
      <c r="D758" s="27"/>
      <c r="E758" s="26"/>
      <c r="F758" s="28"/>
      <c r="G758" s="26"/>
      <c r="H758" t="s">
        <v>1531</v>
      </c>
    </row>
    <row r="759" spans="1:8" ht="45" x14ac:dyDescent="0.25">
      <c r="A759" s="21" t="s">
        <v>1754</v>
      </c>
      <c r="B759" s="25" t="s">
        <v>1756</v>
      </c>
      <c r="C759" s="26">
        <v>1</v>
      </c>
      <c r="D759" s="27" t="s">
        <v>15</v>
      </c>
      <c r="E759" s="26">
        <v>4852.3</v>
      </c>
      <c r="F759" s="28" t="s">
        <v>16</v>
      </c>
      <c r="G759" s="26">
        <f t="shared" ref="G759:G764" si="16">ROUND(C759*E759,0)</f>
        <v>4852</v>
      </c>
      <c r="H759" t="s">
        <v>1755</v>
      </c>
    </row>
    <row r="760" spans="1:8" ht="45" x14ac:dyDescent="0.25">
      <c r="A760" s="21" t="s">
        <v>1757</v>
      </c>
      <c r="B760" s="25" t="s">
        <v>1759</v>
      </c>
      <c r="C760" s="26">
        <v>1</v>
      </c>
      <c r="D760" s="27" t="s">
        <v>15</v>
      </c>
      <c r="E760" s="26">
        <v>3599.2</v>
      </c>
      <c r="F760" s="28" t="s">
        <v>16</v>
      </c>
      <c r="G760" s="26">
        <f t="shared" si="16"/>
        <v>3599</v>
      </c>
      <c r="H760" t="s">
        <v>1758</v>
      </c>
    </row>
    <row r="761" spans="1:8" ht="45" x14ac:dyDescent="0.25">
      <c r="A761" s="21" t="s">
        <v>1760</v>
      </c>
      <c r="B761" s="25" t="s">
        <v>1762</v>
      </c>
      <c r="C761" s="26">
        <v>1</v>
      </c>
      <c r="D761" s="27" t="s">
        <v>15</v>
      </c>
      <c r="E761" s="26">
        <v>4375</v>
      </c>
      <c r="F761" s="28" t="s">
        <v>16</v>
      </c>
      <c r="G761" s="26">
        <f t="shared" si="16"/>
        <v>4375</v>
      </c>
      <c r="H761" t="s">
        <v>1761</v>
      </c>
    </row>
    <row r="762" spans="1:8" ht="30" x14ac:dyDescent="0.25">
      <c r="A762" s="21" t="s">
        <v>1763</v>
      </c>
      <c r="B762" s="25" t="s">
        <v>1765</v>
      </c>
      <c r="C762" s="26">
        <v>1</v>
      </c>
      <c r="D762" s="27" t="s">
        <v>15</v>
      </c>
      <c r="E762" s="26">
        <v>5045.8500000000004</v>
      </c>
      <c r="F762" s="28" t="s">
        <v>16</v>
      </c>
      <c r="G762" s="26">
        <f t="shared" si="16"/>
        <v>5046</v>
      </c>
      <c r="H762" t="s">
        <v>1764</v>
      </c>
    </row>
    <row r="763" spans="1:8" ht="45" x14ac:dyDescent="0.25">
      <c r="A763" s="21" t="s">
        <v>1766</v>
      </c>
      <c r="B763" s="25" t="s">
        <v>1768</v>
      </c>
      <c r="C763" s="26">
        <v>1</v>
      </c>
      <c r="D763" s="27" t="s">
        <v>15</v>
      </c>
      <c r="E763" s="26">
        <v>3792.75</v>
      </c>
      <c r="F763" s="28" t="s">
        <v>16</v>
      </c>
      <c r="G763" s="26">
        <f t="shared" si="16"/>
        <v>3793</v>
      </c>
      <c r="H763" t="s">
        <v>1767</v>
      </c>
    </row>
    <row r="764" spans="1:8" ht="45" x14ac:dyDescent="0.25">
      <c r="A764" s="21" t="s">
        <v>1769</v>
      </c>
      <c r="B764" s="25" t="s">
        <v>1771</v>
      </c>
      <c r="C764" s="26">
        <v>1</v>
      </c>
      <c r="D764" s="27" t="s">
        <v>15</v>
      </c>
      <c r="E764" s="26">
        <v>4568.5</v>
      </c>
      <c r="F764" s="28" t="s">
        <v>16</v>
      </c>
      <c r="G764" s="26">
        <f t="shared" si="16"/>
        <v>4569</v>
      </c>
      <c r="H764" t="s">
        <v>1770</v>
      </c>
    </row>
    <row r="765" spans="1:8" x14ac:dyDescent="0.25">
      <c r="A765" s="21" t="s">
        <v>1772</v>
      </c>
      <c r="B765" s="25" t="s">
        <v>1562</v>
      </c>
      <c r="C765" s="26"/>
      <c r="D765" s="27"/>
      <c r="E765" s="26"/>
      <c r="F765" s="28"/>
      <c r="G765" s="26"/>
      <c r="H765" t="s">
        <v>1773</v>
      </c>
    </row>
    <row r="766" spans="1:8" ht="45" x14ac:dyDescent="0.25">
      <c r="A766" s="21" t="s">
        <v>1774</v>
      </c>
      <c r="B766" s="25" t="s">
        <v>1756</v>
      </c>
      <c r="C766" s="26">
        <v>1</v>
      </c>
      <c r="D766" s="27" t="s">
        <v>15</v>
      </c>
      <c r="E766" s="26">
        <v>4326.8</v>
      </c>
      <c r="F766" s="28" t="s">
        <v>16</v>
      </c>
      <c r="G766" s="26">
        <f t="shared" ref="G766:G771" si="17">ROUND(C766*E766,0)</f>
        <v>4327</v>
      </c>
      <c r="H766" t="s">
        <v>1775</v>
      </c>
    </row>
    <row r="767" spans="1:8" ht="45" x14ac:dyDescent="0.25">
      <c r="A767" s="21" t="s">
        <v>1776</v>
      </c>
      <c r="B767" s="25" t="s">
        <v>1759</v>
      </c>
      <c r="C767" s="26">
        <v>1</v>
      </c>
      <c r="D767" s="27" t="s">
        <v>15</v>
      </c>
      <c r="E767" s="26">
        <v>3254.25</v>
      </c>
      <c r="F767" s="28" t="s">
        <v>16</v>
      </c>
      <c r="G767" s="26">
        <f t="shared" si="17"/>
        <v>3254</v>
      </c>
      <c r="H767" t="s">
        <v>1777</v>
      </c>
    </row>
    <row r="768" spans="1:8" ht="45" x14ac:dyDescent="0.25">
      <c r="A768" s="21" t="s">
        <v>1778</v>
      </c>
      <c r="B768" s="25" t="s">
        <v>1762</v>
      </c>
      <c r="C768" s="26">
        <v>1</v>
      </c>
      <c r="D768" s="27" t="s">
        <v>15</v>
      </c>
      <c r="E768" s="26">
        <v>3918.15</v>
      </c>
      <c r="F768" s="28" t="s">
        <v>16</v>
      </c>
      <c r="G768" s="26">
        <f t="shared" si="17"/>
        <v>3918</v>
      </c>
      <c r="H768" t="s">
        <v>1761</v>
      </c>
    </row>
    <row r="769" spans="1:8" ht="30" x14ac:dyDescent="0.25">
      <c r="A769" s="21" t="s">
        <v>1779</v>
      </c>
      <c r="B769" s="25" t="s">
        <v>1780</v>
      </c>
      <c r="C769" s="26">
        <v>1</v>
      </c>
      <c r="D769" s="27" t="s">
        <v>15</v>
      </c>
      <c r="E769" s="26">
        <v>4520.3</v>
      </c>
      <c r="F769" s="28" t="s">
        <v>16</v>
      </c>
      <c r="G769" s="26">
        <f t="shared" si="17"/>
        <v>4520</v>
      </c>
      <c r="H769" t="s">
        <v>1764</v>
      </c>
    </row>
    <row r="770" spans="1:8" ht="45" x14ac:dyDescent="0.25">
      <c r="A770" s="21" t="s">
        <v>1781</v>
      </c>
      <c r="B770" s="25" t="s">
        <v>1782</v>
      </c>
      <c r="C770" s="26">
        <v>1</v>
      </c>
      <c r="D770" s="27" t="s">
        <v>15</v>
      </c>
      <c r="E770" s="26">
        <v>3447.8</v>
      </c>
      <c r="F770" s="28" t="s">
        <v>16</v>
      </c>
      <c r="G770" s="26">
        <f t="shared" si="17"/>
        <v>3448</v>
      </c>
      <c r="H770" t="s">
        <v>1767</v>
      </c>
    </row>
    <row r="771" spans="1:8" ht="45" x14ac:dyDescent="0.25">
      <c r="A771" s="21" t="s">
        <v>1783</v>
      </c>
      <c r="B771" s="25" t="s">
        <v>1784</v>
      </c>
      <c r="C771" s="26">
        <v>1</v>
      </c>
      <c r="D771" s="27" t="s">
        <v>15</v>
      </c>
      <c r="E771" s="26">
        <v>4111.7</v>
      </c>
      <c r="F771" s="28" t="s">
        <v>16</v>
      </c>
      <c r="G771" s="26">
        <f t="shared" si="17"/>
        <v>4112</v>
      </c>
      <c r="H771" t="s">
        <v>1770</v>
      </c>
    </row>
    <row r="772" spans="1:8" ht="150" x14ac:dyDescent="0.25">
      <c r="A772" s="21" t="s">
        <v>1785</v>
      </c>
      <c r="B772" s="25" t="s">
        <v>1787</v>
      </c>
      <c r="C772" s="26"/>
      <c r="D772" s="27"/>
      <c r="E772" s="26"/>
      <c r="F772" s="28"/>
      <c r="G772" s="26"/>
      <c r="H772" t="s">
        <v>1786</v>
      </c>
    </row>
    <row r="773" spans="1:8" ht="30" x14ac:dyDescent="0.25">
      <c r="A773" s="21" t="s">
        <v>1788</v>
      </c>
      <c r="B773" s="25" t="s">
        <v>1560</v>
      </c>
      <c r="C773" s="26">
        <v>1</v>
      </c>
      <c r="D773" s="27" t="s">
        <v>15</v>
      </c>
      <c r="E773" s="26">
        <v>3066.2</v>
      </c>
      <c r="F773" s="28" t="s">
        <v>16</v>
      </c>
      <c r="G773" s="26">
        <f>ROUND(C773*E773,0)</f>
        <v>3066</v>
      </c>
      <c r="H773" t="s">
        <v>1559</v>
      </c>
    </row>
    <row r="774" spans="1:8" ht="30" x14ac:dyDescent="0.25">
      <c r="A774" s="21" t="s">
        <v>1789</v>
      </c>
      <c r="B774" s="25" t="s">
        <v>1562</v>
      </c>
      <c r="C774" s="26">
        <v>1</v>
      </c>
      <c r="D774" s="27" t="s">
        <v>15</v>
      </c>
      <c r="E774" s="26">
        <v>2803</v>
      </c>
      <c r="F774" s="28" t="s">
        <v>16</v>
      </c>
      <c r="G774" s="26">
        <f>ROUND(C774*E774,0)</f>
        <v>2803</v>
      </c>
      <c r="H774" t="s">
        <v>1414</v>
      </c>
    </row>
    <row r="775" spans="1:8" ht="60" x14ac:dyDescent="0.25">
      <c r="A775" s="21" t="s">
        <v>1790</v>
      </c>
      <c r="B775" s="25" t="s">
        <v>1792</v>
      </c>
      <c r="C775" s="26"/>
      <c r="D775" s="27"/>
      <c r="E775" s="26"/>
      <c r="F775" s="28"/>
      <c r="G775" s="26"/>
      <c r="H775" t="s">
        <v>1791</v>
      </c>
    </row>
    <row r="776" spans="1:8" x14ac:dyDescent="0.25">
      <c r="A776" s="21" t="s">
        <v>1793</v>
      </c>
      <c r="B776" s="25" t="s">
        <v>1531</v>
      </c>
      <c r="C776" s="26"/>
      <c r="D776" s="27"/>
      <c r="E776" s="26"/>
      <c r="F776" s="28"/>
      <c r="G776" s="26"/>
      <c r="H776" t="s">
        <v>1794</v>
      </c>
    </row>
    <row r="777" spans="1:8" x14ac:dyDescent="0.25">
      <c r="A777" s="21" t="s">
        <v>1795</v>
      </c>
      <c r="B777" s="25" t="s">
        <v>1797</v>
      </c>
      <c r="C777" s="26">
        <v>1</v>
      </c>
      <c r="D777" s="27" t="s">
        <v>110</v>
      </c>
      <c r="E777" s="26">
        <v>221.1</v>
      </c>
      <c r="F777" s="28" t="s">
        <v>68</v>
      </c>
      <c r="G777" s="26">
        <f>ROUND(C777*E777,0)</f>
        <v>221</v>
      </c>
      <c r="H777" t="s">
        <v>1796</v>
      </c>
    </row>
    <row r="778" spans="1:8" x14ac:dyDescent="0.25">
      <c r="A778" s="21" t="s">
        <v>1798</v>
      </c>
      <c r="B778" s="25" t="s">
        <v>1800</v>
      </c>
      <c r="C778" s="26">
        <v>1</v>
      </c>
      <c r="D778" s="27" t="s">
        <v>110</v>
      </c>
      <c r="E778" s="26">
        <v>271.75</v>
      </c>
      <c r="F778" s="28" t="s">
        <v>68</v>
      </c>
      <c r="G778" s="26">
        <f>ROUND(C778*E778,0)</f>
        <v>272</v>
      </c>
      <c r="H778" t="s">
        <v>1799</v>
      </c>
    </row>
    <row r="779" spans="1:8" ht="30" x14ac:dyDescent="0.25">
      <c r="A779" s="21" t="s">
        <v>1801</v>
      </c>
      <c r="B779" s="25" t="s">
        <v>1537</v>
      </c>
      <c r="C779" s="26"/>
      <c r="D779" s="27"/>
      <c r="E779" s="26"/>
      <c r="F779" s="28"/>
      <c r="G779" s="26"/>
      <c r="H779" t="s">
        <v>1802</v>
      </c>
    </row>
    <row r="780" spans="1:8" x14ac:dyDescent="0.25">
      <c r="A780" s="21" t="s">
        <v>1803</v>
      </c>
      <c r="B780" s="25" t="s">
        <v>1797</v>
      </c>
      <c r="C780" s="26">
        <v>1</v>
      </c>
      <c r="D780" s="27" t="s">
        <v>110</v>
      </c>
      <c r="E780" s="26">
        <v>185.95</v>
      </c>
      <c r="F780" s="28" t="s">
        <v>68</v>
      </c>
      <c r="G780" s="26">
        <f>ROUND(C780*E780,0)</f>
        <v>186</v>
      </c>
      <c r="H780" t="s">
        <v>1796</v>
      </c>
    </row>
    <row r="781" spans="1:8" x14ac:dyDescent="0.25">
      <c r="A781" s="21" t="s">
        <v>1804</v>
      </c>
      <c r="B781" s="25" t="s">
        <v>1805</v>
      </c>
      <c r="C781" s="26">
        <v>1</v>
      </c>
      <c r="D781" s="27" t="s">
        <v>110</v>
      </c>
      <c r="E781" s="26">
        <v>213.2</v>
      </c>
      <c r="F781" s="28" t="s">
        <v>68</v>
      </c>
      <c r="G781" s="26">
        <f>ROUND(C781*E781,0)</f>
        <v>213</v>
      </c>
      <c r="H781" t="s">
        <v>1799</v>
      </c>
    </row>
    <row r="782" spans="1:8" ht="60" x14ac:dyDescent="0.25">
      <c r="A782" s="21" t="s">
        <v>1806</v>
      </c>
      <c r="B782" s="25" t="s">
        <v>1808</v>
      </c>
      <c r="C782" s="26"/>
      <c r="D782" s="27"/>
      <c r="E782" s="26"/>
      <c r="F782" s="28"/>
      <c r="G782" s="26"/>
      <c r="H782" t="s">
        <v>1807</v>
      </c>
    </row>
    <row r="783" spans="1:8" ht="30" x14ac:dyDescent="0.25">
      <c r="A783" s="21" t="s">
        <v>1809</v>
      </c>
      <c r="B783" s="25" t="s">
        <v>1810</v>
      </c>
      <c r="C783" s="26">
        <v>1</v>
      </c>
      <c r="D783" s="27" t="s">
        <v>15</v>
      </c>
      <c r="E783" s="26">
        <v>2945.1</v>
      </c>
      <c r="F783" s="28" t="s">
        <v>16</v>
      </c>
      <c r="G783" s="26">
        <f>ROUND(C783*E783,0)</f>
        <v>2945</v>
      </c>
      <c r="H783" t="s">
        <v>1810</v>
      </c>
    </row>
    <row r="784" spans="1:8" ht="180" x14ac:dyDescent="0.25">
      <c r="A784" s="21" t="s">
        <v>1811</v>
      </c>
      <c r="B784" s="25" t="s">
        <v>1813</v>
      </c>
      <c r="C784" s="26">
        <v>1</v>
      </c>
      <c r="D784" s="27" t="s">
        <v>110</v>
      </c>
      <c r="E784" s="26">
        <v>600.54999999999995</v>
      </c>
      <c r="F784" s="28" t="s">
        <v>68</v>
      </c>
      <c r="G784" s="26">
        <f>ROUND(C784*E784,0)</f>
        <v>601</v>
      </c>
      <c r="H784" t="s">
        <v>1812</v>
      </c>
    </row>
    <row r="785" spans="1:8" ht="135" x14ac:dyDescent="0.25">
      <c r="A785" s="21" t="s">
        <v>1814</v>
      </c>
      <c r="B785" s="25" t="s">
        <v>1816</v>
      </c>
      <c r="C785" s="26">
        <v>1</v>
      </c>
      <c r="D785" s="27" t="s">
        <v>110</v>
      </c>
      <c r="E785" s="26">
        <v>725.85</v>
      </c>
      <c r="F785" s="28" t="s">
        <v>68</v>
      </c>
      <c r="G785" s="26">
        <f>ROUND(C785*E785,0)</f>
        <v>726</v>
      </c>
      <c r="H785" t="s">
        <v>1815</v>
      </c>
    </row>
    <row r="786" spans="1:8" ht="45" x14ac:dyDescent="0.25">
      <c r="A786" s="21" t="s">
        <v>1817</v>
      </c>
      <c r="B786" s="25" t="s">
        <v>1819</v>
      </c>
      <c r="C786" s="26"/>
      <c r="D786" s="27"/>
      <c r="E786" s="26"/>
      <c r="F786" s="28"/>
      <c r="G786" s="26"/>
      <c r="H786" t="s">
        <v>1818</v>
      </c>
    </row>
    <row r="787" spans="1:8" x14ac:dyDescent="0.25">
      <c r="A787" s="21" t="s">
        <v>1820</v>
      </c>
      <c r="B787" s="25" t="s">
        <v>1822</v>
      </c>
      <c r="C787" s="26">
        <v>1</v>
      </c>
      <c r="D787" s="27" t="s">
        <v>110</v>
      </c>
      <c r="E787" s="26">
        <v>38.700000000000003</v>
      </c>
      <c r="F787" s="28" t="s">
        <v>68</v>
      </c>
      <c r="G787" s="26">
        <f>ROUND(C787*E787,0)</f>
        <v>39</v>
      </c>
      <c r="H787" t="s">
        <v>1821</v>
      </c>
    </row>
    <row r="788" spans="1:8" ht="30" x14ac:dyDescent="0.25">
      <c r="A788" s="21" t="s">
        <v>1823</v>
      </c>
      <c r="B788" s="25" t="s">
        <v>1825</v>
      </c>
      <c r="C788" s="26">
        <v>1</v>
      </c>
      <c r="D788" s="27" t="s">
        <v>110</v>
      </c>
      <c r="E788" s="26">
        <v>125.2</v>
      </c>
      <c r="F788" s="28" t="s">
        <v>68</v>
      </c>
      <c r="G788" s="26">
        <f>ROUND(C788*E788,0)</f>
        <v>125</v>
      </c>
      <c r="H788" t="s">
        <v>1824</v>
      </c>
    </row>
    <row r="789" spans="1:8" ht="30" x14ac:dyDescent="0.25">
      <c r="A789" s="21" t="s">
        <v>1826</v>
      </c>
      <c r="B789" s="25" t="s">
        <v>1828</v>
      </c>
      <c r="C789" s="26">
        <v>1</v>
      </c>
      <c r="D789" s="27" t="s">
        <v>110</v>
      </c>
      <c r="E789" s="26">
        <v>73.7</v>
      </c>
      <c r="F789" s="28" t="s">
        <v>68</v>
      </c>
      <c r="G789" s="26">
        <f>ROUND(C789*E789,0)</f>
        <v>74</v>
      </c>
      <c r="H789" t="s">
        <v>1827</v>
      </c>
    </row>
    <row r="790" spans="1:8" ht="75" x14ac:dyDescent="0.25">
      <c r="A790" s="21" t="s">
        <v>1829</v>
      </c>
      <c r="B790" s="25" t="s">
        <v>1831</v>
      </c>
      <c r="C790" s="26"/>
      <c r="D790" s="27"/>
      <c r="E790" s="26"/>
      <c r="F790" s="28"/>
      <c r="G790" s="26"/>
      <c r="H790" t="s">
        <v>1830</v>
      </c>
    </row>
    <row r="791" spans="1:8" x14ac:dyDescent="0.25">
      <c r="A791" s="21" t="s">
        <v>1832</v>
      </c>
      <c r="B791" s="25" t="s">
        <v>1834</v>
      </c>
      <c r="C791" s="26">
        <v>1</v>
      </c>
      <c r="D791" s="27" t="s">
        <v>110</v>
      </c>
      <c r="E791" s="26">
        <v>285.10000000000002</v>
      </c>
      <c r="F791" s="28" t="s">
        <v>68</v>
      </c>
      <c r="G791" s="26">
        <f>ROUND(C791*E791,0)</f>
        <v>285</v>
      </c>
      <c r="H791" t="s">
        <v>1833</v>
      </c>
    </row>
    <row r="792" spans="1:8" x14ac:dyDescent="0.25">
      <c r="A792" s="21" t="s">
        <v>1835</v>
      </c>
      <c r="B792" s="25" t="s">
        <v>1837</v>
      </c>
      <c r="C792" s="26">
        <v>1</v>
      </c>
      <c r="D792" s="27" t="s">
        <v>110</v>
      </c>
      <c r="E792" s="26">
        <v>393.25</v>
      </c>
      <c r="F792" s="28" t="s">
        <v>68</v>
      </c>
      <c r="G792" s="26">
        <f>ROUND(C792*E792,0)</f>
        <v>393</v>
      </c>
      <c r="H792" t="s">
        <v>1836</v>
      </c>
    </row>
    <row r="793" spans="1:8" x14ac:dyDescent="0.25">
      <c r="A793" s="21" t="s">
        <v>1838</v>
      </c>
      <c r="B793" s="25" t="s">
        <v>1840</v>
      </c>
      <c r="C793" s="26">
        <v>1</v>
      </c>
      <c r="D793" s="27" t="s">
        <v>110</v>
      </c>
      <c r="E793" s="26">
        <v>525.54999999999995</v>
      </c>
      <c r="F793" s="28" t="s">
        <v>68</v>
      </c>
      <c r="G793" s="26">
        <f>ROUND(C793*E793,0)</f>
        <v>526</v>
      </c>
      <c r="H793" t="s">
        <v>1839</v>
      </c>
    </row>
    <row r="794" spans="1:8" ht="30" x14ac:dyDescent="0.25">
      <c r="A794" s="21" t="s">
        <v>1841</v>
      </c>
      <c r="B794" s="25" t="s">
        <v>1843</v>
      </c>
      <c r="C794" s="26"/>
      <c r="D794" s="27"/>
      <c r="E794" s="26"/>
      <c r="F794" s="28"/>
      <c r="G794" s="26"/>
      <c r="H794" t="s">
        <v>1842</v>
      </c>
    </row>
    <row r="795" spans="1:8" x14ac:dyDescent="0.25">
      <c r="A795" s="21" t="s">
        <v>1844</v>
      </c>
      <c r="B795" s="25" t="s">
        <v>1845</v>
      </c>
      <c r="C795" s="26">
        <v>1</v>
      </c>
      <c r="D795" s="27" t="s">
        <v>110</v>
      </c>
      <c r="E795" s="26">
        <v>175</v>
      </c>
      <c r="F795" s="28" t="s">
        <v>68</v>
      </c>
      <c r="G795" s="26">
        <f>ROUND(C795*E795,0)</f>
        <v>175</v>
      </c>
      <c r="H795" t="s">
        <v>1845</v>
      </c>
    </row>
    <row r="796" spans="1:8" x14ac:dyDescent="0.25">
      <c r="A796" s="21" t="s">
        <v>1846</v>
      </c>
      <c r="B796" s="25" t="s">
        <v>1847</v>
      </c>
      <c r="C796" s="26">
        <v>1</v>
      </c>
      <c r="D796" s="27" t="s">
        <v>110</v>
      </c>
      <c r="E796" s="26">
        <v>186.4</v>
      </c>
      <c r="F796" s="28" t="s">
        <v>68</v>
      </c>
      <c r="G796" s="26">
        <f>ROUND(C796*E796,0)</f>
        <v>186</v>
      </c>
      <c r="H796" t="s">
        <v>1847</v>
      </c>
    </row>
    <row r="797" spans="1:8" ht="60" x14ac:dyDescent="0.25">
      <c r="A797" s="21" t="s">
        <v>1848</v>
      </c>
      <c r="B797" s="25" t="s">
        <v>1850</v>
      </c>
      <c r="C797" s="26"/>
      <c r="D797" s="27"/>
      <c r="E797" s="26"/>
      <c r="F797" s="28"/>
      <c r="G797" s="26"/>
      <c r="H797" t="s">
        <v>1849</v>
      </c>
    </row>
    <row r="798" spans="1:8" ht="30" x14ac:dyDescent="0.25">
      <c r="A798" s="21" t="s">
        <v>1851</v>
      </c>
      <c r="B798" s="25" t="s">
        <v>1853</v>
      </c>
      <c r="C798" s="26">
        <v>1</v>
      </c>
      <c r="D798" s="27" t="s">
        <v>725</v>
      </c>
      <c r="E798" s="26">
        <v>219.1</v>
      </c>
      <c r="F798" s="28" t="s">
        <v>726</v>
      </c>
      <c r="G798" s="26">
        <f>ROUND(C798*E798,0)</f>
        <v>219</v>
      </c>
      <c r="H798" t="s">
        <v>1852</v>
      </c>
    </row>
    <row r="799" spans="1:8" ht="30" x14ac:dyDescent="0.25">
      <c r="A799" s="21" t="s">
        <v>1854</v>
      </c>
      <c r="B799" s="25" t="s">
        <v>1856</v>
      </c>
      <c r="C799" s="26">
        <v>1</v>
      </c>
      <c r="D799" s="27" t="s">
        <v>725</v>
      </c>
      <c r="E799" s="26">
        <v>238.35</v>
      </c>
      <c r="F799" s="28" t="s">
        <v>726</v>
      </c>
      <c r="G799" s="26">
        <f>ROUND(C799*E799,0)</f>
        <v>238</v>
      </c>
      <c r="H799" t="s">
        <v>1855</v>
      </c>
    </row>
    <row r="800" spans="1:8" ht="75" x14ac:dyDescent="0.25">
      <c r="A800" s="21" t="s">
        <v>1857</v>
      </c>
      <c r="B800" s="25" t="s">
        <v>1859</v>
      </c>
      <c r="C800" s="26">
        <v>1</v>
      </c>
      <c r="D800" s="27" t="s">
        <v>15</v>
      </c>
      <c r="E800" s="26">
        <v>1421.95</v>
      </c>
      <c r="F800" s="28" t="s">
        <v>16</v>
      </c>
      <c r="G800" s="26">
        <f>ROUND(C800*E800,0)</f>
        <v>1422</v>
      </c>
      <c r="H800" t="s">
        <v>1858</v>
      </c>
    </row>
    <row r="801" spans="1:8" ht="90" x14ac:dyDescent="0.25">
      <c r="A801" s="21" t="s">
        <v>1860</v>
      </c>
      <c r="B801" s="25" t="s">
        <v>1862</v>
      </c>
      <c r="C801" s="26">
        <v>1</v>
      </c>
      <c r="D801" s="27" t="s">
        <v>15</v>
      </c>
      <c r="E801" s="26">
        <v>1641.15</v>
      </c>
      <c r="F801" s="28" t="s">
        <v>16</v>
      </c>
      <c r="G801" s="26">
        <f>ROUND(C801*E801,0)</f>
        <v>1641</v>
      </c>
      <c r="H801" t="s">
        <v>1861</v>
      </c>
    </row>
    <row r="802" spans="1:8" ht="75" x14ac:dyDescent="0.25">
      <c r="A802" s="21" t="s">
        <v>1863</v>
      </c>
      <c r="B802" s="25" t="s">
        <v>1865</v>
      </c>
      <c r="C802" s="26"/>
      <c r="D802" s="27"/>
      <c r="E802" s="26"/>
      <c r="F802" s="28"/>
      <c r="G802" s="26"/>
      <c r="H802" t="s">
        <v>1864</v>
      </c>
    </row>
    <row r="803" spans="1:8" ht="30" x14ac:dyDescent="0.25">
      <c r="A803" s="21" t="s">
        <v>1866</v>
      </c>
      <c r="B803" s="25" t="s">
        <v>1868</v>
      </c>
      <c r="C803" s="26">
        <v>1</v>
      </c>
      <c r="D803" s="27" t="s">
        <v>15</v>
      </c>
      <c r="E803" s="26">
        <v>1308.3499999999999</v>
      </c>
      <c r="F803" s="28" t="s">
        <v>16</v>
      </c>
      <c r="G803" s="26">
        <f>ROUND(C803*E803,0)</f>
        <v>1308</v>
      </c>
      <c r="H803" t="s">
        <v>1867</v>
      </c>
    </row>
    <row r="804" spans="1:8" ht="30" x14ac:dyDescent="0.25">
      <c r="A804" s="21" t="s">
        <v>1869</v>
      </c>
      <c r="B804" s="25" t="s">
        <v>1871</v>
      </c>
      <c r="C804" s="26">
        <v>1</v>
      </c>
      <c r="D804" s="27" t="s">
        <v>15</v>
      </c>
      <c r="E804" s="26">
        <v>939.2</v>
      </c>
      <c r="F804" s="28" t="s">
        <v>16</v>
      </c>
      <c r="G804" s="26">
        <f>ROUND(C804*E804,0)</f>
        <v>939</v>
      </c>
      <c r="H804" t="s">
        <v>1870</v>
      </c>
    </row>
    <row r="805" spans="1:8" ht="75" x14ac:dyDescent="0.25">
      <c r="A805" s="21" t="s">
        <v>1872</v>
      </c>
      <c r="B805" s="25" t="s">
        <v>1874</v>
      </c>
      <c r="C805" s="26">
        <v>1</v>
      </c>
      <c r="D805" s="27" t="s">
        <v>15</v>
      </c>
      <c r="E805" s="26">
        <v>-155.1</v>
      </c>
      <c r="F805" s="28" t="s">
        <v>16</v>
      </c>
      <c r="G805" s="26">
        <f>ROUND(C805*E805,0)</f>
        <v>-155</v>
      </c>
      <c r="H805" t="s">
        <v>1873</v>
      </c>
    </row>
    <row r="806" spans="1:8" ht="105" x14ac:dyDescent="0.25">
      <c r="A806" s="21" t="s">
        <v>1875</v>
      </c>
      <c r="B806" s="25" t="s">
        <v>1877</v>
      </c>
      <c r="C806" s="26">
        <v>1</v>
      </c>
      <c r="D806" s="27" t="s">
        <v>201</v>
      </c>
      <c r="E806" s="26">
        <v>228.85</v>
      </c>
      <c r="F806" s="28" t="s">
        <v>202</v>
      </c>
      <c r="G806" s="26">
        <f>ROUND(C806*E806,0)</f>
        <v>229</v>
      </c>
      <c r="H806" t="s">
        <v>1876</v>
      </c>
    </row>
    <row r="807" spans="1:8" ht="45" x14ac:dyDescent="0.25">
      <c r="A807" s="21" t="s">
        <v>1878</v>
      </c>
      <c r="B807" s="25" t="s">
        <v>1880</v>
      </c>
      <c r="C807" s="26"/>
      <c r="D807" s="27"/>
      <c r="E807" s="26"/>
      <c r="F807" s="28"/>
      <c r="G807" s="26"/>
      <c r="H807" t="s">
        <v>1879</v>
      </c>
    </row>
    <row r="808" spans="1:8" ht="30" x14ac:dyDescent="0.25">
      <c r="A808" s="21" t="s">
        <v>1881</v>
      </c>
      <c r="B808" s="25" t="s">
        <v>1535</v>
      </c>
      <c r="C808" s="26">
        <v>1</v>
      </c>
      <c r="D808" s="27" t="s">
        <v>21</v>
      </c>
      <c r="E808" s="26">
        <v>103140.1</v>
      </c>
      <c r="F808" s="28" t="s">
        <v>22</v>
      </c>
      <c r="G808" s="26">
        <f>ROUND(C808*E808,0)</f>
        <v>103140</v>
      </c>
      <c r="H808" t="s">
        <v>1552</v>
      </c>
    </row>
    <row r="809" spans="1:8" ht="30" x14ac:dyDescent="0.25">
      <c r="A809" s="21" t="s">
        <v>1882</v>
      </c>
      <c r="B809" s="25" t="s">
        <v>1884</v>
      </c>
      <c r="C809" s="26">
        <v>1</v>
      </c>
      <c r="D809" s="27" t="s">
        <v>21</v>
      </c>
      <c r="E809" s="26">
        <v>69178.05</v>
      </c>
      <c r="F809" s="28" t="s">
        <v>22</v>
      </c>
      <c r="G809" s="26">
        <f>ROUND(C809*E809,0)</f>
        <v>69178</v>
      </c>
      <c r="H809" t="s">
        <v>1883</v>
      </c>
    </row>
    <row r="810" spans="1:8" ht="45" x14ac:dyDescent="0.25">
      <c r="A810" s="21" t="s">
        <v>1885</v>
      </c>
      <c r="B810" s="25" t="s">
        <v>1887</v>
      </c>
      <c r="C810" s="26"/>
      <c r="D810" s="27"/>
      <c r="E810" s="26"/>
      <c r="F810" s="28"/>
      <c r="G810" s="26"/>
      <c r="H810" t="s">
        <v>1886</v>
      </c>
    </row>
    <row r="811" spans="1:8" x14ac:dyDescent="0.25">
      <c r="A811" s="21" t="s">
        <v>1888</v>
      </c>
      <c r="B811" s="25" t="s">
        <v>1890</v>
      </c>
      <c r="C811" s="26">
        <v>1</v>
      </c>
      <c r="D811" s="27" t="s">
        <v>201</v>
      </c>
      <c r="E811" s="26">
        <v>53</v>
      </c>
      <c r="F811" s="28" t="s">
        <v>202</v>
      </c>
      <c r="G811" s="26">
        <f>ROUND(C811*E811,0)</f>
        <v>53</v>
      </c>
      <c r="H811" t="s">
        <v>1889</v>
      </c>
    </row>
    <row r="812" spans="1:8" x14ac:dyDescent="0.25">
      <c r="A812" s="21" t="s">
        <v>1891</v>
      </c>
      <c r="B812" s="25" t="s">
        <v>1893</v>
      </c>
      <c r="C812" s="26">
        <v>1</v>
      </c>
      <c r="D812" s="27" t="s">
        <v>201</v>
      </c>
      <c r="E812" s="26">
        <v>45</v>
      </c>
      <c r="F812" s="28" t="s">
        <v>202</v>
      </c>
      <c r="G812" s="26">
        <f>ROUND(C812*E812,0)</f>
        <v>45</v>
      </c>
      <c r="H812" t="s">
        <v>1892</v>
      </c>
    </row>
    <row r="813" spans="1:8" x14ac:dyDescent="0.25">
      <c r="A813" s="21" t="s">
        <v>1894</v>
      </c>
      <c r="B813" s="25" t="s">
        <v>1896</v>
      </c>
      <c r="C813" s="26">
        <v>1</v>
      </c>
      <c r="D813" s="27" t="s">
        <v>201</v>
      </c>
      <c r="E813" s="26">
        <v>39.299999999999997</v>
      </c>
      <c r="F813" s="28" t="s">
        <v>202</v>
      </c>
      <c r="G813" s="26">
        <f>ROUND(C813*E813,0)</f>
        <v>39</v>
      </c>
      <c r="H813" t="s">
        <v>1895</v>
      </c>
    </row>
    <row r="814" spans="1:8" x14ac:dyDescent="0.25">
      <c r="A814" s="21" t="s">
        <v>1897</v>
      </c>
      <c r="B814" s="25" t="s">
        <v>1899</v>
      </c>
      <c r="C814" s="26">
        <v>1</v>
      </c>
      <c r="D814" s="27" t="s">
        <v>201</v>
      </c>
      <c r="E814" s="26">
        <v>18.850000000000001</v>
      </c>
      <c r="F814" s="28" t="s">
        <v>202</v>
      </c>
      <c r="G814" s="26">
        <f>ROUND(C814*E814,0)</f>
        <v>19</v>
      </c>
      <c r="H814" t="s">
        <v>1898</v>
      </c>
    </row>
    <row r="815" spans="1:8" ht="45" x14ac:dyDescent="0.25">
      <c r="A815" s="21" t="s">
        <v>1900</v>
      </c>
      <c r="B815" s="25" t="s">
        <v>1902</v>
      </c>
      <c r="C815" s="26"/>
      <c r="D815" s="27"/>
      <c r="E815" s="26"/>
      <c r="F815" s="28"/>
      <c r="G815" s="26"/>
      <c r="H815" t="s">
        <v>1901</v>
      </c>
    </row>
    <row r="816" spans="1:8" x14ac:dyDescent="0.25">
      <c r="A816" s="21" t="s">
        <v>1903</v>
      </c>
      <c r="B816" s="25" t="s">
        <v>1905</v>
      </c>
      <c r="C816" s="26">
        <v>1</v>
      </c>
      <c r="D816" s="27" t="s">
        <v>201</v>
      </c>
      <c r="E816" s="26">
        <v>71.25</v>
      </c>
      <c r="F816" s="28" t="s">
        <v>202</v>
      </c>
      <c r="G816" s="26">
        <f>ROUND(C816*E816,0)</f>
        <v>71</v>
      </c>
      <c r="H816" t="s">
        <v>1904</v>
      </c>
    </row>
    <row r="817" spans="1:8" x14ac:dyDescent="0.25">
      <c r="A817" s="21" t="s">
        <v>1906</v>
      </c>
      <c r="B817" s="25" t="s">
        <v>1908</v>
      </c>
      <c r="C817" s="26">
        <v>1</v>
      </c>
      <c r="D817" s="27" t="s">
        <v>201</v>
      </c>
      <c r="E817" s="26">
        <v>62.05</v>
      </c>
      <c r="F817" s="28" t="s">
        <v>202</v>
      </c>
      <c r="G817" s="26">
        <f>ROUND(C817*E817,0)</f>
        <v>62</v>
      </c>
      <c r="H817" t="s">
        <v>1907</v>
      </c>
    </row>
    <row r="818" spans="1:8" x14ac:dyDescent="0.25">
      <c r="A818" s="21" t="s">
        <v>1909</v>
      </c>
      <c r="B818" s="25" t="s">
        <v>1911</v>
      </c>
      <c r="C818" s="26">
        <v>1</v>
      </c>
      <c r="D818" s="27" t="s">
        <v>201</v>
      </c>
      <c r="E818" s="26">
        <v>48.15</v>
      </c>
      <c r="F818" s="28" t="s">
        <v>202</v>
      </c>
      <c r="G818" s="26">
        <f>ROUND(C818*E818,0)</f>
        <v>48</v>
      </c>
      <c r="H818" t="s">
        <v>1910</v>
      </c>
    </row>
    <row r="819" spans="1:8" x14ac:dyDescent="0.25">
      <c r="A819" s="21" t="s">
        <v>1912</v>
      </c>
      <c r="B819" s="25" t="s">
        <v>1914</v>
      </c>
      <c r="C819" s="26">
        <v>1</v>
      </c>
      <c r="D819" s="27" t="s">
        <v>201</v>
      </c>
      <c r="E819" s="26">
        <v>27.5</v>
      </c>
      <c r="F819" s="28" t="s">
        <v>202</v>
      </c>
      <c r="G819" s="26">
        <f>ROUND(C819*E819,0)</f>
        <v>28</v>
      </c>
      <c r="H819" t="s">
        <v>1913</v>
      </c>
    </row>
    <row r="820" spans="1:8" ht="45" x14ac:dyDescent="0.25">
      <c r="A820" s="21" t="s">
        <v>1915</v>
      </c>
      <c r="B820" s="25" t="s">
        <v>1917</v>
      </c>
      <c r="C820" s="26"/>
      <c r="D820" s="27"/>
      <c r="E820" s="26"/>
      <c r="F820" s="28"/>
      <c r="G820" s="26"/>
      <c r="H820" t="s">
        <v>1916</v>
      </c>
    </row>
    <row r="821" spans="1:8" x14ac:dyDescent="0.25">
      <c r="A821" s="21" t="s">
        <v>1918</v>
      </c>
      <c r="B821" s="25" t="s">
        <v>1890</v>
      </c>
      <c r="C821" s="26">
        <v>1</v>
      </c>
      <c r="D821" s="27" t="s">
        <v>201</v>
      </c>
      <c r="E821" s="26">
        <v>55.75</v>
      </c>
      <c r="F821" s="28" t="s">
        <v>202</v>
      </c>
      <c r="G821" s="26">
        <f>ROUND(C821*E821,0)</f>
        <v>56</v>
      </c>
      <c r="H821" t="s">
        <v>1889</v>
      </c>
    </row>
    <row r="822" spans="1:8" x14ac:dyDescent="0.25">
      <c r="A822" s="21" t="s">
        <v>1919</v>
      </c>
      <c r="B822" s="25" t="s">
        <v>1893</v>
      </c>
      <c r="C822" s="26">
        <v>1</v>
      </c>
      <c r="D822" s="27" t="s">
        <v>201</v>
      </c>
      <c r="E822" s="26">
        <v>48.2</v>
      </c>
      <c r="F822" s="28" t="s">
        <v>202</v>
      </c>
      <c r="G822" s="26">
        <f>ROUND(C822*E822,0)</f>
        <v>48</v>
      </c>
      <c r="H822" t="s">
        <v>1920</v>
      </c>
    </row>
    <row r="823" spans="1:8" x14ac:dyDescent="0.25">
      <c r="A823" s="21" t="s">
        <v>1921</v>
      </c>
      <c r="B823" s="25" t="s">
        <v>1896</v>
      </c>
      <c r="C823" s="26">
        <v>1</v>
      </c>
      <c r="D823" s="27" t="s">
        <v>201</v>
      </c>
      <c r="E823" s="26">
        <v>40.5</v>
      </c>
      <c r="F823" s="28" t="s">
        <v>202</v>
      </c>
      <c r="G823" s="26">
        <f>ROUND(C823*E823,0)</f>
        <v>41</v>
      </c>
      <c r="H823" t="s">
        <v>1895</v>
      </c>
    </row>
    <row r="824" spans="1:8" x14ac:dyDescent="0.25">
      <c r="A824" s="21" t="s">
        <v>1922</v>
      </c>
      <c r="B824" s="25" t="s">
        <v>1899</v>
      </c>
      <c r="C824" s="26">
        <v>1</v>
      </c>
      <c r="D824" s="27" t="s">
        <v>201</v>
      </c>
      <c r="E824" s="26">
        <v>20</v>
      </c>
      <c r="F824" s="28" t="s">
        <v>202</v>
      </c>
      <c r="G824" s="26">
        <f>ROUND(C824*E824,0)</f>
        <v>20</v>
      </c>
      <c r="H824" t="s">
        <v>1923</v>
      </c>
    </row>
    <row r="825" spans="1:8" ht="60" x14ac:dyDescent="0.25">
      <c r="A825" s="21" t="s">
        <v>1924</v>
      </c>
      <c r="B825" s="25" t="s">
        <v>1926</v>
      </c>
      <c r="C825" s="26"/>
      <c r="D825" s="27"/>
      <c r="E825" s="26"/>
      <c r="F825" s="28"/>
      <c r="G825" s="26"/>
      <c r="H825" t="s">
        <v>1925</v>
      </c>
    </row>
    <row r="826" spans="1:8" x14ac:dyDescent="0.25">
      <c r="A826" s="21" t="s">
        <v>1927</v>
      </c>
      <c r="B826" s="25" t="s">
        <v>1928</v>
      </c>
      <c r="C826" s="26">
        <v>1</v>
      </c>
      <c r="D826" s="27" t="s">
        <v>201</v>
      </c>
      <c r="E826" s="26">
        <v>91.7</v>
      </c>
      <c r="F826" s="28" t="s">
        <v>202</v>
      </c>
      <c r="G826" s="26">
        <f>ROUND(C826*E826,0)</f>
        <v>92</v>
      </c>
      <c r="H826" t="s">
        <v>1928</v>
      </c>
    </row>
    <row r="827" spans="1:8" x14ac:dyDescent="0.25">
      <c r="A827" s="21" t="s">
        <v>1929</v>
      </c>
      <c r="B827" s="25" t="s">
        <v>1930</v>
      </c>
      <c r="C827" s="26">
        <v>1</v>
      </c>
      <c r="D827" s="27" t="s">
        <v>201</v>
      </c>
      <c r="E827" s="26">
        <v>86</v>
      </c>
      <c r="F827" s="28" t="s">
        <v>202</v>
      </c>
      <c r="G827" s="26">
        <f>ROUND(C827*E827,0)</f>
        <v>86</v>
      </c>
      <c r="H827" t="s">
        <v>1930</v>
      </c>
    </row>
    <row r="828" spans="1:8" x14ac:dyDescent="0.25">
      <c r="A828" s="21" t="s">
        <v>1931</v>
      </c>
      <c r="B828" s="25" t="s">
        <v>1932</v>
      </c>
      <c r="C828" s="26">
        <v>1</v>
      </c>
      <c r="D828" s="27" t="s">
        <v>201</v>
      </c>
      <c r="E828" s="26">
        <v>75.349999999999994</v>
      </c>
      <c r="F828" s="28" t="s">
        <v>202</v>
      </c>
      <c r="G828" s="26">
        <f>ROUND(C828*E828,0)</f>
        <v>75</v>
      </c>
      <c r="H828" t="s">
        <v>1932</v>
      </c>
    </row>
    <row r="829" spans="1:8" x14ac:dyDescent="0.25">
      <c r="A829" s="21" t="s">
        <v>1933</v>
      </c>
      <c r="B829" s="25" t="s">
        <v>1935</v>
      </c>
      <c r="C829" s="26">
        <v>1</v>
      </c>
      <c r="D829" s="27" t="s">
        <v>201</v>
      </c>
      <c r="E829" s="26">
        <v>66.650000000000006</v>
      </c>
      <c r="F829" s="28" t="s">
        <v>202</v>
      </c>
      <c r="G829" s="26">
        <f>ROUND(C829*E829,0)</f>
        <v>67</v>
      </c>
      <c r="H829" t="s">
        <v>1934</v>
      </c>
    </row>
    <row r="830" spans="1:8" ht="45" x14ac:dyDescent="0.25">
      <c r="A830" s="21" t="s">
        <v>1936</v>
      </c>
      <c r="B830" s="25" t="s">
        <v>1938</v>
      </c>
      <c r="C830" s="26"/>
      <c r="D830" s="27"/>
      <c r="E830" s="26"/>
      <c r="F830" s="28"/>
      <c r="G830" s="26"/>
      <c r="H830" t="s">
        <v>1937</v>
      </c>
    </row>
    <row r="831" spans="1:8" x14ac:dyDescent="0.25">
      <c r="A831" s="21" t="s">
        <v>1939</v>
      </c>
      <c r="B831" s="25" t="s">
        <v>1941</v>
      </c>
      <c r="C831" s="26">
        <v>1</v>
      </c>
      <c r="D831" s="27" t="s">
        <v>201</v>
      </c>
      <c r="E831" s="26">
        <v>291.35000000000002</v>
      </c>
      <c r="F831" s="28" t="s">
        <v>202</v>
      </c>
      <c r="G831" s="26">
        <f>ROUND(C831*E831,0)</f>
        <v>291</v>
      </c>
      <c r="H831" t="s">
        <v>1940</v>
      </c>
    </row>
    <row r="832" spans="1:8" x14ac:dyDescent="0.25">
      <c r="A832" s="21" t="s">
        <v>1942</v>
      </c>
      <c r="B832" s="25" t="s">
        <v>1944</v>
      </c>
      <c r="C832" s="26">
        <v>1</v>
      </c>
      <c r="D832" s="27" t="s">
        <v>201</v>
      </c>
      <c r="E832" s="26">
        <v>262.89999999999998</v>
      </c>
      <c r="F832" s="28" t="s">
        <v>202</v>
      </c>
      <c r="G832" s="26">
        <f>ROUND(C832*E832,0)</f>
        <v>263</v>
      </c>
      <c r="H832" t="s">
        <v>1943</v>
      </c>
    </row>
    <row r="833" spans="1:8" x14ac:dyDescent="0.25">
      <c r="A833" s="21" t="s">
        <v>1945</v>
      </c>
      <c r="B833" s="25" t="s">
        <v>1947</v>
      </c>
      <c r="C833" s="26">
        <v>1</v>
      </c>
      <c r="D833" s="27" t="s">
        <v>201</v>
      </c>
      <c r="E833" s="26">
        <v>232.7</v>
      </c>
      <c r="F833" s="28" t="s">
        <v>202</v>
      </c>
      <c r="G833" s="26">
        <f>ROUND(C833*E833,0)</f>
        <v>233</v>
      </c>
      <c r="H833" t="s">
        <v>1946</v>
      </c>
    </row>
    <row r="834" spans="1:8" ht="60" x14ac:dyDescent="0.25">
      <c r="A834" s="21" t="s">
        <v>1948</v>
      </c>
      <c r="B834" s="25" t="s">
        <v>1950</v>
      </c>
      <c r="C834" s="26"/>
      <c r="D834" s="27"/>
      <c r="E834" s="26"/>
      <c r="F834" s="28"/>
      <c r="G834" s="26"/>
      <c r="H834" t="s">
        <v>1949</v>
      </c>
    </row>
    <row r="835" spans="1:8" x14ac:dyDescent="0.25">
      <c r="A835" s="21" t="s">
        <v>1951</v>
      </c>
      <c r="B835" s="25" t="s">
        <v>1941</v>
      </c>
      <c r="C835" s="26">
        <v>1</v>
      </c>
      <c r="D835" s="27" t="s">
        <v>201</v>
      </c>
      <c r="E835" s="26">
        <v>326.89999999999998</v>
      </c>
      <c r="F835" s="28" t="s">
        <v>202</v>
      </c>
      <c r="G835" s="26">
        <f>ROUND(C835*E835,0)</f>
        <v>327</v>
      </c>
      <c r="H835" t="s">
        <v>1940</v>
      </c>
    </row>
    <row r="836" spans="1:8" x14ac:dyDescent="0.25">
      <c r="A836" s="21" t="s">
        <v>1952</v>
      </c>
      <c r="B836" s="25" t="s">
        <v>1944</v>
      </c>
      <c r="C836" s="26">
        <v>1</v>
      </c>
      <c r="D836" s="27" t="s">
        <v>201</v>
      </c>
      <c r="E836" s="26">
        <v>291.35000000000002</v>
      </c>
      <c r="F836" s="28" t="s">
        <v>202</v>
      </c>
      <c r="G836" s="26">
        <f>ROUND(C836*E836,0)</f>
        <v>291</v>
      </c>
      <c r="H836" t="s">
        <v>1943</v>
      </c>
    </row>
    <row r="837" spans="1:8" x14ac:dyDescent="0.25">
      <c r="A837" s="21" t="s">
        <v>1953</v>
      </c>
      <c r="B837" s="25" t="s">
        <v>1947</v>
      </c>
      <c r="C837" s="26">
        <v>1</v>
      </c>
      <c r="D837" s="27" t="s">
        <v>201</v>
      </c>
      <c r="E837" s="26">
        <v>261.14999999999998</v>
      </c>
      <c r="F837" s="28" t="s">
        <v>202</v>
      </c>
      <c r="G837" s="26">
        <f>ROUND(C837*E837,0)</f>
        <v>261</v>
      </c>
      <c r="H837" t="s">
        <v>1946</v>
      </c>
    </row>
    <row r="838" spans="1:8" ht="60" x14ac:dyDescent="0.25">
      <c r="A838" s="21" t="s">
        <v>1954</v>
      </c>
      <c r="B838" s="25" t="s">
        <v>1956</v>
      </c>
      <c r="C838" s="26"/>
      <c r="D838" s="27"/>
      <c r="E838" s="26"/>
      <c r="F838" s="28"/>
      <c r="G838" s="26"/>
      <c r="H838" t="s">
        <v>1955</v>
      </c>
    </row>
    <row r="839" spans="1:8" x14ac:dyDescent="0.25">
      <c r="A839" s="21" t="s">
        <v>1957</v>
      </c>
      <c r="B839" s="25" t="s">
        <v>1959</v>
      </c>
      <c r="C839" s="26">
        <v>1</v>
      </c>
      <c r="D839" s="27" t="s">
        <v>110</v>
      </c>
      <c r="E839" s="26">
        <v>336.45</v>
      </c>
      <c r="F839" s="28" t="s">
        <v>68</v>
      </c>
      <c r="G839" s="26">
        <f>ROUND(C839*E839,0)</f>
        <v>336</v>
      </c>
      <c r="H839" t="s">
        <v>1958</v>
      </c>
    </row>
    <row r="840" spans="1:8" x14ac:dyDescent="0.25">
      <c r="A840" s="21" t="s">
        <v>1960</v>
      </c>
      <c r="B840" s="25" t="s">
        <v>1962</v>
      </c>
      <c r="C840" s="26">
        <v>1</v>
      </c>
      <c r="D840" s="27" t="s">
        <v>110</v>
      </c>
      <c r="E840" s="26">
        <v>337.9</v>
      </c>
      <c r="F840" s="28" t="s">
        <v>68</v>
      </c>
      <c r="G840" s="26">
        <f>ROUND(C840*E840,0)</f>
        <v>338</v>
      </c>
      <c r="H840" t="s">
        <v>1961</v>
      </c>
    </row>
    <row r="841" spans="1:8" x14ac:dyDescent="0.25">
      <c r="A841" s="21" t="s">
        <v>1963</v>
      </c>
      <c r="B841" s="25" t="s">
        <v>1965</v>
      </c>
      <c r="C841" s="26">
        <v>1</v>
      </c>
      <c r="D841" s="27" t="s">
        <v>110</v>
      </c>
      <c r="E841" s="26">
        <v>357.8</v>
      </c>
      <c r="F841" s="28" t="s">
        <v>68</v>
      </c>
      <c r="G841" s="26">
        <f>ROUND(C841*E841,0)</f>
        <v>358</v>
      </c>
      <c r="H841" t="s">
        <v>1964</v>
      </c>
    </row>
    <row r="842" spans="1:8" ht="45" x14ac:dyDescent="0.25">
      <c r="A842" s="21" t="s">
        <v>1966</v>
      </c>
      <c r="B842" s="25" t="s">
        <v>1968</v>
      </c>
      <c r="C842" s="26"/>
      <c r="D842" s="27"/>
      <c r="E842" s="26"/>
      <c r="F842" s="28"/>
      <c r="G842" s="26"/>
      <c r="H842" t="s">
        <v>1967</v>
      </c>
    </row>
    <row r="843" spans="1:8" x14ac:dyDescent="0.25">
      <c r="A843" s="21" t="s">
        <v>1969</v>
      </c>
      <c r="B843" s="25" t="s">
        <v>1971</v>
      </c>
      <c r="C843" s="26">
        <v>1</v>
      </c>
      <c r="D843" s="27" t="s">
        <v>201</v>
      </c>
      <c r="E843" s="26">
        <v>216.55</v>
      </c>
      <c r="F843" s="28" t="s">
        <v>202</v>
      </c>
      <c r="G843" s="26">
        <f>ROUND(C843*E843,0)</f>
        <v>217</v>
      </c>
      <c r="H843" t="s">
        <v>1970</v>
      </c>
    </row>
    <row r="844" spans="1:8" x14ac:dyDescent="0.25">
      <c r="A844" s="21" t="s">
        <v>1972</v>
      </c>
      <c r="B844" s="25" t="s">
        <v>1974</v>
      </c>
      <c r="C844" s="26">
        <v>1</v>
      </c>
      <c r="D844" s="27" t="s">
        <v>201</v>
      </c>
      <c r="E844" s="26">
        <v>193.7</v>
      </c>
      <c r="F844" s="28" t="s">
        <v>202</v>
      </c>
      <c r="G844" s="26">
        <f>ROUND(C844*E844,0)</f>
        <v>194</v>
      </c>
      <c r="H844" t="s">
        <v>1973</v>
      </c>
    </row>
    <row r="845" spans="1:8" ht="60" x14ac:dyDescent="0.25">
      <c r="A845" s="21" t="s">
        <v>1975</v>
      </c>
      <c r="B845" s="25" t="s">
        <v>1977</v>
      </c>
      <c r="C845" s="26"/>
      <c r="D845" s="27"/>
      <c r="E845" s="26"/>
      <c r="F845" s="28"/>
      <c r="G845" s="26"/>
      <c r="H845" t="s">
        <v>1976</v>
      </c>
    </row>
    <row r="846" spans="1:8" x14ac:dyDescent="0.25">
      <c r="A846" s="21" t="s">
        <v>1978</v>
      </c>
      <c r="B846" s="25" t="s">
        <v>1980</v>
      </c>
      <c r="C846" s="26">
        <v>1</v>
      </c>
      <c r="D846" s="27" t="s">
        <v>201</v>
      </c>
      <c r="E846" s="26">
        <v>83.9</v>
      </c>
      <c r="F846" s="28" t="s">
        <v>202</v>
      </c>
      <c r="G846" s="26">
        <f>ROUND(C846*E846,0)</f>
        <v>84</v>
      </c>
      <c r="H846" t="s">
        <v>1979</v>
      </c>
    </row>
    <row r="847" spans="1:8" x14ac:dyDescent="0.25">
      <c r="A847" s="21" t="s">
        <v>1981</v>
      </c>
      <c r="B847" s="25" t="s">
        <v>1983</v>
      </c>
      <c r="C847" s="26">
        <v>1</v>
      </c>
      <c r="D847" s="27" t="s">
        <v>201</v>
      </c>
      <c r="E847" s="26">
        <v>69.400000000000006</v>
      </c>
      <c r="F847" s="28" t="s">
        <v>202</v>
      </c>
      <c r="G847" s="26">
        <f>ROUND(C847*E847,0)</f>
        <v>69</v>
      </c>
      <c r="H847" t="s">
        <v>1982</v>
      </c>
    </row>
    <row r="848" spans="1:8" x14ac:dyDescent="0.25">
      <c r="A848" s="21" t="s">
        <v>1984</v>
      </c>
      <c r="B848" s="25" t="s">
        <v>1986</v>
      </c>
      <c r="C848" s="26">
        <v>1</v>
      </c>
      <c r="D848" s="27" t="s">
        <v>201</v>
      </c>
      <c r="E848" s="26">
        <v>59.45</v>
      </c>
      <c r="F848" s="28" t="s">
        <v>202</v>
      </c>
      <c r="G848" s="26">
        <f>ROUND(C848*E848,0)</f>
        <v>59</v>
      </c>
      <c r="H848" t="s">
        <v>1985</v>
      </c>
    </row>
    <row r="849" spans="1:8" x14ac:dyDescent="0.25">
      <c r="A849" s="21" t="s">
        <v>1987</v>
      </c>
      <c r="B849" s="25" t="s">
        <v>1989</v>
      </c>
      <c r="C849" s="26">
        <v>1</v>
      </c>
      <c r="D849" s="27" t="s">
        <v>201</v>
      </c>
      <c r="E849" s="26">
        <v>44.3</v>
      </c>
      <c r="F849" s="28" t="s">
        <v>202</v>
      </c>
      <c r="G849" s="26">
        <f>ROUND(C849*E849,0)</f>
        <v>44</v>
      </c>
      <c r="H849" t="s">
        <v>1988</v>
      </c>
    </row>
    <row r="850" spans="1:8" ht="75" x14ac:dyDescent="0.25">
      <c r="A850" s="21" t="s">
        <v>1990</v>
      </c>
      <c r="B850" s="25" t="s">
        <v>1992</v>
      </c>
      <c r="C850" s="26">
        <v>1</v>
      </c>
      <c r="D850" s="27" t="s">
        <v>201</v>
      </c>
      <c r="E850" s="26">
        <v>122.15</v>
      </c>
      <c r="F850" s="28" t="s">
        <v>202</v>
      </c>
      <c r="G850" s="26">
        <f>ROUND(C850*E850,0)</f>
        <v>122</v>
      </c>
      <c r="H850" t="s">
        <v>1991</v>
      </c>
    </row>
    <row r="851" spans="1:8" ht="45" x14ac:dyDescent="0.25">
      <c r="A851" s="21" t="s">
        <v>1993</v>
      </c>
      <c r="B851" s="25" t="s">
        <v>1995</v>
      </c>
      <c r="C851" s="26"/>
      <c r="D851" s="27"/>
      <c r="E851" s="26"/>
      <c r="F851" s="28"/>
      <c r="G851" s="26"/>
      <c r="H851" t="s">
        <v>1994</v>
      </c>
    </row>
    <row r="852" spans="1:8" x14ac:dyDescent="0.25">
      <c r="A852" s="21" t="s">
        <v>1996</v>
      </c>
      <c r="B852" s="25" t="s">
        <v>1998</v>
      </c>
      <c r="C852" s="26">
        <v>1</v>
      </c>
      <c r="D852" s="27" t="s">
        <v>201</v>
      </c>
      <c r="E852" s="26">
        <v>98.35</v>
      </c>
      <c r="F852" s="28" t="s">
        <v>202</v>
      </c>
      <c r="G852" s="26">
        <f>ROUND(C852*E852,0)</f>
        <v>98</v>
      </c>
      <c r="H852" t="s">
        <v>1997</v>
      </c>
    </row>
    <row r="853" spans="1:8" x14ac:dyDescent="0.25">
      <c r="A853" s="21" t="s">
        <v>1999</v>
      </c>
      <c r="B853" s="25" t="s">
        <v>2001</v>
      </c>
      <c r="C853" s="26">
        <v>1</v>
      </c>
      <c r="D853" s="27" t="s">
        <v>201</v>
      </c>
      <c r="E853" s="26">
        <v>79.849999999999994</v>
      </c>
      <c r="F853" s="28" t="s">
        <v>202</v>
      </c>
      <c r="G853" s="26">
        <f>ROUND(C853*E853,0)</f>
        <v>80</v>
      </c>
      <c r="H853" t="s">
        <v>2000</v>
      </c>
    </row>
    <row r="854" spans="1:8" ht="60" x14ac:dyDescent="0.25">
      <c r="A854" s="21" t="s">
        <v>2002</v>
      </c>
      <c r="B854" s="25" t="s">
        <v>2004</v>
      </c>
      <c r="C854" s="26"/>
      <c r="D854" s="27"/>
      <c r="E854" s="26"/>
      <c r="F854" s="28"/>
      <c r="G854" s="26"/>
      <c r="H854" t="s">
        <v>2003</v>
      </c>
    </row>
    <row r="855" spans="1:8" x14ac:dyDescent="0.25">
      <c r="A855" s="21" t="s">
        <v>2005</v>
      </c>
      <c r="B855" s="25" t="s">
        <v>1944</v>
      </c>
      <c r="C855" s="26">
        <v>1</v>
      </c>
      <c r="D855" s="27" t="s">
        <v>201</v>
      </c>
      <c r="E855" s="26">
        <v>39.950000000000003</v>
      </c>
      <c r="F855" s="28" t="s">
        <v>202</v>
      </c>
      <c r="G855" s="26">
        <f>ROUND(C855*E855,0)</f>
        <v>40</v>
      </c>
      <c r="H855" t="s">
        <v>2006</v>
      </c>
    </row>
    <row r="856" spans="1:8" x14ac:dyDescent="0.25">
      <c r="A856" s="21" t="s">
        <v>2007</v>
      </c>
      <c r="B856" s="25" t="s">
        <v>1947</v>
      </c>
      <c r="C856" s="26">
        <v>1</v>
      </c>
      <c r="D856" s="27" t="s">
        <v>201</v>
      </c>
      <c r="E856" s="26">
        <v>32.549999999999997</v>
      </c>
      <c r="F856" s="28" t="s">
        <v>202</v>
      </c>
      <c r="G856" s="26">
        <f>ROUND(C856*E856,0)</f>
        <v>33</v>
      </c>
      <c r="H856" t="s">
        <v>2008</v>
      </c>
    </row>
    <row r="857" spans="1:8" x14ac:dyDescent="0.25">
      <c r="A857" s="21" t="s">
        <v>2009</v>
      </c>
      <c r="B857" s="25" t="s">
        <v>2011</v>
      </c>
      <c r="C857" s="26">
        <v>1</v>
      </c>
      <c r="D857" s="27" t="s">
        <v>201</v>
      </c>
      <c r="E857" s="26">
        <v>29.7</v>
      </c>
      <c r="F857" s="28" t="s">
        <v>202</v>
      </c>
      <c r="G857" s="26">
        <f>ROUND(C857*E857,0)</f>
        <v>30</v>
      </c>
      <c r="H857" t="s">
        <v>2010</v>
      </c>
    </row>
    <row r="858" spans="1:8" ht="60" x14ac:dyDescent="0.25">
      <c r="A858" s="21" t="s">
        <v>2012</v>
      </c>
      <c r="B858" s="25" t="s">
        <v>2014</v>
      </c>
      <c r="C858" s="26"/>
      <c r="D858" s="27"/>
      <c r="E858" s="26"/>
      <c r="F858" s="28"/>
      <c r="G858" s="26"/>
      <c r="H858" t="s">
        <v>2013</v>
      </c>
    </row>
    <row r="859" spans="1:8" x14ac:dyDescent="0.25">
      <c r="A859" s="21" t="s">
        <v>2015</v>
      </c>
      <c r="B859" s="25" t="s">
        <v>1941</v>
      </c>
      <c r="C859" s="26">
        <v>1</v>
      </c>
      <c r="D859" s="27" t="s">
        <v>201</v>
      </c>
      <c r="E859" s="26">
        <v>33.1</v>
      </c>
      <c r="F859" s="28" t="s">
        <v>202</v>
      </c>
      <c r="G859" s="26">
        <f>ROUND(C859*E859,0)</f>
        <v>33</v>
      </c>
      <c r="H859" t="s">
        <v>2016</v>
      </c>
    </row>
    <row r="860" spans="1:8" x14ac:dyDescent="0.25">
      <c r="A860" s="21" t="s">
        <v>2017</v>
      </c>
      <c r="B860" s="25" t="s">
        <v>2019</v>
      </c>
      <c r="C860" s="26">
        <v>1</v>
      </c>
      <c r="D860" s="27" t="s">
        <v>201</v>
      </c>
      <c r="E860" s="26">
        <v>29.7</v>
      </c>
      <c r="F860" s="28" t="s">
        <v>202</v>
      </c>
      <c r="G860" s="26">
        <f>ROUND(C860*E860,0)</f>
        <v>30</v>
      </c>
      <c r="H860" t="s">
        <v>2018</v>
      </c>
    </row>
    <row r="861" spans="1:8" x14ac:dyDescent="0.25">
      <c r="A861" s="21" t="s">
        <v>2020</v>
      </c>
      <c r="B861" s="25" t="s">
        <v>2022</v>
      </c>
      <c r="C861" s="26">
        <v>1</v>
      </c>
      <c r="D861" s="27" t="s">
        <v>201</v>
      </c>
      <c r="E861" s="26">
        <v>25.3</v>
      </c>
      <c r="F861" s="28" t="s">
        <v>202</v>
      </c>
      <c r="G861" s="26">
        <f>ROUND(C861*E861,0)</f>
        <v>25</v>
      </c>
      <c r="H861" t="s">
        <v>2021</v>
      </c>
    </row>
    <row r="862" spans="1:8" ht="45" x14ac:dyDescent="0.25">
      <c r="A862" s="21" t="s">
        <v>2023</v>
      </c>
      <c r="B862" s="25" t="s">
        <v>2025</v>
      </c>
      <c r="C862" s="26"/>
      <c r="D862" s="27"/>
      <c r="E862" s="26"/>
      <c r="F862" s="28"/>
      <c r="G862" s="26"/>
      <c r="H862" t="s">
        <v>2024</v>
      </c>
    </row>
    <row r="863" spans="1:8" x14ac:dyDescent="0.25">
      <c r="A863" s="21" t="s">
        <v>2026</v>
      </c>
      <c r="B863" s="25" t="s">
        <v>2028</v>
      </c>
      <c r="C863" s="26">
        <v>1</v>
      </c>
      <c r="D863" s="27" t="s">
        <v>201</v>
      </c>
      <c r="E863" s="26">
        <v>67.400000000000006</v>
      </c>
      <c r="F863" s="28" t="s">
        <v>202</v>
      </c>
      <c r="G863" s="26">
        <f>ROUND(C863*E863,0)</f>
        <v>67</v>
      </c>
      <c r="H863" t="s">
        <v>2027</v>
      </c>
    </row>
    <row r="864" spans="1:8" x14ac:dyDescent="0.25">
      <c r="A864" s="21" t="s">
        <v>2029</v>
      </c>
      <c r="B864" s="25" t="s">
        <v>2031</v>
      </c>
      <c r="C864" s="26">
        <v>1</v>
      </c>
      <c r="D864" s="27" t="s">
        <v>201</v>
      </c>
      <c r="E864" s="26">
        <v>61.05</v>
      </c>
      <c r="F864" s="28" t="s">
        <v>202</v>
      </c>
      <c r="G864" s="26">
        <f>ROUND(C864*E864,0)</f>
        <v>61</v>
      </c>
      <c r="H864" t="s">
        <v>2030</v>
      </c>
    </row>
    <row r="865" spans="1:8" x14ac:dyDescent="0.25">
      <c r="A865" s="21" t="s">
        <v>2032</v>
      </c>
      <c r="B865" s="25" t="s">
        <v>2034</v>
      </c>
      <c r="C865" s="26">
        <v>1</v>
      </c>
      <c r="D865" s="27" t="s">
        <v>201</v>
      </c>
      <c r="E865" s="26">
        <v>53.95</v>
      </c>
      <c r="F865" s="28" t="s">
        <v>202</v>
      </c>
      <c r="G865" s="26">
        <f>ROUND(C865*E865,0)</f>
        <v>54</v>
      </c>
      <c r="H865" t="s">
        <v>2033</v>
      </c>
    </row>
    <row r="866" spans="1:8" ht="60" x14ac:dyDescent="0.25">
      <c r="A866" s="21" t="s">
        <v>2035</v>
      </c>
      <c r="B866" s="25" t="s">
        <v>2037</v>
      </c>
      <c r="C866" s="26">
        <v>1</v>
      </c>
      <c r="D866" s="27" t="s">
        <v>201</v>
      </c>
      <c r="E866" s="26">
        <v>100.6</v>
      </c>
      <c r="F866" s="28" t="s">
        <v>202</v>
      </c>
      <c r="G866" s="26">
        <f>ROUND(C866*E866,0)</f>
        <v>101</v>
      </c>
      <c r="H866" t="s">
        <v>2036</v>
      </c>
    </row>
    <row r="867" spans="1:8" ht="45" x14ac:dyDescent="0.25">
      <c r="A867" s="21" t="s">
        <v>2038</v>
      </c>
      <c r="B867" s="25" t="s">
        <v>2040</v>
      </c>
      <c r="C867" s="26"/>
      <c r="D867" s="27"/>
      <c r="E867" s="26"/>
      <c r="F867" s="28"/>
      <c r="G867" s="26"/>
      <c r="H867" t="s">
        <v>2039</v>
      </c>
    </row>
    <row r="868" spans="1:8" x14ac:dyDescent="0.25">
      <c r="A868" s="21" t="s">
        <v>2041</v>
      </c>
      <c r="B868" s="25" t="s">
        <v>2043</v>
      </c>
      <c r="C868" s="26">
        <v>1</v>
      </c>
      <c r="D868" s="27" t="s">
        <v>201</v>
      </c>
      <c r="E868" s="26">
        <v>118.2</v>
      </c>
      <c r="F868" s="28" t="s">
        <v>202</v>
      </c>
      <c r="G868" s="26">
        <f>ROUND(C868*E868,0)</f>
        <v>118</v>
      </c>
      <c r="H868" t="s">
        <v>2042</v>
      </c>
    </row>
    <row r="869" spans="1:8" x14ac:dyDescent="0.25">
      <c r="A869" s="21" t="s">
        <v>2044</v>
      </c>
      <c r="B869" s="25" t="s">
        <v>2045</v>
      </c>
      <c r="C869" s="26">
        <v>1</v>
      </c>
      <c r="D869" s="27" t="s">
        <v>201</v>
      </c>
      <c r="E869" s="26">
        <v>107.1</v>
      </c>
      <c r="F869" s="28" t="s">
        <v>202</v>
      </c>
      <c r="G869" s="26">
        <f>ROUND(C869*E869,0)</f>
        <v>107</v>
      </c>
      <c r="H869" t="s">
        <v>1892</v>
      </c>
    </row>
    <row r="870" spans="1:8" x14ac:dyDescent="0.25">
      <c r="A870" s="21" t="s">
        <v>2046</v>
      </c>
      <c r="B870" s="25" t="s">
        <v>2048</v>
      </c>
      <c r="C870" s="26">
        <v>1</v>
      </c>
      <c r="D870" s="27" t="s">
        <v>201</v>
      </c>
      <c r="E870" s="26">
        <v>80.05</v>
      </c>
      <c r="F870" s="28" t="s">
        <v>202</v>
      </c>
      <c r="G870" s="26">
        <f>ROUND(C870*E870,0)</f>
        <v>80</v>
      </c>
      <c r="H870" t="s">
        <v>2047</v>
      </c>
    </row>
    <row r="871" spans="1:8" x14ac:dyDescent="0.25">
      <c r="A871" s="21" t="s">
        <v>2049</v>
      </c>
      <c r="B871" s="25" t="s">
        <v>1899</v>
      </c>
      <c r="C871" s="26">
        <v>1</v>
      </c>
      <c r="D871" s="27" t="s">
        <v>201</v>
      </c>
      <c r="E871" s="26">
        <v>43.75</v>
      </c>
      <c r="F871" s="28" t="s">
        <v>202</v>
      </c>
      <c r="G871" s="26">
        <f>ROUND(C871*E871,0)</f>
        <v>44</v>
      </c>
      <c r="H871" t="s">
        <v>1923</v>
      </c>
    </row>
    <row r="872" spans="1:8" ht="45" x14ac:dyDescent="0.25">
      <c r="A872" s="21" t="s">
        <v>2050</v>
      </c>
      <c r="B872" s="25" t="s">
        <v>2052</v>
      </c>
      <c r="C872" s="26"/>
      <c r="D872" s="27"/>
      <c r="E872" s="26"/>
      <c r="F872" s="28"/>
      <c r="G872" s="26"/>
      <c r="H872" t="s">
        <v>2051</v>
      </c>
    </row>
    <row r="873" spans="1:8" x14ac:dyDescent="0.25">
      <c r="A873" s="21" t="s">
        <v>2053</v>
      </c>
      <c r="B873" s="25" t="s">
        <v>2055</v>
      </c>
      <c r="C873" s="26">
        <v>1</v>
      </c>
      <c r="D873" s="27" t="s">
        <v>201</v>
      </c>
      <c r="E873" s="26">
        <v>129.85</v>
      </c>
      <c r="F873" s="28" t="s">
        <v>202</v>
      </c>
      <c r="G873" s="26">
        <f>ROUND(C873*E873,0)</f>
        <v>130</v>
      </c>
      <c r="H873" t="s">
        <v>2054</v>
      </c>
    </row>
    <row r="874" spans="1:8" x14ac:dyDescent="0.25">
      <c r="A874" s="21" t="s">
        <v>2056</v>
      </c>
      <c r="B874" s="25" t="s">
        <v>2058</v>
      </c>
      <c r="C874" s="26">
        <v>1</v>
      </c>
      <c r="D874" s="27" t="s">
        <v>201</v>
      </c>
      <c r="E874" s="26">
        <v>106.35</v>
      </c>
      <c r="F874" s="28" t="s">
        <v>202</v>
      </c>
      <c r="G874" s="26">
        <f>ROUND(C874*E874,0)</f>
        <v>106</v>
      </c>
      <c r="H874" t="s">
        <v>2057</v>
      </c>
    </row>
    <row r="875" spans="1:8" x14ac:dyDescent="0.25">
      <c r="A875" s="21" t="s">
        <v>2059</v>
      </c>
      <c r="B875" s="25" t="s">
        <v>2061</v>
      </c>
      <c r="C875" s="26">
        <v>1</v>
      </c>
      <c r="D875" s="27" t="s">
        <v>201</v>
      </c>
      <c r="E875" s="26">
        <v>89.3</v>
      </c>
      <c r="F875" s="28" t="s">
        <v>202</v>
      </c>
      <c r="G875" s="26">
        <f>ROUND(C875*E875,0)</f>
        <v>89</v>
      </c>
      <c r="H875" t="s">
        <v>2060</v>
      </c>
    </row>
    <row r="876" spans="1:8" ht="30" x14ac:dyDescent="0.25">
      <c r="A876" s="21" t="s">
        <v>2062</v>
      </c>
      <c r="B876" s="25" t="s">
        <v>2064</v>
      </c>
      <c r="C876" s="26"/>
      <c r="D876" s="27"/>
      <c r="E876" s="26"/>
      <c r="F876" s="28"/>
      <c r="G876" s="26"/>
      <c r="H876" t="s">
        <v>2063</v>
      </c>
    </row>
    <row r="877" spans="1:8" x14ac:dyDescent="0.25">
      <c r="A877" s="21" t="s">
        <v>2065</v>
      </c>
      <c r="B877" s="25" t="s">
        <v>2067</v>
      </c>
      <c r="C877" s="26">
        <v>1</v>
      </c>
      <c r="D877" s="27" t="s">
        <v>201</v>
      </c>
      <c r="E877" s="26">
        <v>268.64999999999998</v>
      </c>
      <c r="F877" s="28" t="s">
        <v>202</v>
      </c>
      <c r="G877" s="26">
        <f t="shared" ref="G877:G883" si="18">ROUND(C877*E877,0)</f>
        <v>269</v>
      </c>
      <c r="H877" t="s">
        <v>2066</v>
      </c>
    </row>
    <row r="878" spans="1:8" x14ac:dyDescent="0.25">
      <c r="A878" s="21" t="s">
        <v>2068</v>
      </c>
      <c r="B878" s="25" t="s">
        <v>2070</v>
      </c>
      <c r="C878" s="26">
        <v>1</v>
      </c>
      <c r="D878" s="27" t="s">
        <v>201</v>
      </c>
      <c r="E878" s="26">
        <v>185.15</v>
      </c>
      <c r="F878" s="28" t="s">
        <v>202</v>
      </c>
      <c r="G878" s="26">
        <f t="shared" si="18"/>
        <v>185</v>
      </c>
      <c r="H878" t="s">
        <v>2069</v>
      </c>
    </row>
    <row r="879" spans="1:8" x14ac:dyDescent="0.25">
      <c r="A879" s="21" t="s">
        <v>2071</v>
      </c>
      <c r="B879" s="25" t="s">
        <v>2073</v>
      </c>
      <c r="C879" s="26">
        <v>1</v>
      </c>
      <c r="D879" s="27" t="s">
        <v>201</v>
      </c>
      <c r="E879" s="26">
        <v>206.4</v>
      </c>
      <c r="F879" s="28" t="s">
        <v>202</v>
      </c>
      <c r="G879" s="26">
        <f t="shared" si="18"/>
        <v>206</v>
      </c>
      <c r="H879" t="s">
        <v>2072</v>
      </c>
    </row>
    <row r="880" spans="1:8" x14ac:dyDescent="0.25">
      <c r="A880" s="21" t="s">
        <v>2074</v>
      </c>
      <c r="B880" s="25" t="s">
        <v>2076</v>
      </c>
      <c r="C880" s="26">
        <v>1</v>
      </c>
      <c r="D880" s="27" t="s">
        <v>201</v>
      </c>
      <c r="E880" s="26">
        <v>148.25</v>
      </c>
      <c r="F880" s="28" t="s">
        <v>202</v>
      </c>
      <c r="G880" s="26">
        <f t="shared" si="18"/>
        <v>148</v>
      </c>
      <c r="H880" t="s">
        <v>2075</v>
      </c>
    </row>
    <row r="881" spans="1:8" x14ac:dyDescent="0.25">
      <c r="A881" s="21" t="s">
        <v>2077</v>
      </c>
      <c r="B881" s="25" t="s">
        <v>2079</v>
      </c>
      <c r="C881" s="26">
        <v>1</v>
      </c>
      <c r="D881" s="27" t="s">
        <v>201</v>
      </c>
      <c r="E881" s="26">
        <v>173.4</v>
      </c>
      <c r="F881" s="28" t="s">
        <v>202</v>
      </c>
      <c r="G881" s="26">
        <f t="shared" si="18"/>
        <v>173</v>
      </c>
      <c r="H881" t="s">
        <v>2078</v>
      </c>
    </row>
    <row r="882" spans="1:8" x14ac:dyDescent="0.25">
      <c r="A882" s="21" t="s">
        <v>2080</v>
      </c>
      <c r="B882" s="25" t="s">
        <v>2082</v>
      </c>
      <c r="C882" s="26">
        <v>1</v>
      </c>
      <c r="D882" s="27" t="s">
        <v>201</v>
      </c>
      <c r="E882" s="26">
        <v>101.85</v>
      </c>
      <c r="F882" s="28" t="s">
        <v>202</v>
      </c>
      <c r="G882" s="26">
        <f t="shared" si="18"/>
        <v>102</v>
      </c>
      <c r="H882" t="s">
        <v>2081</v>
      </c>
    </row>
    <row r="883" spans="1:8" x14ac:dyDescent="0.25">
      <c r="A883" s="21" t="s">
        <v>2083</v>
      </c>
      <c r="B883" s="25" t="s">
        <v>2085</v>
      </c>
      <c r="C883" s="26">
        <v>1</v>
      </c>
      <c r="D883" s="27" t="s">
        <v>201</v>
      </c>
      <c r="E883" s="26">
        <v>40.9</v>
      </c>
      <c r="F883" s="28" t="s">
        <v>202</v>
      </c>
      <c r="G883" s="26">
        <f t="shared" si="18"/>
        <v>41</v>
      </c>
      <c r="H883" t="s">
        <v>2084</v>
      </c>
    </row>
    <row r="884" spans="1:8" ht="45" x14ac:dyDescent="0.25">
      <c r="A884" s="21" t="s">
        <v>2086</v>
      </c>
      <c r="B884" s="25" t="s">
        <v>2088</v>
      </c>
      <c r="C884" s="26"/>
      <c r="D884" s="27"/>
      <c r="E884" s="26"/>
      <c r="F884" s="28"/>
      <c r="G884" s="26"/>
      <c r="H884" t="s">
        <v>2087</v>
      </c>
    </row>
    <row r="885" spans="1:8" x14ac:dyDescent="0.25">
      <c r="A885" s="21" t="s">
        <v>2089</v>
      </c>
      <c r="B885" s="25" t="s">
        <v>2091</v>
      </c>
      <c r="C885" s="26">
        <v>1</v>
      </c>
      <c r="D885" s="27" t="s">
        <v>201</v>
      </c>
      <c r="E885" s="26">
        <v>463.15</v>
      </c>
      <c r="F885" s="28" t="s">
        <v>202</v>
      </c>
      <c r="G885" s="26">
        <f>ROUND(C885*E885,0)</f>
        <v>463</v>
      </c>
      <c r="H885" t="s">
        <v>2090</v>
      </c>
    </row>
    <row r="886" spans="1:8" x14ac:dyDescent="0.25">
      <c r="A886" s="21" t="s">
        <v>2092</v>
      </c>
      <c r="B886" s="25" t="s">
        <v>2094</v>
      </c>
      <c r="C886" s="26">
        <v>1</v>
      </c>
      <c r="D886" s="27" t="s">
        <v>201</v>
      </c>
      <c r="E886" s="26">
        <v>414.6</v>
      </c>
      <c r="F886" s="28" t="s">
        <v>202</v>
      </c>
      <c r="G886" s="26">
        <f>ROUND(C886*E886,0)</f>
        <v>415</v>
      </c>
      <c r="H886" t="s">
        <v>2093</v>
      </c>
    </row>
    <row r="887" spans="1:8" x14ac:dyDescent="0.25">
      <c r="A887" s="21" t="s">
        <v>2095</v>
      </c>
      <c r="B887" s="25" t="s">
        <v>2097</v>
      </c>
      <c r="C887" s="26">
        <v>1</v>
      </c>
      <c r="D887" s="27" t="s">
        <v>201</v>
      </c>
      <c r="E887" s="26">
        <v>381.75</v>
      </c>
      <c r="F887" s="28" t="s">
        <v>202</v>
      </c>
      <c r="G887" s="26">
        <f>ROUND(C887*E887,0)</f>
        <v>382</v>
      </c>
      <c r="H887" t="s">
        <v>2096</v>
      </c>
    </row>
    <row r="888" spans="1:8" x14ac:dyDescent="0.25">
      <c r="A888" s="21" t="s">
        <v>2098</v>
      </c>
      <c r="B888" s="25" t="s">
        <v>2100</v>
      </c>
      <c r="C888" s="26">
        <v>1</v>
      </c>
      <c r="D888" s="27" t="s">
        <v>201</v>
      </c>
      <c r="E888" s="26">
        <v>339.2</v>
      </c>
      <c r="F888" s="28" t="s">
        <v>202</v>
      </c>
      <c r="G888" s="26">
        <f>ROUND(C888*E888,0)</f>
        <v>339</v>
      </c>
      <c r="H888" t="s">
        <v>2099</v>
      </c>
    </row>
    <row r="889" spans="1:8" ht="45" x14ac:dyDescent="0.25">
      <c r="A889" s="21" t="s">
        <v>2101</v>
      </c>
      <c r="B889" s="25" t="s">
        <v>2103</v>
      </c>
      <c r="C889" s="26"/>
      <c r="D889" s="27"/>
      <c r="E889" s="26"/>
      <c r="F889" s="28"/>
      <c r="G889" s="26"/>
      <c r="H889" t="s">
        <v>2102</v>
      </c>
    </row>
    <row r="890" spans="1:8" x14ac:dyDescent="0.25">
      <c r="A890" s="21" t="s">
        <v>2104</v>
      </c>
      <c r="B890" s="25" t="s">
        <v>1980</v>
      </c>
      <c r="C890" s="26">
        <v>1</v>
      </c>
      <c r="D890" s="27" t="s">
        <v>201</v>
      </c>
      <c r="E890" s="26">
        <v>441.6</v>
      </c>
      <c r="F890" s="28" t="s">
        <v>202</v>
      </c>
      <c r="G890" s="26">
        <f>ROUND(C890*E890,0)</f>
        <v>442</v>
      </c>
      <c r="H890" t="s">
        <v>2105</v>
      </c>
    </row>
    <row r="891" spans="1:8" x14ac:dyDescent="0.25">
      <c r="A891" s="21" t="s">
        <v>2106</v>
      </c>
      <c r="B891" s="25" t="s">
        <v>1983</v>
      </c>
      <c r="C891" s="26">
        <v>1</v>
      </c>
      <c r="D891" s="27" t="s">
        <v>201</v>
      </c>
      <c r="E891" s="26">
        <v>358.4</v>
      </c>
      <c r="F891" s="28" t="s">
        <v>202</v>
      </c>
      <c r="G891" s="26">
        <f>ROUND(C891*E891,0)</f>
        <v>358</v>
      </c>
      <c r="H891" t="s">
        <v>2107</v>
      </c>
    </row>
    <row r="892" spans="1:8" x14ac:dyDescent="0.25">
      <c r="A892" s="21" t="s">
        <v>2108</v>
      </c>
      <c r="B892" s="25" t="s">
        <v>1986</v>
      </c>
      <c r="C892" s="26">
        <v>1</v>
      </c>
      <c r="D892" s="27" t="s">
        <v>201</v>
      </c>
      <c r="E892" s="26">
        <v>287.25</v>
      </c>
      <c r="F892" s="28" t="s">
        <v>202</v>
      </c>
      <c r="G892" s="26">
        <f>ROUND(C892*E892,0)</f>
        <v>287</v>
      </c>
      <c r="H892" t="s">
        <v>2109</v>
      </c>
    </row>
    <row r="893" spans="1:8" x14ac:dyDescent="0.25">
      <c r="A893" s="21" t="s">
        <v>2110</v>
      </c>
      <c r="B893" s="25" t="s">
        <v>1989</v>
      </c>
      <c r="C893" s="26">
        <v>1</v>
      </c>
      <c r="D893" s="27" t="s">
        <v>201</v>
      </c>
      <c r="E893" s="26">
        <v>197.5</v>
      </c>
      <c r="F893" s="28" t="s">
        <v>202</v>
      </c>
      <c r="G893" s="26">
        <f>ROUND(C893*E893,0)</f>
        <v>198</v>
      </c>
      <c r="H893" t="s">
        <v>2111</v>
      </c>
    </row>
    <row r="894" spans="1:8" ht="30" x14ac:dyDescent="0.25">
      <c r="A894" s="21" t="s">
        <v>2112</v>
      </c>
      <c r="B894" s="25" t="s">
        <v>2114</v>
      </c>
      <c r="C894" s="26"/>
      <c r="D894" s="27"/>
      <c r="E894" s="26"/>
      <c r="F894" s="28"/>
      <c r="G894" s="26"/>
      <c r="H894" t="s">
        <v>2113</v>
      </c>
    </row>
    <row r="895" spans="1:8" x14ac:dyDescent="0.25">
      <c r="A895" s="21" t="s">
        <v>2115</v>
      </c>
      <c r="B895" s="25" t="s">
        <v>2117</v>
      </c>
      <c r="C895" s="26">
        <v>1</v>
      </c>
      <c r="D895" s="27" t="s">
        <v>201</v>
      </c>
      <c r="E895" s="26">
        <v>322.2</v>
      </c>
      <c r="F895" s="28" t="s">
        <v>202</v>
      </c>
      <c r="G895" s="26">
        <f>ROUND(C895*E895,0)</f>
        <v>322</v>
      </c>
      <c r="H895" t="s">
        <v>2116</v>
      </c>
    </row>
    <row r="896" spans="1:8" x14ac:dyDescent="0.25">
      <c r="A896" s="21" t="s">
        <v>2118</v>
      </c>
      <c r="B896" s="25" t="s">
        <v>2120</v>
      </c>
      <c r="C896" s="26">
        <v>1</v>
      </c>
      <c r="D896" s="27" t="s">
        <v>201</v>
      </c>
      <c r="E896" s="26">
        <v>308</v>
      </c>
      <c r="F896" s="28" t="s">
        <v>202</v>
      </c>
      <c r="G896" s="26">
        <f>ROUND(C896*E896,0)</f>
        <v>308</v>
      </c>
      <c r="H896" t="s">
        <v>2119</v>
      </c>
    </row>
    <row r="897" spans="1:8" ht="60" x14ac:dyDescent="0.25">
      <c r="A897" s="21" t="s">
        <v>2121</v>
      </c>
      <c r="B897" s="25" t="s">
        <v>2123</v>
      </c>
      <c r="C897" s="26">
        <v>1</v>
      </c>
      <c r="D897" s="27" t="s">
        <v>201</v>
      </c>
      <c r="E897" s="26">
        <v>854.65</v>
      </c>
      <c r="F897" s="28" t="s">
        <v>202</v>
      </c>
      <c r="G897" s="26">
        <f>ROUND(C897*E897,0)</f>
        <v>855</v>
      </c>
      <c r="H897" t="s">
        <v>2122</v>
      </c>
    </row>
    <row r="898" spans="1:8" ht="60" x14ac:dyDescent="0.25">
      <c r="A898" s="21" t="s">
        <v>2124</v>
      </c>
      <c r="B898" s="25" t="s">
        <v>2126</v>
      </c>
      <c r="C898" s="26">
        <v>1</v>
      </c>
      <c r="D898" s="27" t="s">
        <v>201</v>
      </c>
      <c r="E898" s="26">
        <v>726.6</v>
      </c>
      <c r="F898" s="28" t="s">
        <v>202</v>
      </c>
      <c r="G898" s="26">
        <f>ROUND(C898*E898,0)</f>
        <v>727</v>
      </c>
      <c r="H898" t="s">
        <v>2125</v>
      </c>
    </row>
    <row r="899" spans="1:8" ht="45" x14ac:dyDescent="0.25">
      <c r="A899" s="21" t="s">
        <v>2127</v>
      </c>
      <c r="B899" s="25" t="s">
        <v>2129</v>
      </c>
      <c r="C899" s="26">
        <v>1</v>
      </c>
      <c r="D899" s="27" t="s">
        <v>201</v>
      </c>
      <c r="E899" s="26">
        <v>1183.3</v>
      </c>
      <c r="F899" s="28" t="s">
        <v>202</v>
      </c>
      <c r="G899" s="26">
        <f>ROUND(C899*E899,0)</f>
        <v>1183</v>
      </c>
      <c r="H899" t="s">
        <v>2128</v>
      </c>
    </row>
    <row r="900" spans="1:8" ht="60" x14ac:dyDescent="0.25">
      <c r="A900" s="21" t="s">
        <v>2130</v>
      </c>
      <c r="B900" s="25" t="s">
        <v>2132</v>
      </c>
      <c r="C900" s="26"/>
      <c r="D900" s="27"/>
      <c r="E900" s="26"/>
      <c r="F900" s="28"/>
      <c r="G900" s="26"/>
      <c r="H900" t="s">
        <v>2131</v>
      </c>
    </row>
    <row r="901" spans="1:8" x14ac:dyDescent="0.25">
      <c r="A901" s="21" t="s">
        <v>2133</v>
      </c>
      <c r="B901" s="25" t="s">
        <v>2135</v>
      </c>
      <c r="C901" s="26">
        <v>1</v>
      </c>
      <c r="D901" s="27" t="s">
        <v>201</v>
      </c>
      <c r="E901" s="26">
        <v>311.2</v>
      </c>
      <c r="F901" s="28" t="s">
        <v>202</v>
      </c>
      <c r="G901" s="26">
        <f>ROUND(C901*E901,0)</f>
        <v>311</v>
      </c>
      <c r="H901" t="s">
        <v>2134</v>
      </c>
    </row>
    <row r="902" spans="1:8" x14ac:dyDescent="0.25">
      <c r="A902" s="21" t="s">
        <v>2136</v>
      </c>
      <c r="B902" s="25" t="s">
        <v>2138</v>
      </c>
      <c r="C902" s="26">
        <v>1</v>
      </c>
      <c r="D902" s="27" t="s">
        <v>201</v>
      </c>
      <c r="E902" s="26">
        <v>356.75</v>
      </c>
      <c r="F902" s="28" t="s">
        <v>202</v>
      </c>
      <c r="G902" s="26">
        <f>ROUND(C902*E902,0)</f>
        <v>357</v>
      </c>
      <c r="H902" t="s">
        <v>2137</v>
      </c>
    </row>
    <row r="903" spans="1:8" x14ac:dyDescent="0.25">
      <c r="A903" s="21" t="s">
        <v>2139</v>
      </c>
      <c r="B903" s="25" t="s">
        <v>2141</v>
      </c>
      <c r="C903" s="26">
        <v>1</v>
      </c>
      <c r="D903" s="27" t="s">
        <v>201</v>
      </c>
      <c r="E903" s="26">
        <v>362.4</v>
      </c>
      <c r="F903" s="28" t="s">
        <v>202</v>
      </c>
      <c r="G903" s="26">
        <f>ROUND(C903*E903,0)</f>
        <v>362</v>
      </c>
      <c r="H903" t="s">
        <v>2140</v>
      </c>
    </row>
    <row r="904" spans="1:8" x14ac:dyDescent="0.25">
      <c r="A904" s="21" t="s">
        <v>2142</v>
      </c>
      <c r="B904" s="25" t="s">
        <v>2011</v>
      </c>
      <c r="C904" s="26">
        <v>1</v>
      </c>
      <c r="D904" s="27" t="s">
        <v>201</v>
      </c>
      <c r="E904" s="26">
        <v>386.6</v>
      </c>
      <c r="F904" s="28" t="s">
        <v>202</v>
      </c>
      <c r="G904" s="26">
        <f>ROUND(C904*E904,0)</f>
        <v>387</v>
      </c>
      <c r="H904" t="s">
        <v>2143</v>
      </c>
    </row>
    <row r="905" spans="1:8" ht="45" x14ac:dyDescent="0.25">
      <c r="A905" s="21" t="s">
        <v>2144</v>
      </c>
      <c r="B905" s="25" t="s">
        <v>2146</v>
      </c>
      <c r="C905" s="26">
        <v>1</v>
      </c>
      <c r="D905" s="27" t="s">
        <v>201</v>
      </c>
      <c r="E905" s="26">
        <v>74.25</v>
      </c>
      <c r="F905" s="28" t="s">
        <v>202</v>
      </c>
      <c r="G905" s="26">
        <f>ROUND(C905*E905,0)</f>
        <v>74</v>
      </c>
      <c r="H905" t="s">
        <v>2145</v>
      </c>
    </row>
    <row r="906" spans="1:8" ht="30" x14ac:dyDescent="0.25">
      <c r="A906" s="21" t="s">
        <v>2147</v>
      </c>
      <c r="B906" s="25" t="s">
        <v>2149</v>
      </c>
      <c r="C906" s="26"/>
      <c r="D906" s="27"/>
      <c r="E906" s="26"/>
      <c r="F906" s="28"/>
      <c r="G906" s="26"/>
      <c r="H906" t="s">
        <v>2148</v>
      </c>
    </row>
    <row r="907" spans="1:8" x14ac:dyDescent="0.25">
      <c r="A907" s="21" t="s">
        <v>2150</v>
      </c>
      <c r="B907" s="25" t="s">
        <v>1944</v>
      </c>
      <c r="C907" s="26">
        <v>1</v>
      </c>
      <c r="D907" s="27" t="s">
        <v>201</v>
      </c>
      <c r="E907" s="26">
        <v>256.64999999999998</v>
      </c>
      <c r="F907" s="28" t="s">
        <v>202</v>
      </c>
      <c r="G907" s="26">
        <f t="shared" ref="G907:G913" si="19">ROUND(C907*E907,0)</f>
        <v>257</v>
      </c>
      <c r="H907" t="s">
        <v>1943</v>
      </c>
    </row>
    <row r="908" spans="1:8" x14ac:dyDescent="0.25">
      <c r="A908" s="21" t="s">
        <v>2151</v>
      </c>
      <c r="B908" s="25" t="s">
        <v>1947</v>
      </c>
      <c r="C908" s="26">
        <v>1</v>
      </c>
      <c r="D908" s="27" t="s">
        <v>201</v>
      </c>
      <c r="E908" s="26">
        <v>234.7</v>
      </c>
      <c r="F908" s="28" t="s">
        <v>202</v>
      </c>
      <c r="G908" s="26">
        <f t="shared" si="19"/>
        <v>235</v>
      </c>
      <c r="H908" t="s">
        <v>1946</v>
      </c>
    </row>
    <row r="909" spans="1:8" x14ac:dyDescent="0.25">
      <c r="A909" s="21" t="s">
        <v>2152</v>
      </c>
      <c r="B909" s="25" t="s">
        <v>2011</v>
      </c>
      <c r="C909" s="26">
        <v>1</v>
      </c>
      <c r="D909" s="27" t="s">
        <v>201</v>
      </c>
      <c r="E909" s="26">
        <v>184.95</v>
      </c>
      <c r="F909" s="28" t="s">
        <v>202</v>
      </c>
      <c r="G909" s="26">
        <f t="shared" si="19"/>
        <v>185</v>
      </c>
      <c r="H909" t="s">
        <v>2143</v>
      </c>
    </row>
    <row r="910" spans="1:8" ht="45" x14ac:dyDescent="0.25">
      <c r="A910" s="21" t="s">
        <v>2153</v>
      </c>
      <c r="B910" s="25" t="s">
        <v>2155</v>
      </c>
      <c r="C910" s="26">
        <v>1</v>
      </c>
      <c r="D910" s="27" t="s">
        <v>201</v>
      </c>
      <c r="E910" s="26">
        <v>121.65</v>
      </c>
      <c r="F910" s="28" t="s">
        <v>202</v>
      </c>
      <c r="G910" s="26">
        <f t="shared" si="19"/>
        <v>122</v>
      </c>
      <c r="H910" t="s">
        <v>2154</v>
      </c>
    </row>
    <row r="911" spans="1:8" ht="90" x14ac:dyDescent="0.25">
      <c r="A911" s="21" t="s">
        <v>2156</v>
      </c>
      <c r="B911" s="25" t="s">
        <v>2158</v>
      </c>
      <c r="C911" s="26">
        <v>1</v>
      </c>
      <c r="D911" s="27" t="s">
        <v>201</v>
      </c>
      <c r="E911" s="26">
        <v>1124.8499999999999</v>
      </c>
      <c r="F911" s="28" t="s">
        <v>202</v>
      </c>
      <c r="G911" s="26">
        <f t="shared" si="19"/>
        <v>1125</v>
      </c>
      <c r="H911" t="s">
        <v>2157</v>
      </c>
    </row>
    <row r="912" spans="1:8" ht="105" x14ac:dyDescent="0.25">
      <c r="A912" s="21" t="s">
        <v>2159</v>
      </c>
      <c r="B912" s="25" t="s">
        <v>2161</v>
      </c>
      <c r="C912" s="26">
        <v>1</v>
      </c>
      <c r="D912" s="27" t="s">
        <v>201</v>
      </c>
      <c r="E912" s="26">
        <v>983.15</v>
      </c>
      <c r="F912" s="28" t="s">
        <v>202</v>
      </c>
      <c r="G912" s="26">
        <f t="shared" si="19"/>
        <v>983</v>
      </c>
      <c r="H912" t="s">
        <v>2160</v>
      </c>
    </row>
    <row r="913" spans="1:8" ht="45" x14ac:dyDescent="0.25">
      <c r="A913" s="21" t="s">
        <v>2162</v>
      </c>
      <c r="B913" s="25" t="s">
        <v>2164</v>
      </c>
      <c r="C913" s="26">
        <v>1</v>
      </c>
      <c r="D913" s="27" t="s">
        <v>201</v>
      </c>
      <c r="E913" s="26">
        <v>89</v>
      </c>
      <c r="F913" s="28" t="s">
        <v>202</v>
      </c>
      <c r="G913" s="26">
        <f t="shared" si="19"/>
        <v>89</v>
      </c>
      <c r="H913" t="s">
        <v>2163</v>
      </c>
    </row>
    <row r="914" spans="1:8" ht="45" x14ac:dyDescent="0.25">
      <c r="A914" s="21" t="s">
        <v>2165</v>
      </c>
      <c r="B914" s="25" t="s">
        <v>2167</v>
      </c>
      <c r="C914" s="26"/>
      <c r="D914" s="27"/>
      <c r="E914" s="26"/>
      <c r="F914" s="28"/>
      <c r="G914" s="26"/>
      <c r="H914" t="s">
        <v>2166</v>
      </c>
    </row>
    <row r="915" spans="1:8" x14ac:dyDescent="0.25">
      <c r="A915" s="21" t="s">
        <v>2168</v>
      </c>
      <c r="B915" s="25" t="s">
        <v>2170</v>
      </c>
      <c r="C915" s="26">
        <v>1</v>
      </c>
      <c r="D915" s="27" t="s">
        <v>201</v>
      </c>
      <c r="E915" s="26">
        <v>218.15</v>
      </c>
      <c r="F915" s="28" t="s">
        <v>202</v>
      </c>
      <c r="G915" s="26">
        <f>ROUND(C915*E915,0)</f>
        <v>218</v>
      </c>
      <c r="H915" t="s">
        <v>2169</v>
      </c>
    </row>
    <row r="916" spans="1:8" x14ac:dyDescent="0.25">
      <c r="A916" s="21" t="s">
        <v>2171</v>
      </c>
      <c r="B916" s="25" t="s">
        <v>2173</v>
      </c>
      <c r="C916" s="26">
        <v>1</v>
      </c>
      <c r="D916" s="27" t="s">
        <v>201</v>
      </c>
      <c r="E916" s="26">
        <v>175.8</v>
      </c>
      <c r="F916" s="28" t="s">
        <v>202</v>
      </c>
      <c r="G916" s="26">
        <f>ROUND(C916*E916,0)</f>
        <v>176</v>
      </c>
      <c r="H916" t="s">
        <v>2172</v>
      </c>
    </row>
    <row r="917" spans="1:8" x14ac:dyDescent="0.25">
      <c r="A917" s="21" t="s">
        <v>2174</v>
      </c>
      <c r="B917" s="25" t="s">
        <v>2176</v>
      </c>
      <c r="C917" s="26">
        <v>1</v>
      </c>
      <c r="D917" s="27" t="s">
        <v>201</v>
      </c>
      <c r="E917" s="26">
        <v>167.25</v>
      </c>
      <c r="F917" s="28" t="s">
        <v>202</v>
      </c>
      <c r="G917" s="26">
        <f>ROUND(C917*E917,0)</f>
        <v>167</v>
      </c>
      <c r="H917" t="s">
        <v>2175</v>
      </c>
    </row>
    <row r="918" spans="1:8" ht="45" x14ac:dyDescent="0.25">
      <c r="A918" s="21" t="s">
        <v>2177</v>
      </c>
      <c r="B918" s="25" t="s">
        <v>2179</v>
      </c>
      <c r="C918" s="26"/>
      <c r="D918" s="27"/>
      <c r="E918" s="26"/>
      <c r="F918" s="28"/>
      <c r="G918" s="26"/>
      <c r="H918" t="s">
        <v>2178</v>
      </c>
    </row>
    <row r="919" spans="1:8" x14ac:dyDescent="0.25">
      <c r="A919" s="21" t="s">
        <v>2180</v>
      </c>
      <c r="B919" s="25" t="s">
        <v>1941</v>
      </c>
      <c r="C919" s="26">
        <v>1</v>
      </c>
      <c r="D919" s="27" t="s">
        <v>201</v>
      </c>
      <c r="E919" s="26">
        <v>139.1</v>
      </c>
      <c r="F919" s="28" t="s">
        <v>202</v>
      </c>
      <c r="G919" s="26">
        <f>ROUND(C919*E919,0)</f>
        <v>139</v>
      </c>
      <c r="H919" t="s">
        <v>1940</v>
      </c>
    </row>
    <row r="920" spans="1:8" x14ac:dyDescent="0.25">
      <c r="A920" s="21" t="s">
        <v>2181</v>
      </c>
      <c r="B920" s="25" t="s">
        <v>2019</v>
      </c>
      <c r="C920" s="26">
        <v>1</v>
      </c>
      <c r="D920" s="27" t="s">
        <v>201</v>
      </c>
      <c r="E920" s="26">
        <v>126</v>
      </c>
      <c r="F920" s="28" t="s">
        <v>202</v>
      </c>
      <c r="G920" s="26">
        <f>ROUND(C920*E920,0)</f>
        <v>126</v>
      </c>
      <c r="H920" t="s">
        <v>2182</v>
      </c>
    </row>
    <row r="921" spans="1:8" x14ac:dyDescent="0.25">
      <c r="A921" s="21" t="s">
        <v>2183</v>
      </c>
      <c r="B921" s="25" t="s">
        <v>2022</v>
      </c>
      <c r="C921" s="26">
        <v>1</v>
      </c>
      <c r="D921" s="27" t="s">
        <v>201</v>
      </c>
      <c r="E921" s="26">
        <v>111.05</v>
      </c>
      <c r="F921" s="28" t="s">
        <v>202</v>
      </c>
      <c r="G921" s="26">
        <f>ROUND(C921*E921,0)</f>
        <v>111</v>
      </c>
      <c r="H921" t="s">
        <v>2021</v>
      </c>
    </row>
    <row r="922" spans="1:8" ht="60" x14ac:dyDescent="0.25">
      <c r="A922" s="21" t="s">
        <v>2184</v>
      </c>
      <c r="B922" s="25" t="s">
        <v>2186</v>
      </c>
      <c r="C922" s="26">
        <v>1</v>
      </c>
      <c r="D922" s="27" t="s">
        <v>201</v>
      </c>
      <c r="E922" s="26">
        <v>998.35</v>
      </c>
      <c r="F922" s="28" t="s">
        <v>202</v>
      </c>
      <c r="G922" s="26">
        <f>ROUND(C922*E922,0)</f>
        <v>998</v>
      </c>
      <c r="H922" t="s">
        <v>2185</v>
      </c>
    </row>
    <row r="923" spans="1:8" ht="45" x14ac:dyDescent="0.25">
      <c r="A923" s="21" t="s">
        <v>2187</v>
      </c>
      <c r="B923" s="25" t="s">
        <v>2189</v>
      </c>
      <c r="C923" s="26">
        <v>1</v>
      </c>
      <c r="D923" s="27" t="s">
        <v>201</v>
      </c>
      <c r="E923" s="26">
        <v>952.8</v>
      </c>
      <c r="F923" s="28" t="s">
        <v>202</v>
      </c>
      <c r="G923" s="26">
        <f>ROUND(C923*E923,0)</f>
        <v>953</v>
      </c>
      <c r="H923" t="s">
        <v>2188</v>
      </c>
    </row>
    <row r="924" spans="1:8" ht="60" x14ac:dyDescent="0.25">
      <c r="A924" s="21" t="s">
        <v>2190</v>
      </c>
      <c r="B924" s="25" t="s">
        <v>2192</v>
      </c>
      <c r="C924" s="26"/>
      <c r="D924" s="27"/>
      <c r="E924" s="26"/>
      <c r="F924" s="28"/>
      <c r="G924" s="26"/>
      <c r="H924" t="s">
        <v>2191</v>
      </c>
    </row>
    <row r="925" spans="1:8" x14ac:dyDescent="0.25">
      <c r="A925" s="21" t="s">
        <v>2193</v>
      </c>
      <c r="B925" s="25" t="s">
        <v>2195</v>
      </c>
      <c r="C925" s="26">
        <v>1</v>
      </c>
      <c r="D925" s="27" t="s">
        <v>201</v>
      </c>
      <c r="E925" s="26">
        <v>319.75</v>
      </c>
      <c r="F925" s="28" t="s">
        <v>202</v>
      </c>
      <c r="G925" s="26">
        <f>ROUND(C925*E925,0)</f>
        <v>320</v>
      </c>
      <c r="H925" t="s">
        <v>2194</v>
      </c>
    </row>
    <row r="926" spans="1:8" x14ac:dyDescent="0.25">
      <c r="A926" s="21" t="s">
        <v>2196</v>
      </c>
      <c r="B926" s="25" t="s">
        <v>2198</v>
      </c>
      <c r="C926" s="26">
        <v>1</v>
      </c>
      <c r="D926" s="27" t="s">
        <v>201</v>
      </c>
      <c r="E926" s="26">
        <v>333.95</v>
      </c>
      <c r="F926" s="28" t="s">
        <v>202</v>
      </c>
      <c r="G926" s="26">
        <f>ROUND(C926*E926,0)</f>
        <v>334</v>
      </c>
      <c r="H926" t="s">
        <v>2197</v>
      </c>
    </row>
    <row r="927" spans="1:8" x14ac:dyDescent="0.25">
      <c r="A927" s="21" t="s">
        <v>2199</v>
      </c>
      <c r="B927" s="25" t="s">
        <v>2201</v>
      </c>
      <c r="C927" s="26">
        <v>1</v>
      </c>
      <c r="D927" s="27" t="s">
        <v>201</v>
      </c>
      <c r="E927" s="26">
        <v>372.4</v>
      </c>
      <c r="F927" s="28" t="s">
        <v>202</v>
      </c>
      <c r="G927" s="26">
        <f>ROUND(C927*E927,0)</f>
        <v>372</v>
      </c>
      <c r="H927" t="s">
        <v>2200</v>
      </c>
    </row>
    <row r="928" spans="1:8" x14ac:dyDescent="0.25">
      <c r="A928" s="21" t="s">
        <v>2202</v>
      </c>
      <c r="B928" s="25" t="s">
        <v>2204</v>
      </c>
      <c r="C928" s="26">
        <v>1</v>
      </c>
      <c r="D928" s="27" t="s">
        <v>201</v>
      </c>
      <c r="E928" s="26">
        <v>409.35</v>
      </c>
      <c r="F928" s="28" t="s">
        <v>202</v>
      </c>
      <c r="G928" s="26">
        <f>ROUND(C928*E928,0)</f>
        <v>409</v>
      </c>
      <c r="H928" t="s">
        <v>2203</v>
      </c>
    </row>
    <row r="929" spans="1:8" ht="45" x14ac:dyDescent="0.25">
      <c r="A929" s="21" t="s">
        <v>2205</v>
      </c>
      <c r="B929" s="25" t="s">
        <v>2207</v>
      </c>
      <c r="C929" s="26">
        <v>1</v>
      </c>
      <c r="D929" s="27" t="s">
        <v>201</v>
      </c>
      <c r="E929" s="26">
        <v>151.05000000000001</v>
      </c>
      <c r="F929" s="28" t="s">
        <v>202</v>
      </c>
      <c r="G929" s="26">
        <f>ROUND(C929*E929,0)</f>
        <v>151</v>
      </c>
      <c r="H929" t="s">
        <v>2206</v>
      </c>
    </row>
    <row r="930" spans="1:8" ht="30" x14ac:dyDescent="0.25">
      <c r="A930" s="21" t="s">
        <v>2208</v>
      </c>
      <c r="B930" s="25" t="s">
        <v>2210</v>
      </c>
      <c r="C930" s="26"/>
      <c r="D930" s="27"/>
      <c r="E930" s="26"/>
      <c r="F930" s="28"/>
      <c r="G930" s="26"/>
      <c r="H930" t="s">
        <v>2209</v>
      </c>
    </row>
    <row r="931" spans="1:8" x14ac:dyDescent="0.25">
      <c r="A931" s="21" t="s">
        <v>2211</v>
      </c>
      <c r="B931" s="25" t="s">
        <v>1944</v>
      </c>
      <c r="C931" s="26">
        <v>1</v>
      </c>
      <c r="D931" s="27" t="s">
        <v>201</v>
      </c>
      <c r="E931" s="26">
        <v>231.05</v>
      </c>
      <c r="F931" s="28" t="s">
        <v>202</v>
      </c>
      <c r="G931" s="26">
        <f>ROUND(C931*E931,0)</f>
        <v>231</v>
      </c>
      <c r="H931" t="s">
        <v>1943</v>
      </c>
    </row>
    <row r="932" spans="1:8" x14ac:dyDescent="0.25">
      <c r="A932" s="21" t="s">
        <v>2212</v>
      </c>
      <c r="B932" s="25" t="s">
        <v>1947</v>
      </c>
      <c r="C932" s="26">
        <v>1</v>
      </c>
      <c r="D932" s="27" t="s">
        <v>201</v>
      </c>
      <c r="E932" s="26">
        <v>206.25</v>
      </c>
      <c r="F932" s="28" t="s">
        <v>202</v>
      </c>
      <c r="G932" s="26">
        <f>ROUND(C932*E932,0)</f>
        <v>206</v>
      </c>
      <c r="H932" t="s">
        <v>1946</v>
      </c>
    </row>
    <row r="933" spans="1:8" x14ac:dyDescent="0.25">
      <c r="A933" s="21" t="s">
        <v>2213</v>
      </c>
      <c r="B933" s="25" t="s">
        <v>2011</v>
      </c>
      <c r="C933" s="26">
        <v>1</v>
      </c>
      <c r="D933" s="27" t="s">
        <v>201</v>
      </c>
      <c r="E933" s="26">
        <v>176.4</v>
      </c>
      <c r="F933" s="28" t="s">
        <v>202</v>
      </c>
      <c r="G933" s="26">
        <f>ROUND(C933*E933,0)</f>
        <v>176</v>
      </c>
      <c r="H933" t="s">
        <v>2143</v>
      </c>
    </row>
    <row r="934" spans="1:8" ht="45" x14ac:dyDescent="0.25">
      <c r="A934" s="21" t="s">
        <v>2214</v>
      </c>
      <c r="B934" s="25" t="s">
        <v>2216</v>
      </c>
      <c r="C934" s="26">
        <v>1</v>
      </c>
      <c r="D934" s="27" t="s">
        <v>201</v>
      </c>
      <c r="E934" s="26">
        <v>155.44999999999999</v>
      </c>
      <c r="F934" s="28" t="s">
        <v>202</v>
      </c>
      <c r="G934" s="26">
        <f>ROUND(C934*E934,0)</f>
        <v>155</v>
      </c>
      <c r="H934" t="s">
        <v>2215</v>
      </c>
    </row>
    <row r="935" spans="1:8" ht="45" x14ac:dyDescent="0.25">
      <c r="A935" s="21" t="s">
        <v>2217</v>
      </c>
      <c r="B935" s="25" t="s">
        <v>2219</v>
      </c>
      <c r="C935" s="26"/>
      <c r="D935" s="27"/>
      <c r="E935" s="26"/>
      <c r="F935" s="28"/>
      <c r="G935" s="26"/>
      <c r="H935" t="s">
        <v>2218</v>
      </c>
    </row>
    <row r="936" spans="1:8" x14ac:dyDescent="0.25">
      <c r="A936" s="21" t="s">
        <v>2220</v>
      </c>
      <c r="B936" s="25" t="s">
        <v>2170</v>
      </c>
      <c r="C936" s="26">
        <v>1</v>
      </c>
      <c r="D936" s="27" t="s">
        <v>201</v>
      </c>
      <c r="E936" s="26">
        <v>215.2</v>
      </c>
      <c r="F936" s="28" t="s">
        <v>202</v>
      </c>
      <c r="G936" s="26">
        <f>ROUND(C936*E936,0)</f>
        <v>215</v>
      </c>
      <c r="H936" t="s">
        <v>2169</v>
      </c>
    </row>
    <row r="937" spans="1:8" x14ac:dyDescent="0.25">
      <c r="A937" s="21" t="s">
        <v>2221</v>
      </c>
      <c r="B937" s="25" t="s">
        <v>2173</v>
      </c>
      <c r="C937" s="26">
        <v>1</v>
      </c>
      <c r="D937" s="27" t="s">
        <v>201</v>
      </c>
      <c r="E937" s="26">
        <v>191</v>
      </c>
      <c r="F937" s="28" t="s">
        <v>202</v>
      </c>
      <c r="G937" s="26">
        <f>ROUND(C937*E937,0)</f>
        <v>191</v>
      </c>
      <c r="H937" t="s">
        <v>2172</v>
      </c>
    </row>
    <row r="938" spans="1:8" x14ac:dyDescent="0.25">
      <c r="A938" s="21" t="s">
        <v>2222</v>
      </c>
      <c r="B938" s="25" t="s">
        <v>2176</v>
      </c>
      <c r="C938" s="26">
        <v>1</v>
      </c>
      <c r="D938" s="27" t="s">
        <v>201</v>
      </c>
      <c r="E938" s="26">
        <v>166.8</v>
      </c>
      <c r="F938" s="28" t="s">
        <v>202</v>
      </c>
      <c r="G938" s="26">
        <f>ROUND(C938*E938,0)</f>
        <v>167</v>
      </c>
      <c r="H938" t="s">
        <v>2175</v>
      </c>
    </row>
    <row r="939" spans="1:8" ht="75" x14ac:dyDescent="0.25">
      <c r="A939" s="21" t="s">
        <v>2223</v>
      </c>
      <c r="B939" s="25" t="s">
        <v>2225</v>
      </c>
      <c r="C939" s="26"/>
      <c r="D939" s="27"/>
      <c r="E939" s="26"/>
      <c r="F939" s="28"/>
      <c r="G939" s="26"/>
      <c r="H939" t="s">
        <v>2224</v>
      </c>
    </row>
    <row r="940" spans="1:8" x14ac:dyDescent="0.25">
      <c r="A940" s="21" t="s">
        <v>2226</v>
      </c>
      <c r="B940" s="25" t="s">
        <v>2228</v>
      </c>
      <c r="C940" s="26">
        <v>1</v>
      </c>
      <c r="D940" s="27" t="s">
        <v>201</v>
      </c>
      <c r="E940" s="26">
        <v>150.1</v>
      </c>
      <c r="F940" s="28" t="s">
        <v>202</v>
      </c>
      <c r="G940" s="26">
        <f t="shared" ref="G940:G946" si="20">ROUND(C940*E940,0)</f>
        <v>150</v>
      </c>
      <c r="H940" t="s">
        <v>2227</v>
      </c>
    </row>
    <row r="941" spans="1:8" x14ac:dyDescent="0.25">
      <c r="A941" s="21" t="s">
        <v>2229</v>
      </c>
      <c r="B941" s="25" t="s">
        <v>2231</v>
      </c>
      <c r="C941" s="26">
        <v>1</v>
      </c>
      <c r="D941" s="27" t="s">
        <v>201</v>
      </c>
      <c r="E941" s="26">
        <v>126.65</v>
      </c>
      <c r="F941" s="28" t="s">
        <v>202</v>
      </c>
      <c r="G941" s="26">
        <f t="shared" si="20"/>
        <v>127</v>
      </c>
      <c r="H941" t="s">
        <v>2230</v>
      </c>
    </row>
    <row r="942" spans="1:8" x14ac:dyDescent="0.25">
      <c r="A942" s="21" t="s">
        <v>2232</v>
      </c>
      <c r="B942" s="25" t="s">
        <v>2234</v>
      </c>
      <c r="C942" s="26">
        <v>1</v>
      </c>
      <c r="D942" s="27" t="s">
        <v>201</v>
      </c>
      <c r="E942" s="26">
        <v>115.4</v>
      </c>
      <c r="F942" s="28" t="s">
        <v>202</v>
      </c>
      <c r="G942" s="26">
        <f t="shared" si="20"/>
        <v>115</v>
      </c>
      <c r="H942" t="s">
        <v>2233</v>
      </c>
    </row>
    <row r="943" spans="1:8" x14ac:dyDescent="0.25">
      <c r="A943" s="21" t="s">
        <v>2235</v>
      </c>
      <c r="B943" s="25" t="s">
        <v>2237</v>
      </c>
      <c r="C943" s="26">
        <v>1</v>
      </c>
      <c r="D943" s="27" t="s">
        <v>201</v>
      </c>
      <c r="E943" s="26">
        <v>104.75</v>
      </c>
      <c r="F943" s="28" t="s">
        <v>202</v>
      </c>
      <c r="G943" s="26">
        <f t="shared" si="20"/>
        <v>105</v>
      </c>
      <c r="H943" t="s">
        <v>2236</v>
      </c>
    </row>
    <row r="944" spans="1:8" x14ac:dyDescent="0.25">
      <c r="A944" s="21" t="s">
        <v>2238</v>
      </c>
      <c r="B944" s="25" t="s">
        <v>2240</v>
      </c>
      <c r="C944" s="26">
        <v>1</v>
      </c>
      <c r="D944" s="27" t="s">
        <v>201</v>
      </c>
      <c r="E944" s="26">
        <v>96.9</v>
      </c>
      <c r="F944" s="28" t="s">
        <v>202</v>
      </c>
      <c r="G944" s="26">
        <f t="shared" si="20"/>
        <v>97</v>
      </c>
      <c r="H944" t="s">
        <v>2239</v>
      </c>
    </row>
    <row r="945" spans="1:8" x14ac:dyDescent="0.25">
      <c r="A945" s="21" t="s">
        <v>2241</v>
      </c>
      <c r="B945" s="25" t="s">
        <v>2243</v>
      </c>
      <c r="C945" s="26">
        <v>1</v>
      </c>
      <c r="D945" s="27" t="s">
        <v>201</v>
      </c>
      <c r="E945" s="26">
        <v>87.9</v>
      </c>
      <c r="F945" s="28" t="s">
        <v>202</v>
      </c>
      <c r="G945" s="26">
        <f t="shared" si="20"/>
        <v>88</v>
      </c>
      <c r="H945" t="s">
        <v>2242</v>
      </c>
    </row>
    <row r="946" spans="1:8" x14ac:dyDescent="0.25">
      <c r="A946" s="21" t="s">
        <v>2244</v>
      </c>
      <c r="B946" s="25" t="s">
        <v>2246</v>
      </c>
      <c r="C946" s="26">
        <v>1</v>
      </c>
      <c r="D946" s="27" t="s">
        <v>201</v>
      </c>
      <c r="E946" s="26">
        <v>81.5</v>
      </c>
      <c r="F946" s="28" t="s">
        <v>202</v>
      </c>
      <c r="G946" s="26">
        <f t="shared" si="20"/>
        <v>82</v>
      </c>
      <c r="H946" t="s">
        <v>2245</v>
      </c>
    </row>
    <row r="947" spans="1:8" x14ac:dyDescent="0.25">
      <c r="A947" s="21" t="s">
        <v>2247</v>
      </c>
      <c r="B947" s="25" t="s">
        <v>2249</v>
      </c>
      <c r="C947" s="26"/>
      <c r="D947" s="27"/>
      <c r="E947" s="26"/>
      <c r="F947" s="28"/>
      <c r="G947" s="26"/>
      <c r="H947" t="s">
        <v>2248</v>
      </c>
    </row>
    <row r="948" spans="1:8" ht="45" x14ac:dyDescent="0.25">
      <c r="A948" s="21"/>
      <c r="B948" s="25" t="s">
        <v>2250</v>
      </c>
      <c r="C948" s="26">
        <v>1</v>
      </c>
      <c r="D948" s="27" t="s">
        <v>201</v>
      </c>
      <c r="E948" s="26">
        <v>76.5</v>
      </c>
      <c r="F948" s="28" t="s">
        <v>202</v>
      </c>
      <c r="G948" s="26">
        <f>ROUND(C948*E948,0)</f>
        <v>77</v>
      </c>
    </row>
    <row r="949" spans="1:8" ht="75" x14ac:dyDescent="0.25">
      <c r="A949" s="21" t="s">
        <v>2251</v>
      </c>
      <c r="B949" s="25" t="s">
        <v>2253</v>
      </c>
      <c r="C949" s="26"/>
      <c r="D949" s="27"/>
      <c r="E949" s="26"/>
      <c r="F949" s="28"/>
      <c r="G949" s="26"/>
      <c r="H949" t="s">
        <v>2252</v>
      </c>
    </row>
    <row r="950" spans="1:8" x14ac:dyDescent="0.25">
      <c r="A950" s="21" t="s">
        <v>2254</v>
      </c>
      <c r="B950" s="25" t="s">
        <v>1971</v>
      </c>
      <c r="C950" s="26">
        <v>1</v>
      </c>
      <c r="D950" s="27" t="s">
        <v>201</v>
      </c>
      <c r="E950" s="26">
        <v>303.25</v>
      </c>
      <c r="F950" s="28" t="s">
        <v>202</v>
      </c>
      <c r="G950" s="26">
        <f>ROUND(C950*E950,0)</f>
        <v>303</v>
      </c>
      <c r="H950" t="s">
        <v>1970</v>
      </c>
    </row>
    <row r="951" spans="1:8" x14ac:dyDescent="0.25">
      <c r="A951" s="21" t="s">
        <v>2255</v>
      </c>
      <c r="B951" s="25" t="s">
        <v>1974</v>
      </c>
      <c r="C951" s="26">
        <v>1</v>
      </c>
      <c r="D951" s="27" t="s">
        <v>201</v>
      </c>
      <c r="E951" s="26">
        <v>260.60000000000002</v>
      </c>
      <c r="F951" s="28" t="s">
        <v>202</v>
      </c>
      <c r="G951" s="26">
        <f>ROUND(C951*E951,0)</f>
        <v>261</v>
      </c>
      <c r="H951" t="s">
        <v>1973</v>
      </c>
    </row>
    <row r="952" spans="1:8" ht="75" x14ac:dyDescent="0.25">
      <c r="A952" s="21" t="s">
        <v>2256</v>
      </c>
      <c r="B952" s="25" t="s">
        <v>2258</v>
      </c>
      <c r="C952" s="26"/>
      <c r="D952" s="27"/>
      <c r="E952" s="26"/>
      <c r="F952" s="28"/>
      <c r="G952" s="26"/>
      <c r="H952" t="s">
        <v>2257</v>
      </c>
    </row>
    <row r="953" spans="1:8" x14ac:dyDescent="0.25">
      <c r="A953" s="21" t="s">
        <v>2259</v>
      </c>
      <c r="B953" s="25" t="s">
        <v>2261</v>
      </c>
      <c r="C953" s="26">
        <v>1</v>
      </c>
      <c r="D953" s="27" t="s">
        <v>201</v>
      </c>
      <c r="E953" s="26">
        <v>130.1</v>
      </c>
      <c r="F953" s="28" t="s">
        <v>202</v>
      </c>
      <c r="G953" s="26">
        <f t="shared" ref="G953:G959" si="21">ROUND(C953*E953,0)</f>
        <v>130</v>
      </c>
      <c r="H953" t="s">
        <v>2260</v>
      </c>
    </row>
    <row r="954" spans="1:8" x14ac:dyDescent="0.25">
      <c r="A954" s="21" t="s">
        <v>2262</v>
      </c>
      <c r="B954" s="25" t="s">
        <v>1980</v>
      </c>
      <c r="C954" s="26">
        <v>1</v>
      </c>
      <c r="D954" s="27" t="s">
        <v>201</v>
      </c>
      <c r="E954" s="26">
        <v>115.15</v>
      </c>
      <c r="F954" s="28" t="s">
        <v>202</v>
      </c>
      <c r="G954" s="26">
        <f t="shared" si="21"/>
        <v>115</v>
      </c>
      <c r="H954" t="s">
        <v>1979</v>
      </c>
    </row>
    <row r="955" spans="1:8" x14ac:dyDescent="0.25">
      <c r="A955" s="21" t="s">
        <v>2263</v>
      </c>
      <c r="B955" s="25" t="s">
        <v>1983</v>
      </c>
      <c r="C955" s="26">
        <v>1</v>
      </c>
      <c r="D955" s="27" t="s">
        <v>201</v>
      </c>
      <c r="E955" s="26">
        <v>99.7</v>
      </c>
      <c r="F955" s="28" t="s">
        <v>202</v>
      </c>
      <c r="G955" s="26">
        <f t="shared" si="21"/>
        <v>100</v>
      </c>
      <c r="H955" t="s">
        <v>1982</v>
      </c>
    </row>
    <row r="956" spans="1:8" x14ac:dyDescent="0.25">
      <c r="A956" s="21" t="s">
        <v>2264</v>
      </c>
      <c r="B956" s="25" t="s">
        <v>1986</v>
      </c>
      <c r="C956" s="26">
        <v>1</v>
      </c>
      <c r="D956" s="27" t="s">
        <v>201</v>
      </c>
      <c r="E956" s="26">
        <v>82.55</v>
      </c>
      <c r="F956" s="28" t="s">
        <v>202</v>
      </c>
      <c r="G956" s="26">
        <f t="shared" si="21"/>
        <v>83</v>
      </c>
      <c r="H956" t="s">
        <v>1985</v>
      </c>
    </row>
    <row r="957" spans="1:8" x14ac:dyDescent="0.25">
      <c r="A957" s="21" t="s">
        <v>2265</v>
      </c>
      <c r="B957" s="25" t="s">
        <v>1989</v>
      </c>
      <c r="C957" s="26">
        <v>1</v>
      </c>
      <c r="D957" s="27" t="s">
        <v>201</v>
      </c>
      <c r="E957" s="26">
        <v>64.7</v>
      </c>
      <c r="F957" s="28" t="s">
        <v>202</v>
      </c>
      <c r="G957" s="26">
        <f t="shared" si="21"/>
        <v>65</v>
      </c>
      <c r="H957" t="s">
        <v>1988</v>
      </c>
    </row>
    <row r="958" spans="1:8" ht="75" x14ac:dyDescent="0.25">
      <c r="A958" s="21" t="s">
        <v>2266</v>
      </c>
      <c r="B958" s="25" t="s">
        <v>2268</v>
      </c>
      <c r="C958" s="26">
        <v>1</v>
      </c>
      <c r="D958" s="27" t="s">
        <v>201</v>
      </c>
      <c r="E958" s="26">
        <v>100.8</v>
      </c>
      <c r="F958" s="28" t="s">
        <v>202</v>
      </c>
      <c r="G958" s="26">
        <f t="shared" si="21"/>
        <v>101</v>
      </c>
      <c r="H958" t="s">
        <v>2267</v>
      </c>
    </row>
    <row r="959" spans="1:8" ht="75" x14ac:dyDescent="0.25">
      <c r="A959" s="21" t="s">
        <v>2269</v>
      </c>
      <c r="B959" s="25" t="s">
        <v>2271</v>
      </c>
      <c r="C959" s="26">
        <v>1</v>
      </c>
      <c r="D959" s="27" t="s">
        <v>201</v>
      </c>
      <c r="E959" s="26">
        <v>239.4</v>
      </c>
      <c r="F959" s="28" t="s">
        <v>202</v>
      </c>
      <c r="G959" s="26">
        <f t="shared" si="21"/>
        <v>239</v>
      </c>
      <c r="H959" t="s">
        <v>2270</v>
      </c>
    </row>
    <row r="960" spans="1:8" ht="75" x14ac:dyDescent="0.25">
      <c r="A960" s="21" t="s">
        <v>2272</v>
      </c>
      <c r="B960" s="25" t="s">
        <v>2274</v>
      </c>
      <c r="C960" s="26"/>
      <c r="D960" s="27"/>
      <c r="E960" s="26"/>
      <c r="F960" s="28"/>
      <c r="G960" s="26"/>
      <c r="H960" t="s">
        <v>2273</v>
      </c>
    </row>
    <row r="961" spans="1:8" x14ac:dyDescent="0.25">
      <c r="A961" s="21" t="s">
        <v>2275</v>
      </c>
      <c r="B961" s="25" t="s">
        <v>1944</v>
      </c>
      <c r="C961" s="26">
        <v>1</v>
      </c>
      <c r="D961" s="27" t="s">
        <v>201</v>
      </c>
      <c r="E961" s="26">
        <v>66.25</v>
      </c>
      <c r="F961" s="28" t="s">
        <v>202</v>
      </c>
      <c r="G961" s="26">
        <f>ROUND(C961*E961,0)</f>
        <v>66</v>
      </c>
      <c r="H961" t="s">
        <v>2006</v>
      </c>
    </row>
    <row r="962" spans="1:8" x14ac:dyDescent="0.25">
      <c r="A962" s="21" t="s">
        <v>2276</v>
      </c>
      <c r="B962" s="25" t="s">
        <v>1947</v>
      </c>
      <c r="C962" s="26">
        <v>1</v>
      </c>
      <c r="D962" s="27" t="s">
        <v>201</v>
      </c>
      <c r="E962" s="26">
        <v>59.55</v>
      </c>
      <c r="F962" s="28" t="s">
        <v>202</v>
      </c>
      <c r="G962" s="26">
        <f>ROUND(C962*E962,0)</f>
        <v>60</v>
      </c>
      <c r="H962" t="s">
        <v>2008</v>
      </c>
    </row>
    <row r="963" spans="1:8" x14ac:dyDescent="0.25">
      <c r="A963" s="21" t="s">
        <v>2277</v>
      </c>
      <c r="B963" s="25" t="s">
        <v>2011</v>
      </c>
      <c r="C963" s="26">
        <v>1</v>
      </c>
      <c r="D963" s="27" t="s">
        <v>201</v>
      </c>
      <c r="E963" s="26">
        <v>51.75</v>
      </c>
      <c r="F963" s="28" t="s">
        <v>202</v>
      </c>
      <c r="G963" s="26">
        <f>ROUND(C963*E963,0)</f>
        <v>52</v>
      </c>
      <c r="H963" t="s">
        <v>2010</v>
      </c>
    </row>
    <row r="964" spans="1:8" ht="75" x14ac:dyDescent="0.25">
      <c r="A964" s="21" t="s">
        <v>2278</v>
      </c>
      <c r="B964" s="25" t="s">
        <v>2280</v>
      </c>
      <c r="C964" s="26"/>
      <c r="D964" s="27"/>
      <c r="E964" s="26"/>
      <c r="F964" s="28"/>
      <c r="G964" s="26"/>
      <c r="H964" t="s">
        <v>2279</v>
      </c>
    </row>
    <row r="965" spans="1:8" x14ac:dyDescent="0.25">
      <c r="A965" s="21" t="s">
        <v>2281</v>
      </c>
      <c r="B965" s="25" t="s">
        <v>2283</v>
      </c>
      <c r="C965" s="26">
        <v>1</v>
      </c>
      <c r="D965" s="27" t="s">
        <v>201</v>
      </c>
      <c r="E965" s="26">
        <v>39.6</v>
      </c>
      <c r="F965" s="28" t="s">
        <v>202</v>
      </c>
      <c r="G965" s="26">
        <f>ROUND(C965*E965,0)</f>
        <v>40</v>
      </c>
      <c r="H965" t="s">
        <v>2282</v>
      </c>
    </row>
    <row r="966" spans="1:8" x14ac:dyDescent="0.25">
      <c r="A966" s="21" t="s">
        <v>2284</v>
      </c>
      <c r="B966" s="25" t="s">
        <v>2286</v>
      </c>
      <c r="C966" s="26">
        <v>1</v>
      </c>
      <c r="D966" s="27" t="s">
        <v>201</v>
      </c>
      <c r="E966" s="26">
        <v>72.349999999999994</v>
      </c>
      <c r="F966" s="28" t="s">
        <v>202</v>
      </c>
      <c r="G966" s="26">
        <f>ROUND(C966*E966,0)</f>
        <v>72</v>
      </c>
      <c r="H966" t="s">
        <v>2285</v>
      </c>
    </row>
    <row r="967" spans="1:8" ht="75" x14ac:dyDescent="0.25">
      <c r="A967" s="21" t="s">
        <v>2287</v>
      </c>
      <c r="B967" s="25" t="s">
        <v>2289</v>
      </c>
      <c r="C967" s="26">
        <v>1</v>
      </c>
      <c r="D967" s="27" t="s">
        <v>201</v>
      </c>
      <c r="E967" s="26">
        <v>71.5</v>
      </c>
      <c r="F967" s="28" t="s">
        <v>202</v>
      </c>
      <c r="G967" s="26">
        <f>ROUND(C967*E967,0)</f>
        <v>72</v>
      </c>
      <c r="H967" t="s">
        <v>2288</v>
      </c>
    </row>
    <row r="968" spans="1:8" ht="90" x14ac:dyDescent="0.25">
      <c r="A968" s="21" t="s">
        <v>2290</v>
      </c>
      <c r="B968" s="25" t="s">
        <v>2292</v>
      </c>
      <c r="C968" s="26">
        <v>1</v>
      </c>
      <c r="D968" s="27" t="s">
        <v>201</v>
      </c>
      <c r="E968" s="26">
        <v>868.95</v>
      </c>
      <c r="F968" s="28" t="s">
        <v>202</v>
      </c>
      <c r="G968" s="26">
        <f>ROUND(C968*E968,0)</f>
        <v>869</v>
      </c>
      <c r="H968" t="s">
        <v>2291</v>
      </c>
    </row>
    <row r="969" spans="1:8" ht="45" x14ac:dyDescent="0.25">
      <c r="A969" s="21" t="s">
        <v>2293</v>
      </c>
      <c r="B969" s="25" t="s">
        <v>2295</v>
      </c>
      <c r="C969" s="26">
        <v>1</v>
      </c>
      <c r="D969" s="27" t="s">
        <v>110</v>
      </c>
      <c r="E969" s="26">
        <v>160.35</v>
      </c>
      <c r="F969" s="28" t="s">
        <v>68</v>
      </c>
      <c r="G969" s="26">
        <f>ROUND(C969*E969,0)</f>
        <v>160</v>
      </c>
      <c r="H969" t="s">
        <v>2294</v>
      </c>
    </row>
    <row r="970" spans="1:8" ht="409.5" x14ac:dyDescent="0.25">
      <c r="A970" s="21" t="s">
        <v>2296</v>
      </c>
      <c r="B970" s="25" t="s">
        <v>2298</v>
      </c>
      <c r="C970" s="26"/>
      <c r="D970" s="27"/>
      <c r="E970" s="26"/>
      <c r="F970" s="28"/>
      <c r="G970" s="26"/>
      <c r="H970" t="s">
        <v>2297</v>
      </c>
    </row>
    <row r="971" spans="1:8" ht="60" x14ac:dyDescent="0.25">
      <c r="A971" s="21" t="s">
        <v>2299</v>
      </c>
      <c r="B971" s="25" t="s">
        <v>2301</v>
      </c>
      <c r="C971" s="26">
        <v>1</v>
      </c>
      <c r="D971" s="27" t="s">
        <v>15</v>
      </c>
      <c r="E971" s="26">
        <v>2131.1</v>
      </c>
      <c r="F971" s="28" t="s">
        <v>16</v>
      </c>
      <c r="G971" s="26">
        <f>ROUND(C971*E971,0)</f>
        <v>2131</v>
      </c>
      <c r="H971" t="s">
        <v>2300</v>
      </c>
    </row>
    <row r="972" spans="1:8" ht="60" x14ac:dyDescent="0.25">
      <c r="A972" s="21" t="s">
        <v>2302</v>
      </c>
      <c r="B972" s="25" t="s">
        <v>2304</v>
      </c>
      <c r="C972" s="26">
        <v>1</v>
      </c>
      <c r="D972" s="27" t="s">
        <v>15</v>
      </c>
      <c r="E972" s="26">
        <v>1818.15</v>
      </c>
      <c r="F972" s="28" t="s">
        <v>16</v>
      </c>
      <c r="G972" s="26">
        <f>ROUND(C972*E972,0)</f>
        <v>1818</v>
      </c>
      <c r="H972" t="s">
        <v>2303</v>
      </c>
    </row>
    <row r="973" spans="1:8" ht="90" x14ac:dyDescent="0.25">
      <c r="A973" s="21" t="s">
        <v>2305</v>
      </c>
      <c r="B973" s="25" t="s">
        <v>2307</v>
      </c>
      <c r="C973" s="26">
        <v>1</v>
      </c>
      <c r="D973" s="27" t="s">
        <v>15</v>
      </c>
      <c r="E973" s="26">
        <v>2225</v>
      </c>
      <c r="F973" s="28" t="s">
        <v>16</v>
      </c>
      <c r="G973" s="26">
        <f>ROUND(C973*E973,0)</f>
        <v>2225</v>
      </c>
      <c r="H973" t="s">
        <v>2306</v>
      </c>
    </row>
    <row r="974" spans="1:8" ht="90" x14ac:dyDescent="0.25">
      <c r="A974" s="21" t="s">
        <v>2308</v>
      </c>
      <c r="B974" s="25" t="s">
        <v>2310</v>
      </c>
      <c r="C974" s="26">
        <v>1</v>
      </c>
      <c r="D974" s="27" t="s">
        <v>15</v>
      </c>
      <c r="E974" s="26">
        <v>2062.85</v>
      </c>
      <c r="F974" s="28" t="s">
        <v>16</v>
      </c>
      <c r="G974" s="26">
        <f>ROUND(C974*E974,0)</f>
        <v>2063</v>
      </c>
      <c r="H974" t="s">
        <v>2309</v>
      </c>
    </row>
    <row r="975" spans="1:8" ht="60" x14ac:dyDescent="0.25">
      <c r="A975" s="21" t="s">
        <v>2311</v>
      </c>
      <c r="B975" s="25" t="s">
        <v>2313</v>
      </c>
      <c r="C975" s="26">
        <v>1</v>
      </c>
      <c r="D975" s="27" t="s">
        <v>15</v>
      </c>
      <c r="E975" s="26">
        <v>2034.4</v>
      </c>
      <c r="F975" s="28" t="s">
        <v>16</v>
      </c>
      <c r="G975" s="26">
        <f>ROUND(C975*E975,0)</f>
        <v>2034</v>
      </c>
      <c r="H975" t="s">
        <v>2312</v>
      </c>
    </row>
    <row r="976" spans="1:8" ht="30" x14ac:dyDescent="0.25">
      <c r="A976" s="21" t="s">
        <v>2314</v>
      </c>
      <c r="B976" s="25" t="s">
        <v>2316</v>
      </c>
      <c r="C976" s="26"/>
      <c r="D976" s="27"/>
      <c r="E976" s="26"/>
      <c r="F976" s="28"/>
      <c r="G976" s="26"/>
      <c r="H976" t="s">
        <v>2315</v>
      </c>
    </row>
    <row r="977" spans="1:8" x14ac:dyDescent="0.25">
      <c r="A977" s="21" t="s">
        <v>2317</v>
      </c>
      <c r="B977" s="25" t="s">
        <v>2319</v>
      </c>
      <c r="C977" s="26">
        <v>1</v>
      </c>
      <c r="D977" s="27" t="s">
        <v>201</v>
      </c>
      <c r="E977" s="26">
        <v>42.95</v>
      </c>
      <c r="F977" s="28" t="s">
        <v>202</v>
      </c>
      <c r="G977" s="26">
        <f>ROUND(C977*E977,0)</f>
        <v>43</v>
      </c>
      <c r="H977" t="s">
        <v>2318</v>
      </c>
    </row>
    <row r="978" spans="1:8" x14ac:dyDescent="0.25">
      <c r="A978" s="21" t="s">
        <v>2320</v>
      </c>
      <c r="B978" s="25" t="s">
        <v>2321</v>
      </c>
      <c r="C978" s="26">
        <v>1</v>
      </c>
      <c r="D978" s="27" t="s">
        <v>201</v>
      </c>
      <c r="E978" s="26">
        <v>41.55</v>
      </c>
      <c r="F978" s="28" t="s">
        <v>202</v>
      </c>
      <c r="G978" s="26">
        <f>ROUND(C978*E978,0)</f>
        <v>42</v>
      </c>
      <c r="H978" t="s">
        <v>2318</v>
      </c>
    </row>
    <row r="979" spans="1:8" ht="30" x14ac:dyDescent="0.25">
      <c r="A979" s="21" t="s">
        <v>2322</v>
      </c>
      <c r="B979" s="25" t="s">
        <v>2324</v>
      </c>
      <c r="C979" s="26"/>
      <c r="D979" s="27"/>
      <c r="E979" s="26"/>
      <c r="F979" s="28"/>
      <c r="G979" s="26"/>
      <c r="H979" t="s">
        <v>2323</v>
      </c>
    </row>
    <row r="980" spans="1:8" ht="30" x14ac:dyDescent="0.25">
      <c r="A980" s="21" t="s">
        <v>2325</v>
      </c>
      <c r="B980" s="25" t="s">
        <v>2327</v>
      </c>
      <c r="C980" s="26">
        <v>1</v>
      </c>
      <c r="D980" s="27" t="s">
        <v>201</v>
      </c>
      <c r="E980" s="26">
        <v>75.900000000000006</v>
      </c>
      <c r="F980" s="28" t="s">
        <v>202</v>
      </c>
      <c r="G980" s="26">
        <f>ROUND(C980*E980,0)</f>
        <v>76</v>
      </c>
      <c r="H980" t="s">
        <v>2326</v>
      </c>
    </row>
    <row r="981" spans="1:8" ht="30" x14ac:dyDescent="0.25">
      <c r="A981" s="21" t="s">
        <v>2328</v>
      </c>
      <c r="B981" s="25" t="s">
        <v>2330</v>
      </c>
      <c r="C981" s="26">
        <v>1</v>
      </c>
      <c r="D981" s="27" t="s">
        <v>201</v>
      </c>
      <c r="E981" s="26">
        <v>89.1</v>
      </c>
      <c r="F981" s="28" t="s">
        <v>202</v>
      </c>
      <c r="G981" s="26">
        <f>ROUND(C981*E981,0)</f>
        <v>89</v>
      </c>
      <c r="H981" t="s">
        <v>2329</v>
      </c>
    </row>
    <row r="982" spans="1:8" ht="45" x14ac:dyDescent="0.25">
      <c r="A982" s="21" t="s">
        <v>2331</v>
      </c>
      <c r="B982" s="25" t="s">
        <v>2333</v>
      </c>
      <c r="C982" s="26"/>
      <c r="D982" s="27"/>
      <c r="E982" s="26"/>
      <c r="F982" s="28"/>
      <c r="G982" s="26"/>
      <c r="H982" t="s">
        <v>2332</v>
      </c>
    </row>
    <row r="983" spans="1:8" x14ac:dyDescent="0.25">
      <c r="A983" s="21" t="s">
        <v>2334</v>
      </c>
      <c r="B983" s="25" t="s">
        <v>2336</v>
      </c>
      <c r="C983" s="26">
        <v>1</v>
      </c>
      <c r="D983" s="27" t="s">
        <v>201</v>
      </c>
      <c r="E983" s="26">
        <v>69.75</v>
      </c>
      <c r="F983" s="28" t="s">
        <v>202</v>
      </c>
      <c r="G983" s="26">
        <f>ROUND(C983*E983,0)</f>
        <v>70</v>
      </c>
      <c r="H983" t="s">
        <v>2335</v>
      </c>
    </row>
    <row r="984" spans="1:8" x14ac:dyDescent="0.25">
      <c r="A984" s="21" t="s">
        <v>2337</v>
      </c>
      <c r="B984" s="25" t="s">
        <v>2339</v>
      </c>
      <c r="C984" s="26">
        <v>1</v>
      </c>
      <c r="D984" s="27" t="s">
        <v>201</v>
      </c>
      <c r="E984" s="26">
        <v>106.15</v>
      </c>
      <c r="F984" s="28" t="s">
        <v>202</v>
      </c>
      <c r="G984" s="26">
        <f>ROUND(C984*E984,0)</f>
        <v>106</v>
      </c>
      <c r="H984" t="s">
        <v>2338</v>
      </c>
    </row>
    <row r="985" spans="1:8" ht="45" x14ac:dyDescent="0.25">
      <c r="A985" s="21" t="s">
        <v>2340</v>
      </c>
      <c r="B985" s="25" t="s">
        <v>2342</v>
      </c>
      <c r="C985" s="26">
        <v>1</v>
      </c>
      <c r="D985" s="27" t="s">
        <v>201</v>
      </c>
      <c r="E985" s="26">
        <v>40.049999999999997</v>
      </c>
      <c r="F985" s="28" t="s">
        <v>202</v>
      </c>
      <c r="G985" s="26">
        <f>ROUND(C985*E985,0)</f>
        <v>40</v>
      </c>
      <c r="H985" t="s">
        <v>2341</v>
      </c>
    </row>
    <row r="986" spans="1:8" ht="120" x14ac:dyDescent="0.25">
      <c r="A986" s="21" t="s">
        <v>2343</v>
      </c>
      <c r="B986" s="25" t="s">
        <v>2345</v>
      </c>
      <c r="C986" s="26">
        <v>1</v>
      </c>
      <c r="D986" s="27" t="s">
        <v>15</v>
      </c>
      <c r="E986" s="26">
        <v>689.4</v>
      </c>
      <c r="F986" s="28" t="s">
        <v>16</v>
      </c>
      <c r="G986" s="26">
        <f>ROUND(C986*E986,0)</f>
        <v>689</v>
      </c>
      <c r="H986" t="s">
        <v>2344</v>
      </c>
    </row>
    <row r="987" spans="1:8" ht="75" x14ac:dyDescent="0.25">
      <c r="A987" s="21" t="s">
        <v>2346</v>
      </c>
      <c r="B987" s="25" t="s">
        <v>2348</v>
      </c>
      <c r="C987" s="26"/>
      <c r="D987" s="27"/>
      <c r="E987" s="26"/>
      <c r="F987" s="28"/>
      <c r="G987" s="26"/>
      <c r="H987" t="s">
        <v>2347</v>
      </c>
    </row>
    <row r="988" spans="1:8" x14ac:dyDescent="0.25">
      <c r="A988" s="21" t="s">
        <v>2349</v>
      </c>
      <c r="B988" s="25" t="s">
        <v>2351</v>
      </c>
      <c r="C988" s="26">
        <v>1</v>
      </c>
      <c r="D988" s="27" t="s">
        <v>110</v>
      </c>
      <c r="E988" s="26">
        <v>354.35</v>
      </c>
      <c r="F988" s="28" t="s">
        <v>68</v>
      </c>
      <c r="G988" s="26">
        <f>ROUND(C988*E988,0)</f>
        <v>354</v>
      </c>
      <c r="H988" t="s">
        <v>2350</v>
      </c>
    </row>
    <row r="989" spans="1:8" ht="90" x14ac:dyDescent="0.25">
      <c r="A989" s="21" t="s">
        <v>2352</v>
      </c>
      <c r="B989" s="25" t="s">
        <v>2354</v>
      </c>
      <c r="C989" s="26">
        <v>1</v>
      </c>
      <c r="D989" s="27" t="s">
        <v>110</v>
      </c>
      <c r="E989" s="26">
        <v>102.15</v>
      </c>
      <c r="F989" s="28" t="s">
        <v>68</v>
      </c>
      <c r="G989" s="26">
        <f>ROUND(C989*E989,0)</f>
        <v>102</v>
      </c>
      <c r="H989" t="s">
        <v>2353</v>
      </c>
    </row>
    <row r="990" spans="1:8" ht="75" x14ac:dyDescent="0.25">
      <c r="A990" s="21" t="s">
        <v>2355</v>
      </c>
      <c r="B990" s="25" t="s">
        <v>2357</v>
      </c>
      <c r="C990" s="26">
        <v>1</v>
      </c>
      <c r="D990" s="27" t="s">
        <v>201</v>
      </c>
      <c r="E990" s="26">
        <v>850.05</v>
      </c>
      <c r="F990" s="28" t="s">
        <v>202</v>
      </c>
      <c r="G990" s="26">
        <f>ROUND(C990*E990,0)</f>
        <v>850</v>
      </c>
      <c r="H990" t="s">
        <v>2356</v>
      </c>
    </row>
    <row r="991" spans="1:8" ht="60" x14ac:dyDescent="0.25">
      <c r="A991" s="21" t="s">
        <v>2358</v>
      </c>
      <c r="B991" s="25" t="s">
        <v>2360</v>
      </c>
      <c r="C991" s="26"/>
      <c r="D991" s="27"/>
      <c r="E991" s="26"/>
      <c r="F991" s="28"/>
      <c r="G991" s="26"/>
      <c r="H991" t="s">
        <v>2359</v>
      </c>
    </row>
    <row r="992" spans="1:8" x14ac:dyDescent="0.25">
      <c r="A992" s="21" t="s">
        <v>2361</v>
      </c>
      <c r="B992" s="25" t="s">
        <v>2363</v>
      </c>
      <c r="C992" s="26">
        <v>1</v>
      </c>
      <c r="D992" s="27" t="s">
        <v>201</v>
      </c>
      <c r="E992" s="26">
        <v>52.5</v>
      </c>
      <c r="F992" s="28" t="s">
        <v>202</v>
      </c>
      <c r="G992" s="26">
        <f>ROUND(C992*E992,0)</f>
        <v>53</v>
      </c>
      <c r="H992" t="s">
        <v>2362</v>
      </c>
    </row>
    <row r="993" spans="1:8" x14ac:dyDescent="0.25">
      <c r="A993" s="21" t="s">
        <v>2364</v>
      </c>
      <c r="B993" s="25" t="s">
        <v>2366</v>
      </c>
      <c r="C993" s="26">
        <v>1</v>
      </c>
      <c r="D993" s="27" t="s">
        <v>201</v>
      </c>
      <c r="E993" s="26">
        <v>39.700000000000003</v>
      </c>
      <c r="F993" s="28" t="s">
        <v>202</v>
      </c>
      <c r="G993" s="26">
        <f>ROUND(C993*E993,0)</f>
        <v>40</v>
      </c>
      <c r="H993" t="s">
        <v>2365</v>
      </c>
    </row>
    <row r="994" spans="1:8" ht="60" x14ac:dyDescent="0.25">
      <c r="A994" s="21" t="s">
        <v>2367</v>
      </c>
      <c r="B994" s="25" t="s">
        <v>2369</v>
      </c>
      <c r="C994" s="26">
        <v>1</v>
      </c>
      <c r="D994" s="27" t="s">
        <v>639</v>
      </c>
      <c r="E994" s="26">
        <v>414.2</v>
      </c>
      <c r="F994" s="28" t="s">
        <v>640</v>
      </c>
      <c r="G994" s="26">
        <f>ROUND(C994*E994,0)</f>
        <v>414</v>
      </c>
      <c r="H994" t="s">
        <v>2368</v>
      </c>
    </row>
    <row r="995" spans="1:8" ht="75" x14ac:dyDescent="0.25">
      <c r="A995" s="21" t="s">
        <v>2370</v>
      </c>
      <c r="B995" s="25" t="s">
        <v>2372</v>
      </c>
      <c r="C995" s="26">
        <v>1</v>
      </c>
      <c r="D995" s="27" t="s">
        <v>201</v>
      </c>
      <c r="E995" s="26">
        <v>20.399999999999999</v>
      </c>
      <c r="F995" s="28" t="s">
        <v>202</v>
      </c>
      <c r="G995" s="26">
        <f>ROUND(C995*E995,0)</f>
        <v>20</v>
      </c>
      <c r="H995" t="s">
        <v>2371</v>
      </c>
    </row>
    <row r="996" spans="1:8" ht="180" x14ac:dyDescent="0.25">
      <c r="A996" s="21" t="s">
        <v>2373</v>
      </c>
      <c r="B996" s="25" t="s">
        <v>2375</v>
      </c>
      <c r="C996" s="26"/>
      <c r="D996" s="27"/>
      <c r="E996" s="26"/>
      <c r="F996" s="28"/>
      <c r="G996" s="26"/>
      <c r="H996" t="s">
        <v>2374</v>
      </c>
    </row>
    <row r="997" spans="1:8" x14ac:dyDescent="0.25">
      <c r="A997" s="21" t="s">
        <v>2376</v>
      </c>
      <c r="B997" s="25" t="s">
        <v>2378</v>
      </c>
      <c r="C997" s="26">
        <v>1</v>
      </c>
      <c r="D997" s="27" t="s">
        <v>110</v>
      </c>
      <c r="E997" s="26">
        <v>270.2</v>
      </c>
      <c r="F997" s="28" t="s">
        <v>68</v>
      </c>
      <c r="G997" s="26">
        <f>ROUND(C997*E997,0)</f>
        <v>270</v>
      </c>
      <c r="H997" t="s">
        <v>2377</v>
      </c>
    </row>
    <row r="998" spans="1:8" x14ac:dyDescent="0.25">
      <c r="A998" s="21" t="s">
        <v>2379</v>
      </c>
      <c r="B998" s="25" t="s">
        <v>2381</v>
      </c>
      <c r="C998" s="26">
        <v>1</v>
      </c>
      <c r="D998" s="27" t="s">
        <v>110</v>
      </c>
      <c r="E998" s="26">
        <v>331.35</v>
      </c>
      <c r="F998" s="28" t="s">
        <v>68</v>
      </c>
      <c r="G998" s="26">
        <f>ROUND(C998*E998,0)</f>
        <v>331</v>
      </c>
      <c r="H998" t="s">
        <v>2380</v>
      </c>
    </row>
    <row r="999" spans="1:8" x14ac:dyDescent="0.25">
      <c r="A999" s="21" t="s">
        <v>2382</v>
      </c>
      <c r="B999" s="25" t="s">
        <v>2384</v>
      </c>
      <c r="C999" s="26"/>
      <c r="D999" s="27"/>
      <c r="E999" s="26"/>
      <c r="F999" s="28"/>
      <c r="G999" s="26"/>
      <c r="H999" t="s">
        <v>2383</v>
      </c>
    </row>
    <row r="1000" spans="1:8" ht="345" x14ac:dyDescent="0.25">
      <c r="A1000" s="21" t="s">
        <v>2385</v>
      </c>
      <c r="B1000" s="25" t="s">
        <v>2387</v>
      </c>
      <c r="C1000" s="26">
        <v>1</v>
      </c>
      <c r="D1000" s="27" t="s">
        <v>15</v>
      </c>
      <c r="E1000" s="26">
        <v>2969.25</v>
      </c>
      <c r="F1000" s="28" t="s">
        <v>16</v>
      </c>
      <c r="G1000" s="26">
        <f>ROUND(C1000*E1000,0)</f>
        <v>2969</v>
      </c>
      <c r="H1000" t="s">
        <v>2386</v>
      </c>
    </row>
    <row r="1001" spans="1:8" ht="360" x14ac:dyDescent="0.25">
      <c r="A1001" s="21" t="s">
        <v>2388</v>
      </c>
      <c r="B1001" s="25" t="s">
        <v>2390</v>
      </c>
      <c r="C1001" s="26">
        <v>1</v>
      </c>
      <c r="D1001" s="27" t="s">
        <v>15</v>
      </c>
      <c r="E1001" s="26">
        <v>3253.8</v>
      </c>
      <c r="F1001" s="28" t="s">
        <v>16</v>
      </c>
      <c r="G1001" s="26">
        <f>ROUND(C1001*E1001,0)</f>
        <v>3254</v>
      </c>
      <c r="H1001" t="s">
        <v>2389</v>
      </c>
    </row>
    <row r="1002" spans="1:8" ht="285" x14ac:dyDescent="0.25">
      <c r="A1002" s="21" t="s">
        <v>2391</v>
      </c>
      <c r="B1002" s="25" t="s">
        <v>2393</v>
      </c>
      <c r="C1002" s="26">
        <v>1</v>
      </c>
      <c r="D1002" s="27" t="s">
        <v>15</v>
      </c>
      <c r="E1002" s="26">
        <v>3068.85</v>
      </c>
      <c r="F1002" s="28" t="s">
        <v>16</v>
      </c>
      <c r="G1002" s="26">
        <f>ROUND(C1002*E1002,0)</f>
        <v>3069</v>
      </c>
      <c r="H1002" t="s">
        <v>2392</v>
      </c>
    </row>
    <row r="1003" spans="1:8" ht="195" x14ac:dyDescent="0.25">
      <c r="A1003" s="21" t="s">
        <v>2394</v>
      </c>
      <c r="B1003" s="25" t="s">
        <v>2396</v>
      </c>
      <c r="C1003" s="26">
        <v>1</v>
      </c>
      <c r="D1003" s="27" t="s">
        <v>110</v>
      </c>
      <c r="E1003" s="26">
        <v>492.7</v>
      </c>
      <c r="F1003" s="28" t="s">
        <v>68</v>
      </c>
      <c r="G1003" s="26">
        <f>ROUND(C1003*E1003,0)</f>
        <v>493</v>
      </c>
      <c r="H1003" t="s">
        <v>2395</v>
      </c>
    </row>
    <row r="1004" spans="1:8" ht="409.5" x14ac:dyDescent="0.25">
      <c r="A1004" s="21" t="s">
        <v>2397</v>
      </c>
      <c r="B1004" s="25" t="s">
        <v>2399</v>
      </c>
      <c r="C1004" s="26"/>
      <c r="D1004" s="27"/>
      <c r="E1004" s="26"/>
      <c r="F1004" s="28"/>
      <c r="G1004" s="26"/>
      <c r="H1004" t="s">
        <v>2398</v>
      </c>
    </row>
    <row r="1005" spans="1:8" ht="30" x14ac:dyDescent="0.25">
      <c r="A1005" s="21" t="s">
        <v>2400</v>
      </c>
      <c r="B1005" s="25" t="s">
        <v>2402</v>
      </c>
      <c r="C1005" s="26">
        <v>1</v>
      </c>
      <c r="D1005" s="27" t="s">
        <v>15</v>
      </c>
      <c r="E1005" s="26">
        <v>3182.95</v>
      </c>
      <c r="F1005" s="28" t="s">
        <v>16</v>
      </c>
      <c r="G1005" s="26">
        <f>ROUND(C1005*E1005,0)</f>
        <v>3183</v>
      </c>
      <c r="H1005" t="s">
        <v>2401</v>
      </c>
    </row>
    <row r="1006" spans="1:8" ht="30" x14ac:dyDescent="0.25">
      <c r="A1006" s="21" t="s">
        <v>2403</v>
      </c>
      <c r="B1006" s="25" t="s">
        <v>2405</v>
      </c>
      <c r="C1006" s="26">
        <v>1</v>
      </c>
      <c r="D1006" s="27" t="s">
        <v>15</v>
      </c>
      <c r="E1006" s="26">
        <v>3663.8</v>
      </c>
      <c r="F1006" s="28" t="s">
        <v>16</v>
      </c>
      <c r="G1006" s="26">
        <f>ROUND(C1006*E1006,0)</f>
        <v>3664</v>
      </c>
      <c r="H1006" t="s">
        <v>2404</v>
      </c>
    </row>
    <row r="1007" spans="1:8" ht="165" x14ac:dyDescent="0.25">
      <c r="A1007" s="21" t="s">
        <v>2406</v>
      </c>
      <c r="B1007" s="25" t="s">
        <v>2408</v>
      </c>
      <c r="C1007" s="26">
        <v>1</v>
      </c>
      <c r="D1007" s="27" t="s">
        <v>110</v>
      </c>
      <c r="E1007" s="26">
        <v>570.95000000000005</v>
      </c>
      <c r="F1007" s="28" t="s">
        <v>68</v>
      </c>
      <c r="G1007" s="26">
        <f>ROUND(C1007*E1007,0)</f>
        <v>571</v>
      </c>
      <c r="H1007" t="s">
        <v>2407</v>
      </c>
    </row>
    <row r="1008" spans="1:8" x14ac:dyDescent="0.25">
      <c r="A1008" s="21" t="s">
        <v>2409</v>
      </c>
      <c r="B1008" s="25" t="s">
        <v>2384</v>
      </c>
      <c r="C1008" s="26"/>
      <c r="D1008" s="27"/>
      <c r="E1008" s="26"/>
      <c r="F1008" s="28"/>
      <c r="G1008" s="26"/>
      <c r="H1008" t="s">
        <v>2383</v>
      </c>
    </row>
    <row r="1009" spans="1:8" ht="165" x14ac:dyDescent="0.25">
      <c r="A1009" s="21" t="s">
        <v>2410</v>
      </c>
      <c r="B1009" s="25" t="s">
        <v>2412</v>
      </c>
      <c r="C1009" s="26">
        <v>1</v>
      </c>
      <c r="D1009" s="27" t="s">
        <v>15</v>
      </c>
      <c r="E1009" s="26">
        <v>3720.75</v>
      </c>
      <c r="F1009" s="28" t="s">
        <v>16</v>
      </c>
      <c r="G1009" s="26">
        <f>ROUND(C1009*E1009,0)</f>
        <v>3721</v>
      </c>
      <c r="H1009" t="s">
        <v>2411</v>
      </c>
    </row>
    <row r="1010" spans="1:8" ht="180" x14ac:dyDescent="0.25">
      <c r="A1010" s="21" t="s">
        <v>2413</v>
      </c>
      <c r="B1010" s="25" t="s">
        <v>2415</v>
      </c>
      <c r="C1010" s="26">
        <v>1</v>
      </c>
      <c r="D1010" s="27" t="s">
        <v>15</v>
      </c>
      <c r="E1010" s="26">
        <v>4488.95</v>
      </c>
      <c r="F1010" s="28" t="s">
        <v>16</v>
      </c>
      <c r="G1010" s="26">
        <f>ROUND(C1010*E1010,0)</f>
        <v>4489</v>
      </c>
      <c r="H1010" t="s">
        <v>2414</v>
      </c>
    </row>
    <row r="1011" spans="1:8" ht="270" x14ac:dyDescent="0.25">
      <c r="A1011" s="21" t="s">
        <v>2416</v>
      </c>
      <c r="B1011" s="25" t="s">
        <v>2418</v>
      </c>
      <c r="C1011" s="26">
        <v>1</v>
      </c>
      <c r="D1011" s="27" t="s">
        <v>110</v>
      </c>
      <c r="E1011" s="26">
        <v>696</v>
      </c>
      <c r="F1011" s="28" t="s">
        <v>68</v>
      </c>
      <c r="G1011" s="26">
        <f>ROUND(C1011*E1011,0)</f>
        <v>696</v>
      </c>
      <c r="H1011" t="s">
        <v>2417</v>
      </c>
    </row>
    <row r="1012" spans="1:8" ht="150" x14ac:dyDescent="0.25">
      <c r="A1012" s="21" t="s">
        <v>2419</v>
      </c>
      <c r="B1012" s="25" t="s">
        <v>2420</v>
      </c>
      <c r="C1012" s="26">
        <v>1</v>
      </c>
      <c r="D1012" s="27" t="s">
        <v>110</v>
      </c>
      <c r="E1012" s="26">
        <v>135.80000000000001</v>
      </c>
      <c r="F1012" s="28" t="s">
        <v>68</v>
      </c>
      <c r="G1012" s="26">
        <f>ROUND(C1012*E1012,0)</f>
        <v>136</v>
      </c>
      <c r="H1012" t="s">
        <v>105</v>
      </c>
    </row>
    <row r="1013" spans="1:8" ht="409.5" x14ac:dyDescent="0.25">
      <c r="A1013" s="21" t="s">
        <v>2421</v>
      </c>
      <c r="B1013" s="25" t="s">
        <v>2423</v>
      </c>
      <c r="C1013" s="26"/>
      <c r="D1013" s="27"/>
      <c r="E1013" s="26"/>
      <c r="F1013" s="28"/>
      <c r="G1013" s="26"/>
      <c r="H1013" t="s">
        <v>2422</v>
      </c>
    </row>
    <row r="1014" spans="1:8" ht="105" x14ac:dyDescent="0.25">
      <c r="A1014" s="21" t="s">
        <v>2424</v>
      </c>
      <c r="B1014" s="25" t="s">
        <v>2426</v>
      </c>
      <c r="C1014" s="26">
        <v>1</v>
      </c>
      <c r="D1014" s="27" t="s">
        <v>15</v>
      </c>
      <c r="E1014" s="26">
        <v>3754.2</v>
      </c>
      <c r="F1014" s="28" t="s">
        <v>16</v>
      </c>
      <c r="G1014" s="26">
        <f>ROUND(C1014*E1014,0)</f>
        <v>3754</v>
      </c>
      <c r="H1014" t="s">
        <v>2425</v>
      </c>
    </row>
    <row r="1015" spans="1:8" ht="105" x14ac:dyDescent="0.25">
      <c r="A1015" s="21" t="s">
        <v>2427</v>
      </c>
      <c r="B1015" s="25" t="s">
        <v>2429</v>
      </c>
      <c r="C1015" s="26">
        <v>1</v>
      </c>
      <c r="D1015" s="27" t="s">
        <v>15</v>
      </c>
      <c r="E1015" s="26">
        <v>4138.3500000000004</v>
      </c>
      <c r="F1015" s="28" t="s">
        <v>16</v>
      </c>
      <c r="G1015" s="26">
        <f>ROUND(C1015*E1015,0)</f>
        <v>4138</v>
      </c>
      <c r="H1015" t="s">
        <v>2428</v>
      </c>
    </row>
    <row r="1016" spans="1:8" ht="105" x14ac:dyDescent="0.25">
      <c r="A1016" s="21" t="s">
        <v>2430</v>
      </c>
      <c r="B1016" s="25" t="s">
        <v>2431</v>
      </c>
      <c r="C1016" s="26">
        <v>1</v>
      </c>
      <c r="D1016" s="27" t="s">
        <v>110</v>
      </c>
      <c r="E1016" s="26">
        <v>4678.95</v>
      </c>
      <c r="F1016" s="28" t="s">
        <v>68</v>
      </c>
      <c r="G1016" s="26">
        <f>ROUND(C1016*E1016,0)</f>
        <v>4679</v>
      </c>
      <c r="H1016" t="s">
        <v>105</v>
      </c>
    </row>
    <row r="1017" spans="1:8" ht="120" x14ac:dyDescent="0.25">
      <c r="A1017" s="21" t="s">
        <v>2432</v>
      </c>
      <c r="B1017" s="25" t="s">
        <v>2434</v>
      </c>
      <c r="C1017" s="26"/>
      <c r="D1017" s="27"/>
      <c r="E1017" s="26"/>
      <c r="F1017" s="28"/>
      <c r="G1017" s="26"/>
      <c r="H1017" t="s">
        <v>2433</v>
      </c>
    </row>
    <row r="1018" spans="1:8" ht="30" x14ac:dyDescent="0.25">
      <c r="A1018" s="21" t="s">
        <v>2435</v>
      </c>
      <c r="B1018" s="25" t="s">
        <v>2436</v>
      </c>
      <c r="C1018" s="26">
        <v>1</v>
      </c>
      <c r="D1018" s="27" t="s">
        <v>15</v>
      </c>
      <c r="E1018" s="26">
        <v>2486.25</v>
      </c>
      <c r="F1018" s="28" t="s">
        <v>16</v>
      </c>
      <c r="G1018" s="26">
        <f>ROUND(C1018*E1018,0)</f>
        <v>2486</v>
      </c>
      <c r="H1018" t="s">
        <v>2436</v>
      </c>
    </row>
    <row r="1019" spans="1:8" ht="30" x14ac:dyDescent="0.25">
      <c r="A1019" s="21" t="s">
        <v>2437</v>
      </c>
      <c r="B1019" s="25" t="s">
        <v>2438</v>
      </c>
      <c r="C1019" s="26">
        <v>1</v>
      </c>
      <c r="D1019" s="27" t="s">
        <v>15</v>
      </c>
      <c r="E1019" s="26">
        <v>2777.7</v>
      </c>
      <c r="F1019" s="28" t="s">
        <v>16</v>
      </c>
      <c r="G1019" s="26">
        <f>ROUND(C1019*E1019,0)</f>
        <v>2778</v>
      </c>
      <c r="H1019" t="s">
        <v>2438</v>
      </c>
    </row>
    <row r="1020" spans="1:8" ht="90" x14ac:dyDescent="0.25">
      <c r="A1020" s="21" t="s">
        <v>2439</v>
      </c>
      <c r="B1020" s="25" t="s">
        <v>2441</v>
      </c>
      <c r="C1020" s="26"/>
      <c r="D1020" s="27"/>
      <c r="E1020" s="26"/>
      <c r="F1020" s="28"/>
      <c r="G1020" s="26"/>
      <c r="H1020" t="s">
        <v>2440</v>
      </c>
    </row>
    <row r="1021" spans="1:8" ht="30" x14ac:dyDescent="0.25">
      <c r="A1021" s="21" t="s">
        <v>2442</v>
      </c>
      <c r="B1021" s="25" t="s">
        <v>2444</v>
      </c>
      <c r="C1021" s="26">
        <v>1</v>
      </c>
      <c r="D1021" s="27" t="s">
        <v>15</v>
      </c>
      <c r="E1021" s="26">
        <v>1045.95</v>
      </c>
      <c r="F1021" s="28" t="s">
        <v>16</v>
      </c>
      <c r="G1021" s="26">
        <f>ROUND(C1021*E1021,0)</f>
        <v>1046</v>
      </c>
      <c r="H1021" t="s">
        <v>2443</v>
      </c>
    </row>
    <row r="1022" spans="1:8" ht="30" x14ac:dyDescent="0.25">
      <c r="A1022" s="21" t="s">
        <v>2445</v>
      </c>
      <c r="B1022" s="25" t="s">
        <v>2447</v>
      </c>
      <c r="C1022" s="26">
        <v>1</v>
      </c>
      <c r="D1022" s="27" t="s">
        <v>15</v>
      </c>
      <c r="E1022" s="26">
        <v>897.3</v>
      </c>
      <c r="F1022" s="28" t="s">
        <v>16</v>
      </c>
      <c r="G1022" s="26">
        <f>ROUND(C1022*E1022,0)</f>
        <v>897</v>
      </c>
      <c r="H1022" t="s">
        <v>2446</v>
      </c>
    </row>
    <row r="1023" spans="1:8" ht="315" x14ac:dyDescent="0.25">
      <c r="A1023" s="21" t="s">
        <v>2448</v>
      </c>
      <c r="B1023" s="25" t="s">
        <v>2450</v>
      </c>
      <c r="C1023" s="26">
        <v>1</v>
      </c>
      <c r="D1023" s="27" t="s">
        <v>15</v>
      </c>
      <c r="E1023" s="26">
        <v>5207.45</v>
      </c>
      <c r="F1023" s="28" t="s">
        <v>16</v>
      </c>
      <c r="G1023" s="26">
        <f>ROUND(C1023*E1023,0)</f>
        <v>5207</v>
      </c>
      <c r="H1023" t="s">
        <v>2449</v>
      </c>
    </row>
    <row r="1024" spans="1:8" ht="150" x14ac:dyDescent="0.25">
      <c r="A1024" s="21" t="s">
        <v>2451</v>
      </c>
      <c r="B1024" s="25" t="s">
        <v>2453</v>
      </c>
      <c r="C1024" s="26">
        <v>1</v>
      </c>
      <c r="D1024" s="27" t="s">
        <v>15</v>
      </c>
      <c r="E1024" s="26">
        <v>2307.35</v>
      </c>
      <c r="F1024" s="28" t="s">
        <v>16</v>
      </c>
      <c r="G1024" s="26">
        <f>ROUND(C1024*E1024,0)</f>
        <v>2307</v>
      </c>
      <c r="H1024" t="s">
        <v>2452</v>
      </c>
    </row>
    <row r="1025" spans="1:8" ht="105" x14ac:dyDescent="0.25">
      <c r="A1025" s="21" t="s">
        <v>2454</v>
      </c>
      <c r="B1025" s="25" t="s">
        <v>2456</v>
      </c>
      <c r="C1025" s="26"/>
      <c r="D1025" s="27"/>
      <c r="E1025" s="26"/>
      <c r="F1025" s="28"/>
      <c r="G1025" s="26"/>
      <c r="H1025" t="s">
        <v>2455</v>
      </c>
    </row>
    <row r="1026" spans="1:8" ht="30" x14ac:dyDescent="0.25">
      <c r="A1026" s="21" t="s">
        <v>2457</v>
      </c>
      <c r="B1026" s="25" t="s">
        <v>2459</v>
      </c>
      <c r="C1026" s="26">
        <v>1</v>
      </c>
      <c r="D1026" s="27" t="s">
        <v>15</v>
      </c>
      <c r="E1026" s="26">
        <v>1927.5</v>
      </c>
      <c r="F1026" s="28" t="s">
        <v>16</v>
      </c>
      <c r="G1026" s="26">
        <f>ROUND(C1026*E1026,0)</f>
        <v>1928</v>
      </c>
      <c r="H1026" t="s">
        <v>2458</v>
      </c>
    </row>
    <row r="1027" spans="1:8" ht="30" x14ac:dyDescent="0.25">
      <c r="A1027" s="21" t="s">
        <v>2460</v>
      </c>
      <c r="B1027" s="25" t="s">
        <v>2462</v>
      </c>
      <c r="C1027" s="26">
        <v>1</v>
      </c>
      <c r="D1027" s="27" t="s">
        <v>15</v>
      </c>
      <c r="E1027" s="26">
        <v>1809.4</v>
      </c>
      <c r="F1027" s="28" t="s">
        <v>16</v>
      </c>
      <c r="G1027" s="26">
        <f>ROUND(C1027*E1027,0)</f>
        <v>1809</v>
      </c>
      <c r="H1027" t="s">
        <v>2461</v>
      </c>
    </row>
    <row r="1028" spans="1:8" ht="210" x14ac:dyDescent="0.25">
      <c r="A1028" s="21" t="s">
        <v>2463</v>
      </c>
      <c r="B1028" s="25" t="s">
        <v>2465</v>
      </c>
      <c r="C1028" s="26"/>
      <c r="D1028" s="27"/>
      <c r="E1028" s="26"/>
      <c r="F1028" s="28"/>
      <c r="G1028" s="26"/>
      <c r="H1028" t="s">
        <v>2464</v>
      </c>
    </row>
    <row r="1029" spans="1:8" ht="30" x14ac:dyDescent="0.25">
      <c r="A1029" s="21" t="s">
        <v>2466</v>
      </c>
      <c r="B1029" s="25" t="s">
        <v>702</v>
      </c>
      <c r="C1029" s="26">
        <v>1</v>
      </c>
      <c r="D1029" s="27" t="s">
        <v>15</v>
      </c>
      <c r="E1029" s="26">
        <v>1801.6</v>
      </c>
      <c r="F1029" s="28" t="s">
        <v>16</v>
      </c>
      <c r="G1029" s="26">
        <f>ROUND(C1029*E1029,0)</f>
        <v>1802</v>
      </c>
      <c r="H1029" t="s">
        <v>702</v>
      </c>
    </row>
    <row r="1030" spans="1:8" ht="60" x14ac:dyDescent="0.25">
      <c r="A1030" s="21" t="s">
        <v>2467</v>
      </c>
      <c r="B1030" s="25" t="s">
        <v>2469</v>
      </c>
      <c r="C1030" s="26">
        <v>1</v>
      </c>
      <c r="D1030" s="27" t="s">
        <v>725</v>
      </c>
      <c r="E1030" s="26">
        <v>596.15</v>
      </c>
      <c r="F1030" s="28" t="s">
        <v>726</v>
      </c>
      <c r="G1030" s="26">
        <f>ROUND(C1030*E1030,0)</f>
        <v>596</v>
      </c>
      <c r="H1030" t="s">
        <v>2468</v>
      </c>
    </row>
    <row r="1031" spans="1:8" ht="285" x14ac:dyDescent="0.25">
      <c r="A1031" s="21" t="s">
        <v>2470</v>
      </c>
      <c r="B1031" s="25" t="s">
        <v>2472</v>
      </c>
      <c r="C1031" s="26"/>
      <c r="D1031" s="27"/>
      <c r="E1031" s="26"/>
      <c r="F1031" s="28"/>
      <c r="G1031" s="26"/>
      <c r="H1031" t="s">
        <v>2471</v>
      </c>
    </row>
    <row r="1032" spans="1:8" ht="90" x14ac:dyDescent="0.25">
      <c r="A1032" s="21" t="s">
        <v>2473</v>
      </c>
      <c r="B1032" s="25" t="s">
        <v>2475</v>
      </c>
      <c r="C1032" s="26"/>
      <c r="D1032" s="27"/>
      <c r="E1032" s="26"/>
      <c r="F1032" s="28"/>
      <c r="G1032" s="26"/>
      <c r="H1032" t="s">
        <v>2474</v>
      </c>
    </row>
    <row r="1033" spans="1:8" ht="30" x14ac:dyDescent="0.25">
      <c r="A1033" s="21" t="s">
        <v>2476</v>
      </c>
      <c r="B1033" s="25" t="s">
        <v>2478</v>
      </c>
      <c r="C1033" s="26">
        <v>1</v>
      </c>
      <c r="D1033" s="27" t="s">
        <v>15</v>
      </c>
      <c r="E1033" s="26">
        <v>1790.95</v>
      </c>
      <c r="F1033" s="28" t="s">
        <v>16</v>
      </c>
      <c r="G1033" s="26">
        <f>ROUND(C1033*E1033,0)</f>
        <v>1791</v>
      </c>
      <c r="H1033" t="s">
        <v>2477</v>
      </c>
    </row>
    <row r="1034" spans="1:8" ht="30" x14ac:dyDescent="0.25">
      <c r="A1034" s="21" t="s">
        <v>2479</v>
      </c>
      <c r="B1034" s="25" t="s">
        <v>2481</v>
      </c>
      <c r="C1034" s="26"/>
      <c r="D1034" s="27"/>
      <c r="E1034" s="26"/>
      <c r="F1034" s="28"/>
      <c r="G1034" s="26"/>
      <c r="H1034" t="s">
        <v>2480</v>
      </c>
    </row>
    <row r="1035" spans="1:8" ht="30" x14ac:dyDescent="0.25">
      <c r="A1035" s="21" t="s">
        <v>2482</v>
      </c>
      <c r="B1035" s="25" t="s">
        <v>2484</v>
      </c>
      <c r="C1035" s="26">
        <v>1</v>
      </c>
      <c r="D1035" s="27" t="s">
        <v>15</v>
      </c>
      <c r="E1035" s="26">
        <v>1443.45</v>
      </c>
      <c r="F1035" s="28" t="s">
        <v>16</v>
      </c>
      <c r="G1035" s="26">
        <f>ROUND(C1035*E1035,0)</f>
        <v>1443</v>
      </c>
      <c r="H1035" t="s">
        <v>2483</v>
      </c>
    </row>
    <row r="1036" spans="1:8" ht="30" x14ac:dyDescent="0.25">
      <c r="A1036" s="21" t="s">
        <v>2485</v>
      </c>
      <c r="B1036" s="25" t="s">
        <v>2487</v>
      </c>
      <c r="C1036" s="26">
        <v>1</v>
      </c>
      <c r="D1036" s="27" t="s">
        <v>15</v>
      </c>
      <c r="E1036" s="26">
        <v>1427.8</v>
      </c>
      <c r="F1036" s="28" t="s">
        <v>16</v>
      </c>
      <c r="G1036" s="26">
        <f>ROUND(C1036*E1036,0)</f>
        <v>1428</v>
      </c>
      <c r="H1036" t="s">
        <v>2486</v>
      </c>
    </row>
    <row r="1037" spans="1:8" ht="45" x14ac:dyDescent="0.25">
      <c r="A1037" s="21" t="s">
        <v>2488</v>
      </c>
      <c r="B1037" s="25" t="s">
        <v>2490</v>
      </c>
      <c r="C1037" s="26"/>
      <c r="D1037" s="27"/>
      <c r="E1037" s="26"/>
      <c r="F1037" s="28"/>
      <c r="G1037" s="26"/>
      <c r="H1037" t="s">
        <v>2489</v>
      </c>
    </row>
    <row r="1038" spans="1:8" ht="30" x14ac:dyDescent="0.25">
      <c r="A1038" s="21" t="s">
        <v>2491</v>
      </c>
      <c r="B1038" s="25" t="s">
        <v>2492</v>
      </c>
      <c r="C1038" s="26">
        <v>1</v>
      </c>
      <c r="D1038" s="27" t="s">
        <v>15</v>
      </c>
      <c r="E1038" s="26">
        <v>1308.8499999999999</v>
      </c>
      <c r="F1038" s="28" t="s">
        <v>16</v>
      </c>
      <c r="G1038" s="26">
        <f>ROUND(C1038*E1038,0)</f>
        <v>1309</v>
      </c>
      <c r="H1038" t="s">
        <v>2492</v>
      </c>
    </row>
    <row r="1039" spans="1:8" ht="75" x14ac:dyDescent="0.25">
      <c r="A1039" s="21" t="s">
        <v>2493</v>
      </c>
      <c r="B1039" s="25" t="s">
        <v>2495</v>
      </c>
      <c r="C1039" s="26"/>
      <c r="D1039" s="27"/>
      <c r="E1039" s="26"/>
      <c r="F1039" s="28"/>
      <c r="G1039" s="26"/>
      <c r="H1039" t="s">
        <v>2494</v>
      </c>
    </row>
    <row r="1040" spans="1:8" x14ac:dyDescent="0.25">
      <c r="A1040" s="21" t="s">
        <v>2496</v>
      </c>
      <c r="B1040" s="25" t="s">
        <v>1560</v>
      </c>
      <c r="C1040" s="26"/>
      <c r="D1040" s="27"/>
      <c r="E1040" s="26"/>
      <c r="F1040" s="28"/>
      <c r="G1040" s="26"/>
      <c r="H1040" t="s">
        <v>1753</v>
      </c>
    </row>
    <row r="1041" spans="1:8" ht="45" x14ac:dyDescent="0.25">
      <c r="A1041" s="21" t="s">
        <v>2497</v>
      </c>
      <c r="B1041" s="25" t="s">
        <v>1756</v>
      </c>
      <c r="C1041" s="26">
        <v>1</v>
      </c>
      <c r="D1041" s="27" t="s">
        <v>15</v>
      </c>
      <c r="E1041" s="26">
        <v>5024.1499999999996</v>
      </c>
      <c r="F1041" s="28" t="s">
        <v>16</v>
      </c>
      <c r="G1041" s="26">
        <f t="shared" ref="G1041:G1046" si="22">ROUND(C1041*E1041,0)</f>
        <v>5024</v>
      </c>
      <c r="H1041" t="s">
        <v>2498</v>
      </c>
    </row>
    <row r="1042" spans="1:8" ht="45" x14ac:dyDescent="0.25">
      <c r="A1042" s="21" t="s">
        <v>2499</v>
      </c>
      <c r="B1042" s="25" t="s">
        <v>2501</v>
      </c>
      <c r="C1042" s="26">
        <v>1</v>
      </c>
      <c r="D1042" s="27" t="s">
        <v>15</v>
      </c>
      <c r="E1042" s="26">
        <v>3771</v>
      </c>
      <c r="F1042" s="28" t="s">
        <v>16</v>
      </c>
      <c r="G1042" s="26">
        <f t="shared" si="22"/>
        <v>3771</v>
      </c>
      <c r="H1042" t="s">
        <v>2500</v>
      </c>
    </row>
    <row r="1043" spans="1:8" ht="45" x14ac:dyDescent="0.25">
      <c r="A1043" s="21" t="s">
        <v>2502</v>
      </c>
      <c r="B1043" s="25" t="s">
        <v>1761</v>
      </c>
      <c r="C1043" s="26">
        <v>1</v>
      </c>
      <c r="D1043" s="27" t="s">
        <v>15</v>
      </c>
      <c r="E1043" s="26">
        <v>4546.8</v>
      </c>
      <c r="F1043" s="28" t="s">
        <v>16</v>
      </c>
      <c r="G1043" s="26">
        <f t="shared" si="22"/>
        <v>4547</v>
      </c>
      <c r="H1043" t="s">
        <v>2503</v>
      </c>
    </row>
    <row r="1044" spans="1:8" ht="30" x14ac:dyDescent="0.25">
      <c r="A1044" s="21" t="s">
        <v>2504</v>
      </c>
      <c r="B1044" s="25" t="s">
        <v>2506</v>
      </c>
      <c r="C1044" s="26">
        <v>1</v>
      </c>
      <c r="D1044" s="27" t="s">
        <v>15</v>
      </c>
      <c r="E1044" s="26">
        <v>5217.6499999999996</v>
      </c>
      <c r="F1044" s="28" t="s">
        <v>16</v>
      </c>
      <c r="G1044" s="26">
        <f t="shared" si="22"/>
        <v>5218</v>
      </c>
      <c r="H1044" t="s">
        <v>2505</v>
      </c>
    </row>
    <row r="1045" spans="1:8" ht="45" x14ac:dyDescent="0.25">
      <c r="A1045" s="21" t="s">
        <v>2507</v>
      </c>
      <c r="B1045" s="25" t="s">
        <v>2509</v>
      </c>
      <c r="C1045" s="26">
        <v>1</v>
      </c>
      <c r="D1045" s="27" t="s">
        <v>15</v>
      </c>
      <c r="E1045" s="26">
        <v>3964.55</v>
      </c>
      <c r="F1045" s="28" t="s">
        <v>16</v>
      </c>
      <c r="G1045" s="26">
        <f t="shared" si="22"/>
        <v>3965</v>
      </c>
      <c r="H1045" t="s">
        <v>2508</v>
      </c>
    </row>
    <row r="1046" spans="1:8" ht="45" x14ac:dyDescent="0.25">
      <c r="A1046" s="21" t="s">
        <v>2510</v>
      </c>
      <c r="B1046" s="25" t="s">
        <v>2512</v>
      </c>
      <c r="C1046" s="26">
        <v>1</v>
      </c>
      <c r="D1046" s="27" t="s">
        <v>15</v>
      </c>
      <c r="E1046" s="26">
        <v>4740.3</v>
      </c>
      <c r="F1046" s="28" t="s">
        <v>16</v>
      </c>
      <c r="G1046" s="26">
        <f t="shared" si="22"/>
        <v>4740</v>
      </c>
      <c r="H1046" t="s">
        <v>2511</v>
      </c>
    </row>
    <row r="1047" spans="1:8" x14ac:dyDescent="0.25">
      <c r="A1047" s="21" t="s">
        <v>2513</v>
      </c>
      <c r="B1047" s="25" t="s">
        <v>1648</v>
      </c>
      <c r="C1047" s="26"/>
      <c r="D1047" s="27"/>
      <c r="E1047" s="26"/>
      <c r="F1047" s="28"/>
      <c r="G1047" s="26"/>
      <c r="H1047" t="s">
        <v>1648</v>
      </c>
    </row>
    <row r="1048" spans="1:8" ht="45" x14ac:dyDescent="0.25">
      <c r="A1048" s="21" t="s">
        <v>2514</v>
      </c>
      <c r="B1048" s="25" t="s">
        <v>1775</v>
      </c>
      <c r="C1048" s="26">
        <v>1</v>
      </c>
      <c r="D1048" s="27" t="s">
        <v>15</v>
      </c>
      <c r="E1048" s="26">
        <v>4498.6000000000004</v>
      </c>
      <c r="F1048" s="28" t="s">
        <v>16</v>
      </c>
      <c r="G1048" s="26">
        <f t="shared" ref="G1048:G1053" si="23">ROUND(C1048*E1048,0)</f>
        <v>4499</v>
      </c>
      <c r="H1048" t="s">
        <v>2515</v>
      </c>
    </row>
    <row r="1049" spans="1:8" ht="45" x14ac:dyDescent="0.25">
      <c r="A1049" s="21" t="s">
        <v>2516</v>
      </c>
      <c r="B1049" s="25" t="s">
        <v>2518</v>
      </c>
      <c r="C1049" s="26">
        <v>1</v>
      </c>
      <c r="D1049" s="27" t="s">
        <v>15</v>
      </c>
      <c r="E1049" s="26">
        <v>3426.05</v>
      </c>
      <c r="F1049" s="28" t="s">
        <v>16</v>
      </c>
      <c r="G1049" s="26">
        <f t="shared" si="23"/>
        <v>3426</v>
      </c>
      <c r="H1049" t="s">
        <v>2517</v>
      </c>
    </row>
    <row r="1050" spans="1:8" ht="45" x14ac:dyDescent="0.25">
      <c r="A1050" s="21" t="s">
        <v>2519</v>
      </c>
      <c r="B1050" s="25" t="s">
        <v>2521</v>
      </c>
      <c r="C1050" s="26">
        <v>1</v>
      </c>
      <c r="D1050" s="27" t="s">
        <v>15</v>
      </c>
      <c r="E1050" s="26">
        <v>4090</v>
      </c>
      <c r="F1050" s="28" t="s">
        <v>16</v>
      </c>
      <c r="G1050" s="26">
        <f t="shared" si="23"/>
        <v>4090</v>
      </c>
      <c r="H1050" t="s">
        <v>2520</v>
      </c>
    </row>
    <row r="1051" spans="1:8" ht="30" x14ac:dyDescent="0.25">
      <c r="A1051" s="21" t="s">
        <v>2522</v>
      </c>
      <c r="B1051" s="25" t="s">
        <v>2523</v>
      </c>
      <c r="C1051" s="26">
        <v>1</v>
      </c>
      <c r="D1051" s="27" t="s">
        <v>15</v>
      </c>
      <c r="E1051" s="26">
        <v>4692.1000000000004</v>
      </c>
      <c r="F1051" s="28" t="s">
        <v>16</v>
      </c>
      <c r="G1051" s="26">
        <f t="shared" si="23"/>
        <v>4692</v>
      </c>
      <c r="H1051" t="s">
        <v>2505</v>
      </c>
    </row>
    <row r="1052" spans="1:8" ht="45" x14ac:dyDescent="0.25">
      <c r="A1052" s="21" t="s">
        <v>2524</v>
      </c>
      <c r="B1052" s="25" t="s">
        <v>1767</v>
      </c>
      <c r="C1052" s="26">
        <v>1</v>
      </c>
      <c r="D1052" s="27" t="s">
        <v>15</v>
      </c>
      <c r="E1052" s="26">
        <v>3619.6</v>
      </c>
      <c r="F1052" s="28" t="s">
        <v>16</v>
      </c>
      <c r="G1052" s="26">
        <f t="shared" si="23"/>
        <v>3620</v>
      </c>
      <c r="H1052" t="s">
        <v>2508</v>
      </c>
    </row>
    <row r="1053" spans="1:8" ht="45" x14ac:dyDescent="0.25">
      <c r="A1053" s="21" t="s">
        <v>2525</v>
      </c>
      <c r="B1053" s="25" t="s">
        <v>1770</v>
      </c>
      <c r="C1053" s="26">
        <v>1</v>
      </c>
      <c r="D1053" s="27" t="s">
        <v>15</v>
      </c>
      <c r="E1053" s="26">
        <v>4283.5</v>
      </c>
      <c r="F1053" s="28" t="s">
        <v>16</v>
      </c>
      <c r="G1053" s="26">
        <f t="shared" si="23"/>
        <v>4284</v>
      </c>
      <c r="H1053" t="s">
        <v>2511</v>
      </c>
    </row>
    <row r="1054" spans="1:8" ht="75" x14ac:dyDescent="0.25">
      <c r="A1054" s="21" t="s">
        <v>2526</v>
      </c>
      <c r="B1054" s="25" t="s">
        <v>2528</v>
      </c>
      <c r="C1054" s="26"/>
      <c r="D1054" s="27"/>
      <c r="E1054" s="26"/>
      <c r="F1054" s="28"/>
      <c r="G1054" s="26"/>
      <c r="H1054" t="s">
        <v>2527</v>
      </c>
    </row>
    <row r="1055" spans="1:8" ht="30" x14ac:dyDescent="0.25">
      <c r="A1055" s="21" t="s">
        <v>2529</v>
      </c>
      <c r="B1055" s="25" t="s">
        <v>2530</v>
      </c>
      <c r="C1055" s="26">
        <v>1</v>
      </c>
      <c r="D1055" s="27" t="s">
        <v>15</v>
      </c>
      <c r="E1055" s="26">
        <v>1597.15</v>
      </c>
      <c r="F1055" s="28" t="s">
        <v>16</v>
      </c>
      <c r="G1055" s="26">
        <f t="shared" ref="G1055:G1060" si="24">ROUND(C1055*E1055,0)</f>
        <v>1597</v>
      </c>
      <c r="H1055" t="s">
        <v>2530</v>
      </c>
    </row>
    <row r="1056" spans="1:8" ht="30" x14ac:dyDescent="0.25">
      <c r="A1056" s="21" t="s">
        <v>2531</v>
      </c>
      <c r="B1056" s="25" t="s">
        <v>1870</v>
      </c>
      <c r="C1056" s="26">
        <v>1</v>
      </c>
      <c r="D1056" s="27" t="s">
        <v>15</v>
      </c>
      <c r="E1056" s="26">
        <v>1228</v>
      </c>
      <c r="F1056" s="28" t="s">
        <v>16</v>
      </c>
      <c r="G1056" s="26">
        <f t="shared" si="24"/>
        <v>1228</v>
      </c>
      <c r="H1056" t="s">
        <v>1870</v>
      </c>
    </row>
    <row r="1057" spans="1:8" ht="195" x14ac:dyDescent="0.25">
      <c r="A1057" s="21" t="s">
        <v>2532</v>
      </c>
      <c r="B1057" s="25" t="s">
        <v>2534</v>
      </c>
      <c r="C1057" s="26">
        <v>1</v>
      </c>
      <c r="D1057" s="27" t="s">
        <v>110</v>
      </c>
      <c r="E1057" s="26">
        <v>1709.25</v>
      </c>
      <c r="F1057" s="28" t="s">
        <v>618</v>
      </c>
      <c r="G1057" s="26">
        <f t="shared" si="24"/>
        <v>1709</v>
      </c>
      <c r="H1057" t="s">
        <v>2533</v>
      </c>
    </row>
    <row r="1058" spans="1:8" ht="210" x14ac:dyDescent="0.25">
      <c r="A1058" s="21" t="s">
        <v>2535</v>
      </c>
      <c r="B1058" s="25" t="s">
        <v>2537</v>
      </c>
      <c r="C1058" s="26">
        <v>1</v>
      </c>
      <c r="D1058" s="27" t="s">
        <v>15</v>
      </c>
      <c r="E1058" s="26">
        <v>7533.2</v>
      </c>
      <c r="F1058" s="28" t="s">
        <v>16</v>
      </c>
      <c r="G1058" s="26">
        <f t="shared" si="24"/>
        <v>7533</v>
      </c>
      <c r="H1058" t="s">
        <v>2536</v>
      </c>
    </row>
    <row r="1059" spans="1:8" ht="375" x14ac:dyDescent="0.25">
      <c r="A1059" s="21" t="s">
        <v>2538</v>
      </c>
      <c r="B1059" s="25" t="s">
        <v>2540</v>
      </c>
      <c r="C1059" s="26">
        <v>1</v>
      </c>
      <c r="D1059" s="27" t="s">
        <v>15</v>
      </c>
      <c r="E1059" s="26">
        <v>40405.550000000003</v>
      </c>
      <c r="F1059" s="28" t="s">
        <v>16</v>
      </c>
      <c r="G1059" s="26">
        <f t="shared" si="24"/>
        <v>40406</v>
      </c>
      <c r="H1059" t="s">
        <v>2539</v>
      </c>
    </row>
    <row r="1060" spans="1:8" ht="75" x14ac:dyDescent="0.25">
      <c r="A1060" s="21" t="s">
        <v>2541</v>
      </c>
      <c r="B1060" s="25" t="s">
        <v>2543</v>
      </c>
      <c r="C1060" s="26">
        <v>1</v>
      </c>
      <c r="D1060" s="27" t="s">
        <v>201</v>
      </c>
      <c r="E1060" s="26">
        <v>8366.15</v>
      </c>
      <c r="F1060" s="28" t="s">
        <v>202</v>
      </c>
      <c r="G1060" s="26">
        <f t="shared" si="24"/>
        <v>8366</v>
      </c>
      <c r="H1060" t="s">
        <v>2542</v>
      </c>
    </row>
    <row r="1061" spans="1:8" ht="90" x14ac:dyDescent="0.25">
      <c r="A1061" s="21" t="s">
        <v>2544</v>
      </c>
      <c r="B1061" s="25" t="s">
        <v>2546</v>
      </c>
      <c r="C1061" s="26"/>
      <c r="D1061" s="27"/>
      <c r="E1061" s="26"/>
      <c r="F1061" s="28"/>
      <c r="G1061" s="26"/>
      <c r="H1061" t="s">
        <v>2545</v>
      </c>
    </row>
    <row r="1062" spans="1:8" ht="30" x14ac:dyDescent="0.25">
      <c r="A1062" s="21" t="s">
        <v>2547</v>
      </c>
      <c r="B1062" s="25" t="s">
        <v>2548</v>
      </c>
      <c r="C1062" s="26">
        <v>1</v>
      </c>
      <c r="D1062" s="27" t="s">
        <v>15</v>
      </c>
      <c r="E1062" s="26">
        <v>1224.6500000000001</v>
      </c>
      <c r="F1062" s="28" t="s">
        <v>16</v>
      </c>
      <c r="G1062" s="26">
        <f>ROUND(C1062*E1062,0)</f>
        <v>1225</v>
      </c>
      <c r="H1062" t="s">
        <v>2548</v>
      </c>
    </row>
    <row r="1063" spans="1:8" ht="240" x14ac:dyDescent="0.25">
      <c r="A1063" s="21" t="s">
        <v>2549</v>
      </c>
      <c r="B1063" s="25" t="s">
        <v>2551</v>
      </c>
      <c r="C1063" s="26">
        <v>1</v>
      </c>
      <c r="D1063" s="27" t="s">
        <v>110</v>
      </c>
      <c r="E1063" s="26">
        <v>573.45000000000005</v>
      </c>
      <c r="F1063" s="28" t="s">
        <v>618</v>
      </c>
      <c r="G1063" s="26">
        <f>ROUND(C1063*E1063,0)</f>
        <v>573</v>
      </c>
      <c r="H1063" t="s">
        <v>2550</v>
      </c>
    </row>
    <row r="1064" spans="1:8" ht="390" x14ac:dyDescent="0.25">
      <c r="A1064" s="21" t="s">
        <v>2552</v>
      </c>
      <c r="B1064" s="25" t="s">
        <v>2554</v>
      </c>
      <c r="C1064" s="26"/>
      <c r="D1064" s="27"/>
      <c r="E1064" s="26"/>
      <c r="F1064" s="28"/>
      <c r="G1064" s="26"/>
      <c r="H1064" t="s">
        <v>2553</v>
      </c>
    </row>
    <row r="1065" spans="1:8" ht="30" x14ac:dyDescent="0.25">
      <c r="A1065" s="21" t="s">
        <v>2555</v>
      </c>
      <c r="B1065" s="25" t="s">
        <v>2556</v>
      </c>
      <c r="C1065" s="26">
        <v>1</v>
      </c>
      <c r="D1065" s="27" t="s">
        <v>15</v>
      </c>
      <c r="E1065" s="26">
        <v>3997.45</v>
      </c>
      <c r="F1065" s="28" t="s">
        <v>16</v>
      </c>
      <c r="G1065" s="26">
        <f t="shared" ref="G1065:G1070" si="25">ROUND(C1065*E1065,0)</f>
        <v>3997</v>
      </c>
      <c r="H1065" t="s">
        <v>2556</v>
      </c>
    </row>
    <row r="1066" spans="1:8" ht="30" x14ac:dyDescent="0.25">
      <c r="A1066" s="21" t="s">
        <v>2557</v>
      </c>
      <c r="B1066" s="25" t="s">
        <v>2558</v>
      </c>
      <c r="C1066" s="26">
        <v>1</v>
      </c>
      <c r="D1066" s="27" t="s">
        <v>15</v>
      </c>
      <c r="E1066" s="26">
        <v>4713.05</v>
      </c>
      <c r="F1066" s="28" t="s">
        <v>16</v>
      </c>
      <c r="G1066" s="26">
        <f t="shared" si="25"/>
        <v>4713</v>
      </c>
      <c r="H1066" t="s">
        <v>2558</v>
      </c>
    </row>
    <row r="1067" spans="1:8" ht="210" x14ac:dyDescent="0.25">
      <c r="A1067" s="21" t="s">
        <v>2559</v>
      </c>
      <c r="B1067" s="25" t="s">
        <v>2561</v>
      </c>
      <c r="C1067" s="26">
        <v>1</v>
      </c>
      <c r="D1067" s="27" t="s">
        <v>110</v>
      </c>
      <c r="E1067" s="26">
        <v>623</v>
      </c>
      <c r="F1067" s="28" t="s">
        <v>618</v>
      </c>
      <c r="G1067" s="26">
        <f t="shared" si="25"/>
        <v>623</v>
      </c>
      <c r="H1067" t="s">
        <v>2560</v>
      </c>
    </row>
    <row r="1068" spans="1:8" ht="255" x14ac:dyDescent="0.25">
      <c r="A1068" s="21" t="s">
        <v>2562</v>
      </c>
      <c r="B1068" s="25" t="s">
        <v>2564</v>
      </c>
      <c r="C1068" s="26">
        <v>1</v>
      </c>
      <c r="D1068" s="27" t="s">
        <v>15</v>
      </c>
      <c r="E1068" s="26">
        <v>4076.05</v>
      </c>
      <c r="F1068" s="28" t="s">
        <v>16</v>
      </c>
      <c r="G1068" s="26">
        <f t="shared" si="25"/>
        <v>4076</v>
      </c>
      <c r="H1068" t="s">
        <v>2563</v>
      </c>
    </row>
    <row r="1069" spans="1:8" ht="240" x14ac:dyDescent="0.25">
      <c r="A1069" s="21" t="s">
        <v>2565</v>
      </c>
      <c r="B1069" s="25" t="s">
        <v>2567</v>
      </c>
      <c r="C1069" s="26">
        <v>1</v>
      </c>
      <c r="D1069" s="27" t="s">
        <v>110</v>
      </c>
      <c r="E1069" s="26">
        <v>763.85</v>
      </c>
      <c r="F1069" s="28" t="s">
        <v>618</v>
      </c>
      <c r="G1069" s="26">
        <f t="shared" si="25"/>
        <v>764</v>
      </c>
      <c r="H1069" t="s">
        <v>2566</v>
      </c>
    </row>
    <row r="1070" spans="1:8" ht="375" x14ac:dyDescent="0.25">
      <c r="A1070" s="21" t="s">
        <v>2568</v>
      </c>
      <c r="B1070" s="25" t="s">
        <v>2570</v>
      </c>
      <c r="C1070" s="26">
        <v>1</v>
      </c>
      <c r="D1070" s="27" t="s">
        <v>15</v>
      </c>
      <c r="E1070" s="26">
        <v>4362</v>
      </c>
      <c r="F1070" s="28" t="s">
        <v>16</v>
      </c>
      <c r="G1070" s="26">
        <f t="shared" si="25"/>
        <v>4362</v>
      </c>
      <c r="H1070" t="s">
        <v>2569</v>
      </c>
    </row>
    <row r="1071" spans="1:8" ht="345" x14ac:dyDescent="0.25">
      <c r="A1071" s="21" t="s">
        <v>2571</v>
      </c>
      <c r="B1071" s="25" t="s">
        <v>2573</v>
      </c>
      <c r="C1071" s="26"/>
      <c r="D1071" s="27"/>
      <c r="E1071" s="26"/>
      <c r="F1071" s="28"/>
      <c r="G1071" s="26"/>
      <c r="H1071" t="s">
        <v>2572</v>
      </c>
    </row>
    <row r="1072" spans="1:8" ht="90" x14ac:dyDescent="0.25">
      <c r="A1072" s="21"/>
      <c r="B1072" s="25" t="s">
        <v>2574</v>
      </c>
      <c r="C1072" s="26"/>
      <c r="D1072" s="27"/>
      <c r="E1072" s="26"/>
      <c r="F1072" s="28"/>
      <c r="G1072" s="26"/>
    </row>
    <row r="1073" spans="1:8" ht="105" x14ac:dyDescent="0.25">
      <c r="A1073" s="21"/>
      <c r="B1073" s="25" t="s">
        <v>2575</v>
      </c>
      <c r="C1073" s="26"/>
      <c r="D1073" s="27"/>
      <c r="E1073" s="26"/>
      <c r="F1073" s="28"/>
      <c r="G1073" s="26"/>
    </row>
    <row r="1074" spans="1:8" ht="45" x14ac:dyDescent="0.25">
      <c r="A1074" s="21"/>
      <c r="B1074" s="25" t="s">
        <v>2576</v>
      </c>
      <c r="C1074" s="26"/>
      <c r="D1074" s="27"/>
      <c r="E1074" s="26"/>
      <c r="F1074" s="28"/>
      <c r="G1074" s="26"/>
    </row>
    <row r="1075" spans="1:8" ht="30" x14ac:dyDescent="0.25">
      <c r="A1075" s="21"/>
      <c r="B1075" s="25" t="s">
        <v>2577</v>
      </c>
      <c r="C1075" s="26"/>
      <c r="D1075" s="27"/>
      <c r="E1075" s="26"/>
      <c r="F1075" s="28"/>
      <c r="G1075" s="26"/>
    </row>
    <row r="1076" spans="1:8" ht="30" x14ac:dyDescent="0.25">
      <c r="A1076" s="21"/>
      <c r="B1076" s="25" t="s">
        <v>2578</v>
      </c>
      <c r="C1076" s="26"/>
      <c r="D1076" s="27"/>
      <c r="E1076" s="26"/>
      <c r="F1076" s="28"/>
      <c r="G1076" s="26"/>
    </row>
    <row r="1077" spans="1:8" ht="45" x14ac:dyDescent="0.25">
      <c r="A1077" s="21" t="s">
        <v>2579</v>
      </c>
      <c r="B1077" s="25" t="s">
        <v>2580</v>
      </c>
      <c r="C1077" s="26"/>
      <c r="D1077" s="27"/>
      <c r="E1077" s="26"/>
      <c r="F1077" s="28"/>
      <c r="G1077" s="26"/>
      <c r="H1077" t="s">
        <v>2580</v>
      </c>
    </row>
    <row r="1078" spans="1:8" ht="75" x14ac:dyDescent="0.25">
      <c r="A1078" s="21" t="s">
        <v>2581</v>
      </c>
      <c r="B1078" s="25" t="s">
        <v>2582</v>
      </c>
      <c r="C1078" s="26">
        <v>1</v>
      </c>
      <c r="D1078" s="27" t="s">
        <v>15</v>
      </c>
      <c r="E1078" s="26">
        <v>8298.85</v>
      </c>
      <c r="F1078" s="28" t="s">
        <v>16</v>
      </c>
      <c r="G1078" s="26">
        <f>ROUND(C1078*E1078,0)</f>
        <v>8299</v>
      </c>
      <c r="H1078" t="s">
        <v>2582</v>
      </c>
    </row>
    <row r="1079" spans="1:8" ht="75" x14ac:dyDescent="0.25">
      <c r="A1079" s="21" t="s">
        <v>2583</v>
      </c>
      <c r="B1079" s="25" t="s">
        <v>2584</v>
      </c>
      <c r="C1079" s="26">
        <v>1</v>
      </c>
      <c r="D1079" s="27" t="s">
        <v>15</v>
      </c>
      <c r="E1079" s="26">
        <v>8799.25</v>
      </c>
      <c r="F1079" s="28" t="s">
        <v>16</v>
      </c>
      <c r="G1079" s="26">
        <f>ROUND(C1079*E1079,0)</f>
        <v>8799</v>
      </c>
      <c r="H1079" t="s">
        <v>2584</v>
      </c>
    </row>
    <row r="1080" spans="1:8" ht="75" x14ac:dyDescent="0.25">
      <c r="A1080" s="21" t="s">
        <v>2585</v>
      </c>
      <c r="B1080" s="25" t="s">
        <v>2586</v>
      </c>
      <c r="C1080" s="26">
        <v>1</v>
      </c>
      <c r="D1080" s="27" t="s">
        <v>15</v>
      </c>
      <c r="E1080" s="26">
        <v>9628.6</v>
      </c>
      <c r="F1080" s="28" t="s">
        <v>16</v>
      </c>
      <c r="G1080" s="26">
        <f>ROUND(C1080*E1080,0)</f>
        <v>9629</v>
      </c>
      <c r="H1080" t="s">
        <v>2586</v>
      </c>
    </row>
    <row r="1081" spans="1:8" ht="75" x14ac:dyDescent="0.25">
      <c r="A1081" s="21" t="s">
        <v>2587</v>
      </c>
      <c r="B1081" s="25" t="s">
        <v>2588</v>
      </c>
      <c r="C1081" s="26"/>
      <c r="D1081" s="27"/>
      <c r="E1081" s="26"/>
      <c r="F1081" s="28"/>
      <c r="G1081" s="26"/>
      <c r="H1081" t="s">
        <v>2588</v>
      </c>
    </row>
    <row r="1082" spans="1:8" ht="45" x14ac:dyDescent="0.25">
      <c r="A1082" s="21" t="s">
        <v>2589</v>
      </c>
      <c r="B1082" s="25" t="s">
        <v>2590</v>
      </c>
      <c r="C1082" s="26">
        <v>1</v>
      </c>
      <c r="D1082" s="27" t="s">
        <v>15</v>
      </c>
      <c r="E1082" s="26">
        <v>7860.35</v>
      </c>
      <c r="F1082" s="28" t="s">
        <v>16</v>
      </c>
      <c r="G1082" s="26">
        <f>ROUND(C1082*E1082,0)</f>
        <v>7860</v>
      </c>
      <c r="H1082" t="s">
        <v>2590</v>
      </c>
    </row>
    <row r="1083" spans="1:8" ht="45" x14ac:dyDescent="0.25">
      <c r="A1083" s="21" t="s">
        <v>2591</v>
      </c>
      <c r="B1083" s="25" t="s">
        <v>2592</v>
      </c>
      <c r="C1083" s="26">
        <v>1</v>
      </c>
      <c r="D1083" s="27" t="s">
        <v>15</v>
      </c>
      <c r="E1083" s="26">
        <v>8579.5499999999993</v>
      </c>
      <c r="F1083" s="28" t="s">
        <v>16</v>
      </c>
      <c r="G1083" s="26">
        <f>ROUND(C1083*E1083,0)</f>
        <v>8580</v>
      </c>
      <c r="H1083" t="s">
        <v>2592</v>
      </c>
    </row>
    <row r="1084" spans="1:8" ht="60" x14ac:dyDescent="0.25">
      <c r="A1084" s="21" t="s">
        <v>2593</v>
      </c>
      <c r="B1084" s="25" t="s">
        <v>2594</v>
      </c>
      <c r="C1084" s="26"/>
      <c r="D1084" s="27"/>
      <c r="E1084" s="26"/>
      <c r="F1084" s="28"/>
      <c r="G1084" s="26"/>
      <c r="H1084" t="s">
        <v>2594</v>
      </c>
    </row>
    <row r="1085" spans="1:8" ht="90" x14ac:dyDescent="0.25">
      <c r="A1085" s="21" t="s">
        <v>2595</v>
      </c>
      <c r="B1085" s="25" t="s">
        <v>2596</v>
      </c>
      <c r="C1085" s="26">
        <v>1</v>
      </c>
      <c r="D1085" s="27" t="s">
        <v>15</v>
      </c>
      <c r="E1085" s="26">
        <v>9873.0499999999993</v>
      </c>
      <c r="F1085" s="28" t="s">
        <v>16</v>
      </c>
      <c r="G1085" s="26">
        <f>ROUND(C1085*E1085,0)</f>
        <v>9873</v>
      </c>
      <c r="H1085" t="s">
        <v>2596</v>
      </c>
    </row>
    <row r="1086" spans="1:8" ht="105" x14ac:dyDescent="0.25">
      <c r="A1086" s="21" t="s">
        <v>2597</v>
      </c>
      <c r="B1086" s="25" t="s">
        <v>2598</v>
      </c>
      <c r="C1086" s="26">
        <v>1</v>
      </c>
      <c r="D1086" s="27" t="s">
        <v>15</v>
      </c>
      <c r="E1086" s="26">
        <v>9968.7000000000007</v>
      </c>
      <c r="F1086" s="28" t="s">
        <v>16</v>
      </c>
      <c r="G1086" s="26">
        <f>ROUND(C1086*E1086,0)</f>
        <v>9969</v>
      </c>
      <c r="H1086" t="s">
        <v>2598</v>
      </c>
    </row>
    <row r="1087" spans="1:8" ht="60" x14ac:dyDescent="0.25">
      <c r="A1087" s="21" t="s">
        <v>2599</v>
      </c>
      <c r="B1087" s="25" t="s">
        <v>2600</v>
      </c>
      <c r="C1087" s="26"/>
      <c r="D1087" s="27"/>
      <c r="E1087" s="26"/>
      <c r="F1087" s="28"/>
      <c r="G1087" s="26"/>
      <c r="H1087" t="s">
        <v>2600</v>
      </c>
    </row>
    <row r="1088" spans="1:8" ht="75" x14ac:dyDescent="0.25">
      <c r="A1088" s="21" t="s">
        <v>2601</v>
      </c>
      <c r="B1088" s="25" t="s">
        <v>2602</v>
      </c>
      <c r="C1088" s="26">
        <v>1</v>
      </c>
      <c r="D1088" s="27" t="s">
        <v>15</v>
      </c>
      <c r="E1088" s="26">
        <v>10993.55</v>
      </c>
      <c r="F1088" s="28" t="s">
        <v>16</v>
      </c>
      <c r="G1088" s="26">
        <f>ROUND(C1088*E1088,0)</f>
        <v>10994</v>
      </c>
      <c r="H1088" t="s">
        <v>2602</v>
      </c>
    </row>
    <row r="1089" spans="1:8" ht="90" x14ac:dyDescent="0.25">
      <c r="A1089" s="21" t="s">
        <v>2603</v>
      </c>
      <c r="B1089" s="25" t="s">
        <v>2604</v>
      </c>
      <c r="C1089" s="26">
        <v>1</v>
      </c>
      <c r="D1089" s="27" t="s">
        <v>15</v>
      </c>
      <c r="E1089" s="26">
        <v>10874.2</v>
      </c>
      <c r="F1089" s="28" t="s">
        <v>16</v>
      </c>
      <c r="G1089" s="26">
        <f>ROUND(C1089*E1089,0)</f>
        <v>10874</v>
      </c>
      <c r="H1089" t="s">
        <v>2604</v>
      </c>
    </row>
    <row r="1090" spans="1:8" ht="90" x14ac:dyDescent="0.25">
      <c r="A1090" s="21" t="s">
        <v>2605</v>
      </c>
      <c r="B1090" s="25" t="s">
        <v>2606</v>
      </c>
      <c r="C1090" s="26">
        <v>1</v>
      </c>
      <c r="D1090" s="27" t="s">
        <v>15</v>
      </c>
      <c r="E1090" s="26">
        <v>12372.25</v>
      </c>
      <c r="F1090" s="28" t="s">
        <v>16</v>
      </c>
      <c r="G1090" s="26">
        <f>ROUND(C1090*E1090,0)</f>
        <v>12372</v>
      </c>
      <c r="H1090" t="s">
        <v>2606</v>
      </c>
    </row>
    <row r="1091" spans="1:8" ht="45" x14ac:dyDescent="0.25">
      <c r="A1091" s="21" t="s">
        <v>2607</v>
      </c>
      <c r="B1091" s="25" t="s">
        <v>2608</v>
      </c>
      <c r="C1091" s="26"/>
      <c r="D1091" s="27"/>
      <c r="E1091" s="26"/>
      <c r="F1091" s="28"/>
      <c r="G1091" s="26"/>
      <c r="H1091" t="s">
        <v>2608</v>
      </c>
    </row>
    <row r="1092" spans="1:8" ht="75" x14ac:dyDescent="0.25">
      <c r="A1092" s="21" t="s">
        <v>2609</v>
      </c>
      <c r="B1092" s="25" t="s">
        <v>2610</v>
      </c>
      <c r="C1092" s="26">
        <v>1</v>
      </c>
      <c r="D1092" s="27" t="s">
        <v>15</v>
      </c>
      <c r="E1092" s="26">
        <v>8748.35</v>
      </c>
      <c r="F1092" s="28" t="s">
        <v>16</v>
      </c>
      <c r="G1092" s="26">
        <f>ROUND(C1092*E1092,0)</f>
        <v>8748</v>
      </c>
      <c r="H1092" t="s">
        <v>2610</v>
      </c>
    </row>
    <row r="1093" spans="1:8" ht="90" x14ac:dyDescent="0.25">
      <c r="A1093" s="21" t="s">
        <v>2611</v>
      </c>
      <c r="B1093" s="25" t="s">
        <v>2612</v>
      </c>
      <c r="C1093" s="26">
        <v>1</v>
      </c>
      <c r="D1093" s="27" t="s">
        <v>15</v>
      </c>
      <c r="E1093" s="26">
        <v>8543.6</v>
      </c>
      <c r="F1093" s="28" t="s">
        <v>16</v>
      </c>
      <c r="G1093" s="26">
        <f>ROUND(C1093*E1093,0)</f>
        <v>8544</v>
      </c>
      <c r="H1093" t="s">
        <v>2612</v>
      </c>
    </row>
    <row r="1094" spans="1:8" ht="90" x14ac:dyDescent="0.25">
      <c r="A1094" s="21" t="s">
        <v>2613</v>
      </c>
      <c r="B1094" s="25" t="s">
        <v>2614</v>
      </c>
      <c r="C1094" s="26">
        <v>1</v>
      </c>
      <c r="D1094" s="27" t="s">
        <v>15</v>
      </c>
      <c r="E1094" s="26">
        <v>9888.35</v>
      </c>
      <c r="F1094" s="28" t="s">
        <v>16</v>
      </c>
      <c r="G1094" s="26">
        <f>ROUND(C1094*E1094,0)</f>
        <v>9888</v>
      </c>
      <c r="H1094" t="s">
        <v>2614</v>
      </c>
    </row>
    <row r="1095" spans="1:8" ht="90" x14ac:dyDescent="0.25">
      <c r="A1095" s="21" t="s">
        <v>2615</v>
      </c>
      <c r="B1095" s="25" t="s">
        <v>2616</v>
      </c>
      <c r="C1095" s="26"/>
      <c r="D1095" s="27"/>
      <c r="E1095" s="26"/>
      <c r="F1095" s="28"/>
      <c r="G1095" s="26"/>
      <c r="H1095" t="s">
        <v>2616</v>
      </c>
    </row>
    <row r="1096" spans="1:8" ht="45" x14ac:dyDescent="0.25">
      <c r="A1096" s="21" t="s">
        <v>2617</v>
      </c>
      <c r="B1096" s="25" t="s">
        <v>2618</v>
      </c>
      <c r="C1096" s="26">
        <v>1</v>
      </c>
      <c r="D1096" s="27" t="s">
        <v>15</v>
      </c>
      <c r="E1096" s="26">
        <v>8106.3</v>
      </c>
      <c r="F1096" s="28" t="s">
        <v>16</v>
      </c>
      <c r="G1096" s="26">
        <f>ROUND(C1096*E1096,0)</f>
        <v>8106</v>
      </c>
      <c r="H1096" t="s">
        <v>2618</v>
      </c>
    </row>
    <row r="1097" spans="1:8" ht="45" x14ac:dyDescent="0.25">
      <c r="A1097" s="21" t="s">
        <v>2619</v>
      </c>
      <c r="B1097" s="25" t="s">
        <v>2621</v>
      </c>
      <c r="C1097" s="26">
        <v>1</v>
      </c>
      <c r="D1097" s="27" t="s">
        <v>15</v>
      </c>
      <c r="E1097" s="26">
        <v>7732.85</v>
      </c>
      <c r="F1097" s="28" t="s">
        <v>16</v>
      </c>
      <c r="G1097" s="26">
        <f>ROUND(C1097*E1097,0)</f>
        <v>7733</v>
      </c>
      <c r="H1097" t="s">
        <v>2620</v>
      </c>
    </row>
    <row r="1098" spans="1:8" ht="90" x14ac:dyDescent="0.25">
      <c r="A1098" s="21" t="s">
        <v>2622</v>
      </c>
      <c r="B1098" s="25" t="s">
        <v>2623</v>
      </c>
      <c r="C1098" s="26"/>
      <c r="D1098" s="27"/>
      <c r="E1098" s="26"/>
      <c r="F1098" s="28"/>
      <c r="G1098" s="26"/>
      <c r="H1098" t="s">
        <v>2623</v>
      </c>
    </row>
    <row r="1099" spans="1:8" ht="45" x14ac:dyDescent="0.25">
      <c r="A1099" s="21" t="s">
        <v>2624</v>
      </c>
      <c r="B1099" s="25" t="s">
        <v>2618</v>
      </c>
      <c r="C1099" s="26">
        <v>1</v>
      </c>
      <c r="D1099" s="27" t="s">
        <v>15</v>
      </c>
      <c r="E1099" s="26">
        <v>7345.35</v>
      </c>
      <c r="F1099" s="28" t="s">
        <v>16</v>
      </c>
      <c r="G1099" s="26">
        <f>ROUND(C1099*E1099,0)</f>
        <v>7345</v>
      </c>
      <c r="H1099" t="s">
        <v>2625</v>
      </c>
    </row>
    <row r="1100" spans="1:8" ht="45" x14ac:dyDescent="0.25">
      <c r="A1100" s="21" t="s">
        <v>2626</v>
      </c>
      <c r="B1100" s="25" t="s">
        <v>2621</v>
      </c>
      <c r="C1100" s="26">
        <v>1</v>
      </c>
      <c r="D1100" s="27" t="s">
        <v>15</v>
      </c>
      <c r="E1100" s="26">
        <v>7196.7</v>
      </c>
      <c r="F1100" s="28" t="s">
        <v>16</v>
      </c>
      <c r="G1100" s="26">
        <f>ROUND(C1100*E1100,0)</f>
        <v>7197</v>
      </c>
      <c r="H1100" t="s">
        <v>2621</v>
      </c>
    </row>
    <row r="1101" spans="1:8" ht="90" x14ac:dyDescent="0.25">
      <c r="A1101" s="21" t="s">
        <v>2627</v>
      </c>
      <c r="B1101" s="25" t="s">
        <v>2628</v>
      </c>
      <c r="C1101" s="26"/>
      <c r="D1101" s="27"/>
      <c r="E1101" s="26"/>
      <c r="F1101" s="28"/>
      <c r="G1101" s="26"/>
      <c r="H1101" t="s">
        <v>2628</v>
      </c>
    </row>
    <row r="1102" spans="1:8" ht="60" x14ac:dyDescent="0.25">
      <c r="A1102" s="21" t="s">
        <v>2629</v>
      </c>
      <c r="B1102" s="25" t="s">
        <v>2630</v>
      </c>
      <c r="C1102" s="26">
        <v>1</v>
      </c>
      <c r="D1102" s="27" t="s">
        <v>15</v>
      </c>
      <c r="E1102" s="26">
        <v>10078.950000000001</v>
      </c>
      <c r="F1102" s="28" t="s">
        <v>16</v>
      </c>
      <c r="G1102" s="26">
        <f>ROUND(C1102*E1102,0)</f>
        <v>10079</v>
      </c>
      <c r="H1102" t="s">
        <v>2630</v>
      </c>
    </row>
    <row r="1103" spans="1:8" ht="60" x14ac:dyDescent="0.25">
      <c r="A1103" s="21" t="s">
        <v>2631</v>
      </c>
      <c r="B1103" s="25" t="s">
        <v>2632</v>
      </c>
      <c r="C1103" s="26">
        <v>1</v>
      </c>
      <c r="D1103" s="27" t="s">
        <v>15</v>
      </c>
      <c r="E1103" s="26">
        <v>9894.7999999999993</v>
      </c>
      <c r="F1103" s="28" t="s">
        <v>16</v>
      </c>
      <c r="G1103" s="26">
        <f>ROUND(C1103*E1103,0)</f>
        <v>9895</v>
      </c>
      <c r="H1103" t="s">
        <v>2632</v>
      </c>
    </row>
    <row r="1104" spans="1:8" ht="75" x14ac:dyDescent="0.25">
      <c r="A1104" s="21" t="s">
        <v>2633</v>
      </c>
      <c r="B1104" s="25" t="s">
        <v>2634</v>
      </c>
      <c r="C1104" s="26"/>
      <c r="D1104" s="27"/>
      <c r="E1104" s="26"/>
      <c r="F1104" s="28"/>
      <c r="G1104" s="26"/>
      <c r="H1104" t="s">
        <v>2634</v>
      </c>
    </row>
    <row r="1105" spans="1:8" ht="45" x14ac:dyDescent="0.25">
      <c r="A1105" s="21" t="s">
        <v>2635</v>
      </c>
      <c r="B1105" s="25" t="s">
        <v>2636</v>
      </c>
      <c r="C1105" s="26">
        <v>1</v>
      </c>
      <c r="D1105" s="27" t="s">
        <v>15</v>
      </c>
      <c r="E1105" s="26">
        <v>8287.0499999999993</v>
      </c>
      <c r="F1105" s="28" t="s">
        <v>16</v>
      </c>
      <c r="G1105" s="26">
        <f>ROUND(C1105*E1105,0)</f>
        <v>8287</v>
      </c>
      <c r="H1105" t="s">
        <v>2636</v>
      </c>
    </row>
    <row r="1106" spans="1:8" ht="45" x14ac:dyDescent="0.25">
      <c r="A1106" s="21" t="s">
        <v>2637</v>
      </c>
      <c r="B1106" s="25" t="s">
        <v>2638</v>
      </c>
      <c r="C1106" s="26">
        <v>1</v>
      </c>
      <c r="D1106" s="27" t="s">
        <v>15</v>
      </c>
      <c r="E1106" s="26">
        <v>7943.95</v>
      </c>
      <c r="F1106" s="28" t="s">
        <v>16</v>
      </c>
      <c r="G1106" s="26">
        <f>ROUND(C1106*E1106,0)</f>
        <v>7944</v>
      </c>
      <c r="H1106" t="s">
        <v>2638</v>
      </c>
    </row>
    <row r="1107" spans="1:8" ht="30" x14ac:dyDescent="0.25">
      <c r="A1107" s="21" t="s">
        <v>2639</v>
      </c>
      <c r="B1107" s="25" t="s">
        <v>2640</v>
      </c>
      <c r="C1107" s="26"/>
      <c r="D1107" s="27"/>
      <c r="E1107" s="26"/>
      <c r="F1107" s="28"/>
      <c r="G1107" s="26"/>
      <c r="H1107" t="s">
        <v>2640</v>
      </c>
    </row>
    <row r="1108" spans="1:8" ht="30" x14ac:dyDescent="0.25">
      <c r="A1108" s="21" t="s">
        <v>2641</v>
      </c>
      <c r="B1108" s="25" t="s">
        <v>2642</v>
      </c>
      <c r="C1108" s="26">
        <v>1</v>
      </c>
      <c r="D1108" s="27" t="s">
        <v>15</v>
      </c>
      <c r="E1108" s="26">
        <v>8247.25</v>
      </c>
      <c r="F1108" s="28" t="s">
        <v>16</v>
      </c>
      <c r="G1108" s="26">
        <f>ROUND(C1108*E1108,0)</f>
        <v>8247</v>
      </c>
      <c r="H1108" t="s">
        <v>2642</v>
      </c>
    </row>
    <row r="1109" spans="1:8" ht="30" x14ac:dyDescent="0.25">
      <c r="A1109" s="21" t="s">
        <v>2643</v>
      </c>
      <c r="B1109" s="25" t="s">
        <v>2644</v>
      </c>
      <c r="C1109" s="26">
        <v>1</v>
      </c>
      <c r="D1109" s="27" t="s">
        <v>15</v>
      </c>
      <c r="E1109" s="26">
        <v>8054.75</v>
      </c>
      <c r="F1109" s="28" t="s">
        <v>16</v>
      </c>
      <c r="G1109" s="26">
        <f>ROUND(C1109*E1109,0)</f>
        <v>8055</v>
      </c>
      <c r="H1109" t="s">
        <v>2644</v>
      </c>
    </row>
    <row r="1110" spans="1:8" ht="30" x14ac:dyDescent="0.25">
      <c r="A1110" s="21" t="s">
        <v>2645</v>
      </c>
      <c r="B1110" s="25" t="s">
        <v>2647</v>
      </c>
      <c r="C1110" s="26">
        <v>1</v>
      </c>
      <c r="D1110" s="27" t="s">
        <v>15</v>
      </c>
      <c r="E1110" s="26">
        <v>7080.05</v>
      </c>
      <c r="F1110" s="28" t="s">
        <v>16</v>
      </c>
      <c r="G1110" s="26">
        <f>ROUND(C1110*E1110,0)</f>
        <v>7080</v>
      </c>
      <c r="H1110" t="s">
        <v>2646</v>
      </c>
    </row>
    <row r="1111" spans="1:8" ht="30" x14ac:dyDescent="0.25">
      <c r="A1111" s="21" t="s">
        <v>2648</v>
      </c>
      <c r="B1111" s="25" t="s">
        <v>2649</v>
      </c>
      <c r="C1111" s="26">
        <v>1</v>
      </c>
      <c r="D1111" s="27" t="s">
        <v>15</v>
      </c>
      <c r="E1111" s="26">
        <v>6032.85</v>
      </c>
      <c r="F1111" s="28" t="s">
        <v>16</v>
      </c>
      <c r="G1111" s="26">
        <f>ROUND(C1111*E1111,0)</f>
        <v>6033</v>
      </c>
      <c r="H1111" t="s">
        <v>2649</v>
      </c>
    </row>
    <row r="1112" spans="1:8" ht="30" x14ac:dyDescent="0.25">
      <c r="A1112" s="21" t="s">
        <v>2650</v>
      </c>
      <c r="B1112" s="25" t="s">
        <v>2651</v>
      </c>
      <c r="C1112" s="26"/>
      <c r="D1112" s="27"/>
      <c r="E1112" s="26"/>
      <c r="F1112" s="28"/>
      <c r="G1112" s="26"/>
      <c r="H1112" t="s">
        <v>2651</v>
      </c>
    </row>
    <row r="1113" spans="1:8" ht="45" x14ac:dyDescent="0.25">
      <c r="A1113" s="21" t="s">
        <v>2652</v>
      </c>
      <c r="B1113" s="25" t="s">
        <v>2653</v>
      </c>
      <c r="C1113" s="26">
        <v>1</v>
      </c>
      <c r="D1113" s="27" t="s">
        <v>15</v>
      </c>
      <c r="E1113" s="26">
        <v>9155.2000000000007</v>
      </c>
      <c r="F1113" s="28" t="s">
        <v>16</v>
      </c>
      <c r="G1113" s="26">
        <f>ROUND(C1113*E1113,0)</f>
        <v>9155</v>
      </c>
      <c r="H1113" t="s">
        <v>2653</v>
      </c>
    </row>
    <row r="1114" spans="1:8" ht="45" x14ac:dyDescent="0.25">
      <c r="A1114" s="21" t="s">
        <v>2654</v>
      </c>
      <c r="B1114" s="25" t="s">
        <v>2655</v>
      </c>
      <c r="C1114" s="26">
        <v>1</v>
      </c>
      <c r="D1114" s="27" t="s">
        <v>15</v>
      </c>
      <c r="E1114" s="26">
        <v>8765.4</v>
      </c>
      <c r="F1114" s="28" t="s">
        <v>16</v>
      </c>
      <c r="G1114" s="26">
        <f>ROUND(C1114*E1114,0)</f>
        <v>8765</v>
      </c>
      <c r="H1114" t="s">
        <v>2655</v>
      </c>
    </row>
    <row r="1115" spans="1:8" ht="45" x14ac:dyDescent="0.25">
      <c r="A1115" s="21" t="s">
        <v>2656</v>
      </c>
      <c r="B1115" s="25" t="s">
        <v>2657</v>
      </c>
      <c r="C1115" s="26">
        <v>1</v>
      </c>
      <c r="D1115" s="27" t="s">
        <v>15</v>
      </c>
      <c r="E1115" s="26">
        <v>7827.75</v>
      </c>
      <c r="F1115" s="28" t="s">
        <v>16</v>
      </c>
      <c r="G1115" s="26">
        <f>ROUND(C1115*E1115,0)</f>
        <v>7828</v>
      </c>
      <c r="H1115" t="s">
        <v>2657</v>
      </c>
    </row>
    <row r="1116" spans="1:8" ht="45" x14ac:dyDescent="0.25">
      <c r="A1116" s="21" t="s">
        <v>2658</v>
      </c>
      <c r="B1116" s="25" t="s">
        <v>2659</v>
      </c>
      <c r="C1116" s="26">
        <v>1</v>
      </c>
      <c r="D1116" s="27" t="s">
        <v>15</v>
      </c>
      <c r="E1116" s="26">
        <v>6528.8</v>
      </c>
      <c r="F1116" s="28" t="s">
        <v>16</v>
      </c>
      <c r="G1116" s="26">
        <f>ROUND(C1116*E1116,0)</f>
        <v>6529</v>
      </c>
      <c r="H1116" t="s">
        <v>2659</v>
      </c>
    </row>
    <row r="1117" spans="1:8" ht="75" x14ac:dyDescent="0.25">
      <c r="A1117" s="21" t="s">
        <v>2660</v>
      </c>
      <c r="B1117" s="25" t="s">
        <v>2661</v>
      </c>
      <c r="C1117" s="26"/>
      <c r="D1117" s="27"/>
      <c r="E1117" s="26"/>
      <c r="F1117" s="28"/>
      <c r="G1117" s="26"/>
      <c r="H1117" t="s">
        <v>2661</v>
      </c>
    </row>
    <row r="1118" spans="1:8" ht="60" x14ac:dyDescent="0.25">
      <c r="A1118" s="21" t="s">
        <v>2662</v>
      </c>
      <c r="B1118" s="25" t="s">
        <v>2663</v>
      </c>
      <c r="C1118" s="26">
        <v>1</v>
      </c>
      <c r="D1118" s="27" t="s">
        <v>15</v>
      </c>
      <c r="E1118" s="26">
        <v>13201.2</v>
      </c>
      <c r="F1118" s="28" t="s">
        <v>16</v>
      </c>
      <c r="G1118" s="26">
        <f>ROUND(C1118*E1118,0)</f>
        <v>13201</v>
      </c>
      <c r="H1118" t="s">
        <v>2663</v>
      </c>
    </row>
    <row r="1119" spans="1:8" ht="60" x14ac:dyDescent="0.25">
      <c r="A1119" s="21" t="s">
        <v>2664</v>
      </c>
      <c r="B1119" s="25" t="s">
        <v>2665</v>
      </c>
      <c r="C1119" s="26">
        <v>1</v>
      </c>
      <c r="D1119" s="27" t="s">
        <v>15</v>
      </c>
      <c r="E1119" s="26">
        <v>12254.9</v>
      </c>
      <c r="F1119" s="28" t="s">
        <v>16</v>
      </c>
      <c r="G1119" s="26">
        <f>ROUND(C1119*E1119,0)</f>
        <v>12255</v>
      </c>
      <c r="H1119" t="s">
        <v>2665</v>
      </c>
    </row>
    <row r="1120" spans="1:8" ht="60" x14ac:dyDescent="0.25">
      <c r="A1120" s="21" t="s">
        <v>2666</v>
      </c>
      <c r="B1120" s="25" t="s">
        <v>2667</v>
      </c>
      <c r="C1120" s="26">
        <v>1</v>
      </c>
      <c r="D1120" s="27" t="s">
        <v>15</v>
      </c>
      <c r="E1120" s="26">
        <v>11919.85</v>
      </c>
      <c r="F1120" s="28" t="s">
        <v>16</v>
      </c>
      <c r="G1120" s="26">
        <f>ROUND(C1120*E1120,0)</f>
        <v>11920</v>
      </c>
      <c r="H1120" t="s">
        <v>2667</v>
      </c>
    </row>
    <row r="1121" spans="1:8" ht="60" x14ac:dyDescent="0.25">
      <c r="A1121" s="21" t="s">
        <v>2668</v>
      </c>
      <c r="B1121" s="25" t="s">
        <v>2669</v>
      </c>
      <c r="C1121" s="26"/>
      <c r="D1121" s="27"/>
      <c r="E1121" s="26"/>
      <c r="F1121" s="28"/>
      <c r="G1121" s="26"/>
      <c r="H1121" t="s">
        <v>2669</v>
      </c>
    </row>
    <row r="1122" spans="1:8" ht="45" x14ac:dyDescent="0.25">
      <c r="A1122" s="21" t="s">
        <v>2670</v>
      </c>
      <c r="B1122" s="25" t="s">
        <v>2671</v>
      </c>
      <c r="C1122" s="26">
        <v>1</v>
      </c>
      <c r="D1122" s="27" t="s">
        <v>15</v>
      </c>
      <c r="E1122" s="26">
        <v>14449.25</v>
      </c>
      <c r="F1122" s="28" t="s">
        <v>16</v>
      </c>
      <c r="G1122" s="26">
        <f>ROUND(C1122*E1122,0)</f>
        <v>14449</v>
      </c>
      <c r="H1122" t="s">
        <v>2671</v>
      </c>
    </row>
    <row r="1123" spans="1:8" ht="45" x14ac:dyDescent="0.25">
      <c r="A1123" s="21" t="s">
        <v>2672</v>
      </c>
      <c r="B1123" s="25" t="s">
        <v>2673</v>
      </c>
      <c r="C1123" s="26">
        <v>1</v>
      </c>
      <c r="D1123" s="27" t="s">
        <v>15</v>
      </c>
      <c r="E1123" s="26">
        <v>13387.15</v>
      </c>
      <c r="F1123" s="28" t="s">
        <v>16</v>
      </c>
      <c r="G1123" s="26">
        <f>ROUND(C1123*E1123,0)</f>
        <v>13387</v>
      </c>
      <c r="H1123" t="s">
        <v>2673</v>
      </c>
    </row>
    <row r="1124" spans="1:8" ht="45" x14ac:dyDescent="0.25">
      <c r="A1124" s="21" t="s">
        <v>2674</v>
      </c>
      <c r="B1124" s="25" t="s">
        <v>2675</v>
      </c>
      <c r="C1124" s="26">
        <v>1</v>
      </c>
      <c r="D1124" s="27" t="s">
        <v>15</v>
      </c>
      <c r="E1124" s="26">
        <v>14587.05</v>
      </c>
      <c r="F1124" s="28" t="s">
        <v>16</v>
      </c>
      <c r="G1124" s="26">
        <f>ROUND(C1124*E1124,0)</f>
        <v>14587</v>
      </c>
      <c r="H1124" t="s">
        <v>2675</v>
      </c>
    </row>
    <row r="1125" spans="1:8" ht="60" x14ac:dyDescent="0.25">
      <c r="A1125" s="21" t="s">
        <v>2676</v>
      </c>
      <c r="B1125" s="25" t="s">
        <v>2677</v>
      </c>
      <c r="C1125" s="26"/>
      <c r="D1125" s="27"/>
      <c r="E1125" s="26"/>
      <c r="F1125" s="28"/>
      <c r="G1125" s="26"/>
      <c r="H1125" t="s">
        <v>2677</v>
      </c>
    </row>
    <row r="1126" spans="1:8" ht="60" x14ac:dyDescent="0.25">
      <c r="A1126" s="21" t="s">
        <v>2678</v>
      </c>
      <c r="B1126" s="25" t="s">
        <v>2679</v>
      </c>
      <c r="C1126" s="26">
        <v>1</v>
      </c>
      <c r="D1126" s="27" t="s">
        <v>15</v>
      </c>
      <c r="E1126" s="26">
        <v>13078.7</v>
      </c>
      <c r="F1126" s="28" t="s">
        <v>16</v>
      </c>
      <c r="G1126" s="26">
        <f>ROUND(C1126*E1126,0)</f>
        <v>13079</v>
      </c>
      <c r="H1126" t="s">
        <v>2679</v>
      </c>
    </row>
    <row r="1127" spans="1:8" ht="60" x14ac:dyDescent="0.25">
      <c r="A1127" s="21" t="s">
        <v>2680</v>
      </c>
      <c r="B1127" s="25" t="s">
        <v>2681</v>
      </c>
      <c r="C1127" s="26">
        <v>1</v>
      </c>
      <c r="D1127" s="27" t="s">
        <v>15</v>
      </c>
      <c r="E1127" s="26">
        <v>12472.95</v>
      </c>
      <c r="F1127" s="28" t="s">
        <v>16</v>
      </c>
      <c r="G1127" s="26">
        <f>ROUND(C1127*E1127,0)</f>
        <v>12473</v>
      </c>
      <c r="H1127" t="s">
        <v>2681</v>
      </c>
    </row>
    <row r="1128" spans="1:8" ht="60" x14ac:dyDescent="0.25">
      <c r="A1128" s="21" t="s">
        <v>2682</v>
      </c>
      <c r="B1128" s="25" t="s">
        <v>2683</v>
      </c>
      <c r="C1128" s="26">
        <v>1</v>
      </c>
      <c r="D1128" s="27" t="s">
        <v>15</v>
      </c>
      <c r="E1128" s="26">
        <v>13477.1</v>
      </c>
      <c r="F1128" s="28" t="s">
        <v>16</v>
      </c>
      <c r="G1128" s="26">
        <f>ROUND(C1128*E1128,0)</f>
        <v>13477</v>
      </c>
      <c r="H1128" t="s">
        <v>2683</v>
      </c>
    </row>
    <row r="1129" spans="1:8" ht="75" x14ac:dyDescent="0.25">
      <c r="A1129" s="21" t="s">
        <v>2684</v>
      </c>
      <c r="B1129" s="25" t="s">
        <v>2686</v>
      </c>
      <c r="C1129" s="26"/>
      <c r="D1129" s="27"/>
      <c r="E1129" s="26"/>
      <c r="F1129" s="28"/>
      <c r="G1129" s="26"/>
      <c r="H1129" t="s">
        <v>2685</v>
      </c>
    </row>
    <row r="1130" spans="1:8" ht="75" x14ac:dyDescent="0.25">
      <c r="A1130" s="21" t="s">
        <v>2687</v>
      </c>
      <c r="B1130" s="25" t="s">
        <v>2688</v>
      </c>
      <c r="C1130" s="26">
        <v>1</v>
      </c>
      <c r="D1130" s="27" t="s">
        <v>15</v>
      </c>
      <c r="E1130" s="26">
        <v>11715.95</v>
      </c>
      <c r="F1130" s="28" t="s">
        <v>16</v>
      </c>
      <c r="G1130" s="26">
        <f>ROUND(C1130*E1130,0)</f>
        <v>11716</v>
      </c>
      <c r="H1130" t="s">
        <v>2688</v>
      </c>
    </row>
    <row r="1131" spans="1:8" ht="75" x14ac:dyDescent="0.25">
      <c r="A1131" s="21" t="s">
        <v>2689</v>
      </c>
      <c r="B1131" s="25" t="s">
        <v>2690</v>
      </c>
      <c r="C1131" s="26">
        <v>1</v>
      </c>
      <c r="D1131" s="27" t="s">
        <v>15</v>
      </c>
      <c r="E1131" s="26">
        <v>11466.8</v>
      </c>
      <c r="F1131" s="28" t="s">
        <v>16</v>
      </c>
      <c r="G1131" s="26">
        <f>ROUND(C1131*E1131,0)</f>
        <v>11467</v>
      </c>
      <c r="H1131" t="s">
        <v>2690</v>
      </c>
    </row>
    <row r="1132" spans="1:8" ht="75" x14ac:dyDescent="0.25">
      <c r="A1132" s="21" t="s">
        <v>2691</v>
      </c>
      <c r="B1132" s="25" t="s">
        <v>2692</v>
      </c>
      <c r="C1132" s="26">
        <v>1</v>
      </c>
      <c r="D1132" s="27" t="s">
        <v>15</v>
      </c>
      <c r="E1132" s="26">
        <v>12496.3</v>
      </c>
      <c r="F1132" s="28" t="s">
        <v>16</v>
      </c>
      <c r="G1132" s="26">
        <f>ROUND(C1132*E1132,0)</f>
        <v>12496</v>
      </c>
      <c r="H1132" t="s">
        <v>2692</v>
      </c>
    </row>
    <row r="1133" spans="1:8" ht="75" x14ac:dyDescent="0.25">
      <c r="A1133" s="21" t="s">
        <v>2693</v>
      </c>
      <c r="B1133" s="25" t="s">
        <v>2695</v>
      </c>
      <c r="C1133" s="26"/>
      <c r="D1133" s="27"/>
      <c r="E1133" s="26"/>
      <c r="F1133" s="28"/>
      <c r="G1133" s="26"/>
      <c r="H1133" t="s">
        <v>2694</v>
      </c>
    </row>
    <row r="1134" spans="1:8" ht="75" x14ac:dyDescent="0.25">
      <c r="A1134" s="21" t="s">
        <v>2696</v>
      </c>
      <c r="B1134" s="25" t="s">
        <v>2698</v>
      </c>
      <c r="C1134" s="26">
        <v>1</v>
      </c>
      <c r="D1134" s="27" t="s">
        <v>15</v>
      </c>
      <c r="E1134" s="26">
        <v>9870.15</v>
      </c>
      <c r="F1134" s="28" t="s">
        <v>16</v>
      </c>
      <c r="G1134" s="26">
        <f>ROUND(C1134*E1134,0)</f>
        <v>9870</v>
      </c>
      <c r="H1134" t="s">
        <v>2697</v>
      </c>
    </row>
    <row r="1135" spans="1:8" ht="75" x14ac:dyDescent="0.25">
      <c r="A1135" s="21" t="s">
        <v>2699</v>
      </c>
      <c r="B1135" s="25" t="s">
        <v>2701</v>
      </c>
      <c r="C1135" s="26">
        <v>1</v>
      </c>
      <c r="D1135" s="27" t="s">
        <v>15</v>
      </c>
      <c r="E1135" s="26">
        <v>9308</v>
      </c>
      <c r="F1135" s="28" t="s">
        <v>16</v>
      </c>
      <c r="G1135" s="26">
        <f>ROUND(C1135*E1135,0)</f>
        <v>9308</v>
      </c>
      <c r="H1135" t="s">
        <v>2700</v>
      </c>
    </row>
    <row r="1136" spans="1:8" ht="75" x14ac:dyDescent="0.25">
      <c r="A1136" s="21" t="s">
        <v>2702</v>
      </c>
      <c r="B1136" s="25" t="s">
        <v>2703</v>
      </c>
      <c r="C1136" s="26">
        <v>1</v>
      </c>
      <c r="D1136" s="27" t="s">
        <v>15</v>
      </c>
      <c r="E1136" s="26">
        <v>10212.6</v>
      </c>
      <c r="F1136" s="28" t="s">
        <v>16</v>
      </c>
      <c r="G1136" s="26">
        <f>ROUND(C1136*E1136,0)</f>
        <v>10213</v>
      </c>
      <c r="H1136" t="s">
        <v>2703</v>
      </c>
    </row>
    <row r="1137" spans="1:8" ht="75" x14ac:dyDescent="0.25">
      <c r="A1137" s="21" t="s">
        <v>2704</v>
      </c>
      <c r="B1137" s="25" t="s">
        <v>2705</v>
      </c>
      <c r="C1137" s="26"/>
      <c r="D1137" s="27"/>
      <c r="E1137" s="26"/>
      <c r="F1137" s="28"/>
      <c r="G1137" s="26"/>
      <c r="H1137" t="s">
        <v>2705</v>
      </c>
    </row>
    <row r="1138" spans="1:8" ht="75" x14ac:dyDescent="0.25">
      <c r="A1138" s="21" t="s">
        <v>2706</v>
      </c>
      <c r="B1138" s="25" t="s">
        <v>2707</v>
      </c>
      <c r="C1138" s="26">
        <v>1</v>
      </c>
      <c r="D1138" s="27" t="s">
        <v>15</v>
      </c>
      <c r="E1138" s="26">
        <v>10474.049999999999</v>
      </c>
      <c r="F1138" s="28" t="s">
        <v>16</v>
      </c>
      <c r="G1138" s="26">
        <f>ROUND(C1138*E1138,0)</f>
        <v>10474</v>
      </c>
      <c r="H1138" t="s">
        <v>2707</v>
      </c>
    </row>
    <row r="1139" spans="1:8" ht="75" x14ac:dyDescent="0.25">
      <c r="A1139" s="21" t="s">
        <v>2708</v>
      </c>
      <c r="B1139" s="25" t="s">
        <v>2709</v>
      </c>
      <c r="C1139" s="26">
        <v>1</v>
      </c>
      <c r="D1139" s="27" t="s">
        <v>15</v>
      </c>
      <c r="E1139" s="26">
        <v>10051.200000000001</v>
      </c>
      <c r="F1139" s="28" t="s">
        <v>16</v>
      </c>
      <c r="G1139" s="26">
        <f>ROUND(C1139*E1139,0)</f>
        <v>10051</v>
      </c>
      <c r="H1139" t="s">
        <v>2709</v>
      </c>
    </row>
    <row r="1140" spans="1:8" ht="75" x14ac:dyDescent="0.25">
      <c r="A1140" s="21" t="s">
        <v>2710</v>
      </c>
      <c r="B1140" s="25" t="s">
        <v>2703</v>
      </c>
      <c r="C1140" s="26">
        <v>1</v>
      </c>
      <c r="D1140" s="27" t="s">
        <v>15</v>
      </c>
      <c r="E1140" s="26">
        <v>10200.75</v>
      </c>
      <c r="F1140" s="28" t="s">
        <v>16</v>
      </c>
      <c r="G1140" s="26">
        <f>ROUND(C1140*E1140,0)</f>
        <v>10201</v>
      </c>
      <c r="H1140" t="s">
        <v>2703</v>
      </c>
    </row>
    <row r="1141" spans="1:8" ht="90" x14ac:dyDescent="0.25">
      <c r="A1141" s="21" t="s">
        <v>2711</v>
      </c>
      <c r="B1141" s="25" t="s">
        <v>2712</v>
      </c>
      <c r="C1141" s="26"/>
      <c r="D1141" s="27"/>
      <c r="E1141" s="26"/>
      <c r="F1141" s="28"/>
      <c r="G1141" s="26"/>
      <c r="H1141" t="s">
        <v>2712</v>
      </c>
    </row>
    <row r="1142" spans="1:8" ht="90" x14ac:dyDescent="0.25">
      <c r="A1142" s="21" t="s">
        <v>2713</v>
      </c>
      <c r="B1142" s="25" t="s">
        <v>2714</v>
      </c>
      <c r="C1142" s="26">
        <v>1</v>
      </c>
      <c r="D1142" s="27" t="s">
        <v>15</v>
      </c>
      <c r="E1142" s="26">
        <v>22785.35</v>
      </c>
      <c r="F1142" s="28" t="s">
        <v>16</v>
      </c>
      <c r="G1142" s="26">
        <f>ROUND(C1142*E1142,0)</f>
        <v>22785</v>
      </c>
      <c r="H1142" t="s">
        <v>2714</v>
      </c>
    </row>
    <row r="1143" spans="1:8" ht="105" x14ac:dyDescent="0.25">
      <c r="A1143" s="21" t="s">
        <v>2715</v>
      </c>
      <c r="B1143" s="25" t="s">
        <v>2716</v>
      </c>
      <c r="C1143" s="26"/>
      <c r="D1143" s="27"/>
      <c r="E1143" s="26"/>
      <c r="F1143" s="28"/>
      <c r="G1143" s="26"/>
      <c r="H1143" t="s">
        <v>2716</v>
      </c>
    </row>
    <row r="1144" spans="1:8" ht="105" x14ac:dyDescent="0.25">
      <c r="A1144" s="21" t="s">
        <v>2717</v>
      </c>
      <c r="B1144" s="25" t="s">
        <v>2719</v>
      </c>
      <c r="C1144" s="26">
        <v>1</v>
      </c>
      <c r="D1144" s="27" t="s">
        <v>15</v>
      </c>
      <c r="E1144" s="26">
        <v>20576.3</v>
      </c>
      <c r="F1144" s="28" t="s">
        <v>16</v>
      </c>
      <c r="G1144" s="26">
        <f>ROUND(C1144*E1144,0)</f>
        <v>20576</v>
      </c>
      <c r="H1144" t="s">
        <v>2718</v>
      </c>
    </row>
    <row r="1145" spans="1:8" ht="120" x14ac:dyDescent="0.25">
      <c r="A1145" s="21" t="s">
        <v>2720</v>
      </c>
      <c r="B1145" s="25" t="s">
        <v>2721</v>
      </c>
      <c r="C1145" s="26"/>
      <c r="D1145" s="27"/>
      <c r="E1145" s="26"/>
      <c r="F1145" s="28"/>
      <c r="G1145" s="26"/>
      <c r="H1145" t="s">
        <v>2721</v>
      </c>
    </row>
    <row r="1146" spans="1:8" ht="105" x14ac:dyDescent="0.25">
      <c r="A1146" s="21" t="s">
        <v>2722</v>
      </c>
      <c r="B1146" s="25" t="s">
        <v>2723</v>
      </c>
      <c r="C1146" s="26">
        <v>1</v>
      </c>
      <c r="D1146" s="27" t="s">
        <v>15</v>
      </c>
      <c r="E1146" s="26">
        <v>19047.599999999999</v>
      </c>
      <c r="F1146" s="28" t="s">
        <v>16</v>
      </c>
      <c r="G1146" s="26">
        <f>ROUND(C1146*E1146,0)</f>
        <v>19048</v>
      </c>
      <c r="H1146" t="s">
        <v>2718</v>
      </c>
    </row>
    <row r="1147" spans="1:8" ht="60" x14ac:dyDescent="0.25">
      <c r="A1147" s="21" t="s">
        <v>2724</v>
      </c>
      <c r="B1147" s="25" t="s">
        <v>2725</v>
      </c>
      <c r="C1147" s="26"/>
      <c r="D1147" s="27"/>
      <c r="E1147" s="26"/>
      <c r="F1147" s="28"/>
      <c r="G1147" s="26"/>
      <c r="H1147" t="s">
        <v>2725</v>
      </c>
    </row>
    <row r="1148" spans="1:8" ht="45" x14ac:dyDescent="0.25">
      <c r="A1148" s="21" t="s">
        <v>2726</v>
      </c>
      <c r="B1148" s="25" t="s">
        <v>2727</v>
      </c>
      <c r="C1148" s="26">
        <v>1</v>
      </c>
      <c r="D1148" s="27" t="s">
        <v>15</v>
      </c>
      <c r="E1148" s="26">
        <v>12496.05</v>
      </c>
      <c r="F1148" s="28" t="s">
        <v>16</v>
      </c>
      <c r="G1148" s="26">
        <f>ROUND(C1148*E1148,0)</f>
        <v>12496</v>
      </c>
      <c r="H1148" t="s">
        <v>2727</v>
      </c>
    </row>
    <row r="1149" spans="1:8" ht="45" x14ac:dyDescent="0.25">
      <c r="A1149" s="21" t="s">
        <v>2728</v>
      </c>
      <c r="B1149" s="25" t="s">
        <v>2729</v>
      </c>
      <c r="C1149" s="26">
        <v>1</v>
      </c>
      <c r="D1149" s="27" t="s">
        <v>15</v>
      </c>
      <c r="E1149" s="26">
        <v>12454.4</v>
      </c>
      <c r="F1149" s="28" t="s">
        <v>16</v>
      </c>
      <c r="G1149" s="26">
        <f>ROUND(C1149*E1149,0)</f>
        <v>12454</v>
      </c>
      <c r="H1149" t="s">
        <v>2729</v>
      </c>
    </row>
    <row r="1150" spans="1:8" ht="60" x14ac:dyDescent="0.25">
      <c r="A1150" s="21" t="s">
        <v>2730</v>
      </c>
      <c r="B1150" s="25" t="s">
        <v>2731</v>
      </c>
      <c r="C1150" s="26"/>
      <c r="D1150" s="27"/>
      <c r="E1150" s="26"/>
      <c r="F1150" s="28"/>
      <c r="G1150" s="26"/>
      <c r="H1150" t="s">
        <v>2731</v>
      </c>
    </row>
    <row r="1151" spans="1:8" ht="75" x14ac:dyDescent="0.25">
      <c r="A1151" s="21" t="s">
        <v>2732</v>
      </c>
      <c r="B1151" s="25" t="s">
        <v>2733</v>
      </c>
      <c r="C1151" s="26">
        <v>1</v>
      </c>
      <c r="D1151" s="27" t="s">
        <v>15</v>
      </c>
      <c r="E1151" s="26">
        <v>11903.75</v>
      </c>
      <c r="F1151" s="28" t="s">
        <v>16</v>
      </c>
      <c r="G1151" s="26">
        <f>ROUND(C1151*E1151,0)</f>
        <v>11904</v>
      </c>
      <c r="H1151" t="s">
        <v>2733</v>
      </c>
    </row>
    <row r="1152" spans="1:8" ht="75" x14ac:dyDescent="0.25">
      <c r="A1152" s="21" t="s">
        <v>2734</v>
      </c>
      <c r="B1152" s="25" t="s">
        <v>2735</v>
      </c>
      <c r="C1152" s="26">
        <v>1</v>
      </c>
      <c r="D1152" s="27" t="s">
        <v>15</v>
      </c>
      <c r="E1152" s="26">
        <v>11818.95</v>
      </c>
      <c r="F1152" s="28" t="s">
        <v>16</v>
      </c>
      <c r="G1152" s="26">
        <f>ROUND(C1152*E1152,0)</f>
        <v>11819</v>
      </c>
      <c r="H1152" t="s">
        <v>2735</v>
      </c>
    </row>
    <row r="1153" spans="1:8" ht="120" x14ac:dyDescent="0.25">
      <c r="A1153" s="21" t="s">
        <v>2736</v>
      </c>
      <c r="B1153" s="25" t="s">
        <v>2737</v>
      </c>
      <c r="C1153" s="26"/>
      <c r="D1153" s="27"/>
      <c r="E1153" s="26"/>
      <c r="F1153" s="28"/>
      <c r="G1153" s="26"/>
      <c r="H1153" t="s">
        <v>2737</v>
      </c>
    </row>
    <row r="1154" spans="1:8" ht="75" x14ac:dyDescent="0.25">
      <c r="A1154" s="21" t="s">
        <v>2738</v>
      </c>
      <c r="B1154" s="25" t="s">
        <v>2739</v>
      </c>
      <c r="C1154" s="26">
        <v>1</v>
      </c>
      <c r="D1154" s="27" t="s">
        <v>15</v>
      </c>
      <c r="E1154" s="26">
        <v>19994.400000000001</v>
      </c>
      <c r="F1154" s="28" t="s">
        <v>16</v>
      </c>
      <c r="G1154" s="26">
        <f>ROUND(C1154*E1154,0)</f>
        <v>19994</v>
      </c>
      <c r="H1154" t="s">
        <v>2739</v>
      </c>
    </row>
    <row r="1155" spans="1:8" ht="75" x14ac:dyDescent="0.25">
      <c r="A1155" s="21" t="s">
        <v>2740</v>
      </c>
      <c r="B1155" s="25" t="s">
        <v>2742</v>
      </c>
      <c r="C1155" s="26"/>
      <c r="D1155" s="27"/>
      <c r="E1155" s="26"/>
      <c r="F1155" s="28"/>
      <c r="G1155" s="26"/>
      <c r="H1155" t="s">
        <v>2741</v>
      </c>
    </row>
    <row r="1156" spans="1:8" x14ac:dyDescent="0.25">
      <c r="A1156" s="21" t="s">
        <v>2743</v>
      </c>
      <c r="B1156" s="25" t="s">
        <v>2744</v>
      </c>
      <c r="C1156" s="26">
        <v>1</v>
      </c>
      <c r="D1156" s="27" t="s">
        <v>201</v>
      </c>
      <c r="E1156" s="26">
        <v>381.3</v>
      </c>
      <c r="F1156" s="28" t="s">
        <v>202</v>
      </c>
      <c r="G1156" s="26">
        <f t="shared" ref="G1156:G1167" si="26">ROUND(C1156*E1156,0)</f>
        <v>381</v>
      </c>
      <c r="H1156" t="s">
        <v>2744</v>
      </c>
    </row>
    <row r="1157" spans="1:8" x14ac:dyDescent="0.25">
      <c r="A1157" s="21" t="s">
        <v>2745</v>
      </c>
      <c r="B1157" s="25" t="s">
        <v>2746</v>
      </c>
      <c r="C1157" s="26">
        <v>1</v>
      </c>
      <c r="D1157" s="27" t="s">
        <v>201</v>
      </c>
      <c r="E1157" s="26">
        <v>422.55</v>
      </c>
      <c r="F1157" s="28" t="s">
        <v>202</v>
      </c>
      <c r="G1157" s="26">
        <f t="shared" si="26"/>
        <v>423</v>
      </c>
      <c r="H1157" t="s">
        <v>2746</v>
      </c>
    </row>
    <row r="1158" spans="1:8" x14ac:dyDescent="0.25">
      <c r="A1158" s="21" t="s">
        <v>2747</v>
      </c>
      <c r="B1158" s="25" t="s">
        <v>2748</v>
      </c>
      <c r="C1158" s="26">
        <v>1</v>
      </c>
      <c r="D1158" s="27" t="s">
        <v>201</v>
      </c>
      <c r="E1158" s="26">
        <v>459.55</v>
      </c>
      <c r="F1158" s="28" t="s">
        <v>202</v>
      </c>
      <c r="G1158" s="26">
        <f t="shared" si="26"/>
        <v>460</v>
      </c>
      <c r="H1158" t="s">
        <v>2748</v>
      </c>
    </row>
    <row r="1159" spans="1:8" x14ac:dyDescent="0.25">
      <c r="A1159" s="21" t="s">
        <v>2749</v>
      </c>
      <c r="B1159" s="25" t="s">
        <v>2750</v>
      </c>
      <c r="C1159" s="26">
        <v>1</v>
      </c>
      <c r="D1159" s="27" t="s">
        <v>201</v>
      </c>
      <c r="E1159" s="26">
        <v>624.6</v>
      </c>
      <c r="F1159" s="28" t="s">
        <v>202</v>
      </c>
      <c r="G1159" s="26">
        <f t="shared" si="26"/>
        <v>625</v>
      </c>
      <c r="H1159" t="s">
        <v>2750</v>
      </c>
    </row>
    <row r="1160" spans="1:8" x14ac:dyDescent="0.25">
      <c r="A1160" s="21" t="s">
        <v>2751</v>
      </c>
      <c r="B1160" s="25" t="s">
        <v>2752</v>
      </c>
      <c r="C1160" s="26">
        <v>1</v>
      </c>
      <c r="D1160" s="27" t="s">
        <v>201</v>
      </c>
      <c r="E1160" s="26">
        <v>610.35</v>
      </c>
      <c r="F1160" s="28" t="s">
        <v>202</v>
      </c>
      <c r="G1160" s="26">
        <f t="shared" si="26"/>
        <v>610</v>
      </c>
      <c r="H1160" t="s">
        <v>2752</v>
      </c>
    </row>
    <row r="1161" spans="1:8" ht="60" x14ac:dyDescent="0.25">
      <c r="A1161" s="21" t="s">
        <v>2753</v>
      </c>
      <c r="B1161" s="25" t="s">
        <v>2755</v>
      </c>
      <c r="C1161" s="26">
        <v>1</v>
      </c>
      <c r="D1161" s="27" t="s">
        <v>201</v>
      </c>
      <c r="E1161" s="26">
        <v>231.05</v>
      </c>
      <c r="F1161" s="28" t="s">
        <v>202</v>
      </c>
      <c r="G1161" s="26">
        <f t="shared" si="26"/>
        <v>231</v>
      </c>
      <c r="H1161" t="s">
        <v>2754</v>
      </c>
    </row>
    <row r="1162" spans="1:8" ht="45" x14ac:dyDescent="0.25">
      <c r="A1162" s="21" t="s">
        <v>2756</v>
      </c>
      <c r="B1162" s="25" t="s">
        <v>2758</v>
      </c>
      <c r="C1162" s="26">
        <v>1</v>
      </c>
      <c r="D1162" s="27" t="s">
        <v>201</v>
      </c>
      <c r="E1162" s="26">
        <v>204</v>
      </c>
      <c r="F1162" s="28" t="s">
        <v>202</v>
      </c>
      <c r="G1162" s="26">
        <f t="shared" si="26"/>
        <v>204</v>
      </c>
      <c r="H1162" t="s">
        <v>2757</v>
      </c>
    </row>
    <row r="1163" spans="1:8" ht="30" x14ac:dyDescent="0.25">
      <c r="A1163" s="21" t="s">
        <v>2759</v>
      </c>
      <c r="B1163" s="25" t="s">
        <v>2761</v>
      </c>
      <c r="C1163" s="26">
        <v>1</v>
      </c>
      <c r="D1163" s="27" t="s">
        <v>201</v>
      </c>
      <c r="E1163" s="26">
        <v>115.8</v>
      </c>
      <c r="F1163" s="28" t="s">
        <v>202</v>
      </c>
      <c r="G1163" s="26">
        <f t="shared" si="26"/>
        <v>116</v>
      </c>
      <c r="H1163" t="s">
        <v>2760</v>
      </c>
    </row>
    <row r="1164" spans="1:8" ht="30" x14ac:dyDescent="0.25">
      <c r="A1164" s="21" t="s">
        <v>2762</v>
      </c>
      <c r="B1164" s="25" t="s">
        <v>2763</v>
      </c>
      <c r="C1164" s="26">
        <v>1</v>
      </c>
      <c r="D1164" s="27" t="s">
        <v>201</v>
      </c>
      <c r="E1164" s="26">
        <v>185.5</v>
      </c>
      <c r="F1164" s="28" t="s">
        <v>202</v>
      </c>
      <c r="G1164" s="26">
        <f t="shared" si="26"/>
        <v>186</v>
      </c>
      <c r="H1164" t="s">
        <v>2763</v>
      </c>
    </row>
    <row r="1165" spans="1:8" ht="45" x14ac:dyDescent="0.25">
      <c r="A1165" s="21" t="s">
        <v>2764</v>
      </c>
      <c r="B1165" s="25" t="s">
        <v>2766</v>
      </c>
      <c r="C1165" s="26">
        <v>1</v>
      </c>
      <c r="D1165" s="27" t="s">
        <v>201</v>
      </c>
      <c r="E1165" s="26">
        <v>198.3</v>
      </c>
      <c r="F1165" s="28" t="s">
        <v>202</v>
      </c>
      <c r="G1165" s="26">
        <f t="shared" si="26"/>
        <v>198</v>
      </c>
      <c r="H1165" t="s">
        <v>2765</v>
      </c>
    </row>
    <row r="1166" spans="1:8" ht="210" x14ac:dyDescent="0.25">
      <c r="A1166" s="21" t="s">
        <v>2767</v>
      </c>
      <c r="B1166" s="25" t="s">
        <v>2769</v>
      </c>
      <c r="C1166" s="26">
        <v>1</v>
      </c>
      <c r="D1166" s="27" t="s">
        <v>725</v>
      </c>
      <c r="E1166" s="26">
        <v>166.8</v>
      </c>
      <c r="F1166" s="28" t="s">
        <v>726</v>
      </c>
      <c r="G1166" s="26">
        <f t="shared" si="26"/>
        <v>167</v>
      </c>
      <c r="H1166" t="s">
        <v>2768</v>
      </c>
    </row>
    <row r="1167" spans="1:8" ht="150" x14ac:dyDescent="0.25">
      <c r="A1167" s="21" t="s">
        <v>2770</v>
      </c>
      <c r="B1167" s="25" t="s">
        <v>2772</v>
      </c>
      <c r="C1167" s="26">
        <v>1</v>
      </c>
      <c r="D1167" s="27" t="s">
        <v>15</v>
      </c>
      <c r="E1167" s="26">
        <v>1956.9</v>
      </c>
      <c r="F1167" s="28" t="s">
        <v>16</v>
      </c>
      <c r="G1167" s="26">
        <f t="shared" si="26"/>
        <v>1957</v>
      </c>
      <c r="H1167" t="s">
        <v>2771</v>
      </c>
    </row>
    <row r="1168" spans="1:8" ht="75" x14ac:dyDescent="0.25">
      <c r="A1168" s="21" t="s">
        <v>2773</v>
      </c>
      <c r="B1168" s="25" t="s">
        <v>2775</v>
      </c>
      <c r="C1168" s="26"/>
      <c r="D1168" s="27"/>
      <c r="E1168" s="26"/>
      <c r="F1168" s="28"/>
      <c r="G1168" s="26"/>
      <c r="H1168" t="s">
        <v>2774</v>
      </c>
    </row>
    <row r="1169" spans="1:8" ht="45" x14ac:dyDescent="0.25">
      <c r="A1169" s="21" t="s">
        <v>2776</v>
      </c>
      <c r="B1169" s="25" t="s">
        <v>2777</v>
      </c>
      <c r="C1169" s="26">
        <v>1</v>
      </c>
      <c r="D1169" s="27" t="s">
        <v>15</v>
      </c>
      <c r="E1169" s="26">
        <v>1031.5</v>
      </c>
      <c r="F1169" s="28" t="s">
        <v>16</v>
      </c>
      <c r="G1169" s="26">
        <f>ROUND(C1169*E1169,0)</f>
        <v>1032</v>
      </c>
      <c r="H1169" t="s">
        <v>2777</v>
      </c>
    </row>
    <row r="1170" spans="1:8" ht="45" x14ac:dyDescent="0.25">
      <c r="A1170" s="21" t="s">
        <v>2778</v>
      </c>
      <c r="B1170" s="25" t="s">
        <v>2780</v>
      </c>
      <c r="C1170" s="26">
        <v>1</v>
      </c>
      <c r="D1170" s="27" t="s">
        <v>15</v>
      </c>
      <c r="E1170" s="26">
        <v>1248</v>
      </c>
      <c r="F1170" s="28" t="s">
        <v>16</v>
      </c>
      <c r="G1170" s="26">
        <f>ROUND(C1170*E1170,0)</f>
        <v>1248</v>
      </c>
      <c r="H1170" t="s">
        <v>2779</v>
      </c>
    </row>
    <row r="1171" spans="1:8" ht="120" x14ac:dyDescent="0.25">
      <c r="A1171" s="21" t="s">
        <v>2781</v>
      </c>
      <c r="B1171" s="25" t="s">
        <v>2783</v>
      </c>
      <c r="C1171" s="26"/>
      <c r="D1171" s="27"/>
      <c r="E1171" s="26"/>
      <c r="F1171" s="28"/>
      <c r="G1171" s="26"/>
      <c r="H1171" t="s">
        <v>2782</v>
      </c>
    </row>
    <row r="1172" spans="1:8" ht="60" x14ac:dyDescent="0.25">
      <c r="A1172" s="21" t="s">
        <v>2784</v>
      </c>
      <c r="B1172" s="25" t="s">
        <v>2786</v>
      </c>
      <c r="C1172" s="26">
        <v>1</v>
      </c>
      <c r="D1172" s="27" t="s">
        <v>15</v>
      </c>
      <c r="E1172" s="26">
        <v>1415.7</v>
      </c>
      <c r="F1172" s="28" t="s">
        <v>16</v>
      </c>
      <c r="G1172" s="26">
        <f>ROUND(C1172*E1172,0)</f>
        <v>1416</v>
      </c>
      <c r="H1172" t="s">
        <v>2785</v>
      </c>
    </row>
    <row r="1173" spans="1:8" ht="60" x14ac:dyDescent="0.25">
      <c r="A1173" s="21" t="s">
        <v>2787</v>
      </c>
      <c r="B1173" s="25" t="s">
        <v>2789</v>
      </c>
      <c r="C1173" s="26">
        <v>1</v>
      </c>
      <c r="D1173" s="27" t="s">
        <v>15</v>
      </c>
      <c r="E1173" s="26">
        <v>1874.7</v>
      </c>
      <c r="F1173" s="28" t="s">
        <v>16</v>
      </c>
      <c r="G1173" s="26">
        <f>ROUND(C1173*E1173,0)</f>
        <v>1875</v>
      </c>
      <c r="H1173" t="s">
        <v>2788</v>
      </c>
    </row>
    <row r="1174" spans="1:8" ht="75" x14ac:dyDescent="0.25">
      <c r="A1174" s="21" t="s">
        <v>2790</v>
      </c>
      <c r="B1174" s="25" t="s">
        <v>2792</v>
      </c>
      <c r="C1174" s="26"/>
      <c r="D1174" s="27"/>
      <c r="E1174" s="26"/>
      <c r="F1174" s="28"/>
      <c r="G1174" s="26"/>
      <c r="H1174" t="s">
        <v>2791</v>
      </c>
    </row>
    <row r="1175" spans="1:8" ht="30" x14ac:dyDescent="0.25">
      <c r="A1175" s="21" t="s">
        <v>2793</v>
      </c>
      <c r="B1175" s="25" t="s">
        <v>2794</v>
      </c>
      <c r="C1175" s="26">
        <v>1</v>
      </c>
      <c r="D1175" s="27" t="s">
        <v>15</v>
      </c>
      <c r="E1175" s="26">
        <v>1212.75</v>
      </c>
      <c r="F1175" s="28" t="s">
        <v>16</v>
      </c>
      <c r="G1175" s="26">
        <f>ROUND(C1175*E1175,0)</f>
        <v>1213</v>
      </c>
      <c r="H1175" t="s">
        <v>2794</v>
      </c>
    </row>
    <row r="1176" spans="1:8" ht="30" x14ac:dyDescent="0.25">
      <c r="A1176" s="21" t="s">
        <v>2795</v>
      </c>
      <c r="B1176" s="25" t="s">
        <v>2796</v>
      </c>
      <c r="C1176" s="26">
        <v>1</v>
      </c>
      <c r="D1176" s="27" t="s">
        <v>15</v>
      </c>
      <c r="E1176" s="26">
        <v>1436.55</v>
      </c>
      <c r="F1176" s="28" t="s">
        <v>16</v>
      </c>
      <c r="G1176" s="26">
        <f>ROUND(C1176*E1176,0)</f>
        <v>1437</v>
      </c>
      <c r="H1176" t="s">
        <v>2796</v>
      </c>
    </row>
    <row r="1177" spans="1:8" ht="30" x14ac:dyDescent="0.25">
      <c r="A1177" s="21" t="s">
        <v>2797</v>
      </c>
      <c r="B1177" s="25" t="s">
        <v>702</v>
      </c>
      <c r="C1177" s="26">
        <v>1</v>
      </c>
      <c r="D1177" s="27" t="s">
        <v>15</v>
      </c>
      <c r="E1177" s="26">
        <v>1912.25</v>
      </c>
      <c r="F1177" s="28" t="s">
        <v>16</v>
      </c>
      <c r="G1177" s="26">
        <f>ROUND(C1177*E1177,0)</f>
        <v>1912</v>
      </c>
      <c r="H1177" t="s">
        <v>702</v>
      </c>
    </row>
    <row r="1178" spans="1:8" ht="150" x14ac:dyDescent="0.25">
      <c r="A1178" s="21" t="s">
        <v>2798</v>
      </c>
      <c r="B1178" s="25" t="s">
        <v>2800</v>
      </c>
      <c r="C1178" s="26">
        <v>1</v>
      </c>
      <c r="D1178" s="27" t="s">
        <v>15</v>
      </c>
      <c r="E1178" s="26">
        <v>2135.25</v>
      </c>
      <c r="F1178" s="28" t="s">
        <v>16</v>
      </c>
      <c r="G1178" s="26">
        <f>ROUND(C1178*E1178,0)</f>
        <v>2135</v>
      </c>
      <c r="H1178" t="s">
        <v>2799</v>
      </c>
    </row>
    <row r="1179" spans="1:8" ht="135" x14ac:dyDescent="0.25">
      <c r="A1179" s="21" t="s">
        <v>2801</v>
      </c>
      <c r="B1179" s="25" t="s">
        <v>2803</v>
      </c>
      <c r="C1179" s="26"/>
      <c r="D1179" s="27"/>
      <c r="E1179" s="26"/>
      <c r="F1179" s="28"/>
      <c r="G1179" s="26"/>
      <c r="H1179" t="s">
        <v>2802</v>
      </c>
    </row>
    <row r="1180" spans="1:8" ht="30" x14ac:dyDescent="0.25">
      <c r="A1180" s="21" t="s">
        <v>2804</v>
      </c>
      <c r="B1180" s="25" t="s">
        <v>2796</v>
      </c>
      <c r="C1180" s="26">
        <v>1</v>
      </c>
      <c r="D1180" s="27" t="s">
        <v>15</v>
      </c>
      <c r="E1180" s="26">
        <v>2076.65</v>
      </c>
      <c r="F1180" s="28" t="s">
        <v>16</v>
      </c>
      <c r="G1180" s="26">
        <f>ROUND(C1180*E1180,0)</f>
        <v>2077</v>
      </c>
      <c r="H1180" t="s">
        <v>2796</v>
      </c>
    </row>
    <row r="1181" spans="1:8" ht="30" x14ac:dyDescent="0.25">
      <c r="A1181" s="21" t="s">
        <v>2805</v>
      </c>
      <c r="B1181" s="25" t="s">
        <v>702</v>
      </c>
      <c r="C1181" s="26">
        <v>1</v>
      </c>
      <c r="D1181" s="27" t="s">
        <v>15</v>
      </c>
      <c r="E1181" s="26">
        <v>2552.4</v>
      </c>
      <c r="F1181" s="28" t="s">
        <v>16</v>
      </c>
      <c r="G1181" s="26">
        <f>ROUND(C1181*E1181,0)</f>
        <v>2552</v>
      </c>
      <c r="H1181" t="s">
        <v>702</v>
      </c>
    </row>
    <row r="1182" spans="1:8" ht="285" x14ac:dyDescent="0.25">
      <c r="A1182" s="21" t="s">
        <v>2806</v>
      </c>
      <c r="B1182" s="25" t="s">
        <v>2808</v>
      </c>
      <c r="C1182" s="26">
        <v>1</v>
      </c>
      <c r="D1182" s="27" t="s">
        <v>110</v>
      </c>
      <c r="E1182" s="26">
        <v>2202.9</v>
      </c>
      <c r="F1182" s="28" t="s">
        <v>68</v>
      </c>
      <c r="G1182" s="26">
        <f>ROUND(C1182*E1182,0)</f>
        <v>2203</v>
      </c>
      <c r="H1182" t="s">
        <v>2807</v>
      </c>
    </row>
    <row r="1183" spans="1:8" ht="255" x14ac:dyDescent="0.25">
      <c r="A1183" s="21" t="s">
        <v>2809</v>
      </c>
      <c r="B1183" s="25" t="s">
        <v>2811</v>
      </c>
      <c r="C1183" s="26">
        <v>1</v>
      </c>
      <c r="D1183" s="27" t="s">
        <v>15</v>
      </c>
      <c r="E1183" s="26">
        <v>12017.9</v>
      </c>
      <c r="F1183" s="28" t="s">
        <v>16</v>
      </c>
      <c r="G1183" s="26">
        <f>ROUND(C1183*E1183,0)</f>
        <v>12018</v>
      </c>
      <c r="H1183" t="s">
        <v>2810</v>
      </c>
    </row>
    <row r="1184" spans="1:8" ht="270" x14ac:dyDescent="0.25">
      <c r="A1184" s="21" t="s">
        <v>2812</v>
      </c>
      <c r="B1184" s="25" t="s">
        <v>2814</v>
      </c>
      <c r="C1184" s="26">
        <v>1</v>
      </c>
      <c r="D1184" s="27" t="s">
        <v>110</v>
      </c>
      <c r="E1184" s="26">
        <v>2202.9</v>
      </c>
      <c r="F1184" s="28" t="s">
        <v>2815</v>
      </c>
      <c r="G1184" s="26">
        <f>ROUND(C1184*E1184,0)</f>
        <v>2203</v>
      </c>
      <c r="H1184" t="s">
        <v>2813</v>
      </c>
    </row>
    <row r="1185" spans="1:8" ht="45" x14ac:dyDescent="0.25">
      <c r="A1185" s="21" t="s">
        <v>2816</v>
      </c>
      <c r="B1185" s="25" t="s">
        <v>2818</v>
      </c>
      <c r="C1185" s="26"/>
      <c r="D1185" s="27"/>
      <c r="E1185" s="26"/>
      <c r="F1185" s="28"/>
      <c r="G1185" s="26"/>
      <c r="H1185" t="s">
        <v>2817</v>
      </c>
    </row>
    <row r="1186" spans="1:8" x14ac:dyDescent="0.25">
      <c r="A1186" s="21" t="s">
        <v>2819</v>
      </c>
      <c r="B1186" s="25" t="s">
        <v>2820</v>
      </c>
      <c r="C1186" s="26">
        <v>1</v>
      </c>
      <c r="D1186" s="27" t="s">
        <v>201</v>
      </c>
      <c r="E1186" s="26">
        <v>119.2</v>
      </c>
      <c r="F1186" s="28" t="s">
        <v>202</v>
      </c>
      <c r="G1186" s="26">
        <f>ROUND(C1186*E1186,0)</f>
        <v>119</v>
      </c>
      <c r="H1186" t="s">
        <v>105</v>
      </c>
    </row>
    <row r="1187" spans="1:8" x14ac:dyDescent="0.25">
      <c r="A1187" s="21" t="s">
        <v>2821</v>
      </c>
      <c r="B1187" s="25" t="s">
        <v>2822</v>
      </c>
      <c r="C1187" s="26">
        <v>1</v>
      </c>
      <c r="D1187" s="27" t="s">
        <v>201</v>
      </c>
      <c r="E1187" s="26">
        <v>90.45</v>
      </c>
      <c r="F1187" s="28" t="s">
        <v>202</v>
      </c>
      <c r="G1187" s="26">
        <f>ROUND(C1187*E1187,0)</f>
        <v>90</v>
      </c>
      <c r="H1187" t="s">
        <v>105</v>
      </c>
    </row>
    <row r="1188" spans="1:8" x14ac:dyDescent="0.25">
      <c r="A1188" s="21" t="s">
        <v>2823</v>
      </c>
      <c r="B1188" s="25" t="s">
        <v>2824</v>
      </c>
      <c r="C1188" s="26">
        <v>1</v>
      </c>
      <c r="D1188" s="27" t="s">
        <v>201</v>
      </c>
      <c r="E1188" s="26">
        <v>58.75</v>
      </c>
      <c r="F1188" s="28" t="s">
        <v>202</v>
      </c>
      <c r="G1188" s="26">
        <f>ROUND(C1188*E1188,0)</f>
        <v>59</v>
      </c>
      <c r="H1188" t="s">
        <v>105</v>
      </c>
    </row>
    <row r="1189" spans="1:8" ht="120" x14ac:dyDescent="0.25">
      <c r="A1189" s="21" t="s">
        <v>2825</v>
      </c>
      <c r="B1189" s="25" t="s">
        <v>2826</v>
      </c>
      <c r="C1189" s="26"/>
      <c r="D1189" s="27"/>
      <c r="E1189" s="26"/>
      <c r="F1189" s="28"/>
      <c r="G1189" s="26"/>
      <c r="H1189" t="s">
        <v>105</v>
      </c>
    </row>
    <row r="1190" spans="1:8" ht="30" x14ac:dyDescent="0.25">
      <c r="A1190" s="21" t="s">
        <v>2827</v>
      </c>
      <c r="B1190" s="25" t="s">
        <v>2796</v>
      </c>
      <c r="C1190" s="26">
        <v>1</v>
      </c>
      <c r="D1190" s="27" t="s">
        <v>15</v>
      </c>
      <c r="E1190" s="26">
        <v>1362.3</v>
      </c>
      <c r="F1190" s="28" t="s">
        <v>16</v>
      </c>
      <c r="G1190" s="26">
        <f>ROUND(C1190*E1190,0)</f>
        <v>1362</v>
      </c>
      <c r="H1190" t="s">
        <v>105</v>
      </c>
    </row>
    <row r="1191" spans="1:8" ht="105" x14ac:dyDescent="0.25">
      <c r="A1191" s="21" t="s">
        <v>2828</v>
      </c>
      <c r="B1191" s="25" t="s">
        <v>2829</v>
      </c>
      <c r="C1191" s="26">
        <v>1</v>
      </c>
      <c r="D1191" s="27" t="s">
        <v>15</v>
      </c>
      <c r="E1191" s="26">
        <v>1010.6</v>
      </c>
      <c r="F1191" s="28" t="s">
        <v>16</v>
      </c>
      <c r="G1191" s="26">
        <f>ROUND(C1191*E1191,0)</f>
        <v>1011</v>
      </c>
      <c r="H1191" t="s">
        <v>105</v>
      </c>
    </row>
    <row r="1192" spans="1:8" ht="150" x14ac:dyDescent="0.25">
      <c r="A1192" s="21" t="s">
        <v>2830</v>
      </c>
      <c r="B1192" s="25" t="s">
        <v>2831</v>
      </c>
      <c r="C1192" s="26">
        <v>1</v>
      </c>
      <c r="D1192" s="27" t="s">
        <v>15</v>
      </c>
      <c r="E1192" s="26">
        <v>2829.25</v>
      </c>
      <c r="F1192" s="28" t="s">
        <v>16</v>
      </c>
      <c r="G1192" s="26">
        <f>ROUND(C1192*E1192,0)</f>
        <v>2829</v>
      </c>
      <c r="H1192" t="s">
        <v>105</v>
      </c>
    </row>
    <row r="1193" spans="1:8" ht="90" x14ac:dyDescent="0.25">
      <c r="A1193" s="21" t="s">
        <v>2832</v>
      </c>
      <c r="B1193" s="25" t="s">
        <v>2833</v>
      </c>
      <c r="C1193" s="26">
        <v>1</v>
      </c>
      <c r="D1193" s="27" t="s">
        <v>15</v>
      </c>
      <c r="E1193" s="26">
        <v>2593.15</v>
      </c>
      <c r="F1193" s="28" t="s">
        <v>16</v>
      </c>
      <c r="G1193" s="26">
        <f>ROUND(C1193*E1193,0)</f>
        <v>2593</v>
      </c>
      <c r="H1193" t="s">
        <v>105</v>
      </c>
    </row>
    <row r="1194" spans="1:8" ht="45" x14ac:dyDescent="0.25">
      <c r="A1194" s="21" t="s">
        <v>2834</v>
      </c>
      <c r="B1194" s="25" t="s">
        <v>2835</v>
      </c>
      <c r="C1194" s="26"/>
      <c r="D1194" s="27"/>
      <c r="E1194" s="26"/>
      <c r="F1194" s="28"/>
      <c r="G1194" s="26"/>
      <c r="H1194" t="s">
        <v>2835</v>
      </c>
    </row>
    <row r="1195" spans="1:8" x14ac:dyDescent="0.25">
      <c r="A1195" s="21" t="s">
        <v>2836</v>
      </c>
      <c r="B1195" s="25" t="s">
        <v>2837</v>
      </c>
      <c r="C1195" s="26">
        <v>1</v>
      </c>
      <c r="D1195" s="27" t="s">
        <v>201</v>
      </c>
      <c r="E1195" s="26">
        <v>186.65</v>
      </c>
      <c r="F1195" s="28" t="s">
        <v>202</v>
      </c>
      <c r="G1195" s="26">
        <f>ROUND(C1195*E1195,0)</f>
        <v>187</v>
      </c>
      <c r="H1195" t="s">
        <v>2837</v>
      </c>
    </row>
    <row r="1196" spans="1:8" ht="90" x14ac:dyDescent="0.25">
      <c r="A1196" s="21" t="s">
        <v>2838</v>
      </c>
      <c r="B1196" s="25" t="s">
        <v>2839</v>
      </c>
      <c r="C1196" s="26">
        <v>1</v>
      </c>
      <c r="D1196" s="27" t="s">
        <v>201</v>
      </c>
      <c r="E1196" s="26">
        <v>272</v>
      </c>
      <c r="F1196" s="28" t="s">
        <v>202</v>
      </c>
      <c r="G1196" s="26">
        <f>ROUND(C1196*E1196,0)</f>
        <v>272</v>
      </c>
      <c r="H1196" t="s">
        <v>105</v>
      </c>
    </row>
    <row r="1197" spans="1:8" ht="75" x14ac:dyDescent="0.25">
      <c r="A1197" s="21" t="s">
        <v>2840</v>
      </c>
      <c r="B1197" s="25" t="s">
        <v>2841</v>
      </c>
      <c r="C1197" s="26">
        <v>1</v>
      </c>
      <c r="D1197" s="27" t="s">
        <v>639</v>
      </c>
      <c r="E1197" s="26">
        <v>885.1</v>
      </c>
      <c r="F1197" s="28" t="s">
        <v>2842</v>
      </c>
      <c r="G1197" s="26">
        <f>ROUND(C1197*E1197,0)</f>
        <v>885</v>
      </c>
      <c r="H1197" t="s">
        <v>2841</v>
      </c>
    </row>
    <row r="1198" spans="1:8" ht="255" x14ac:dyDescent="0.25">
      <c r="A1198" s="21" t="s">
        <v>2843</v>
      </c>
      <c r="B1198" s="25" t="s">
        <v>2844</v>
      </c>
      <c r="C1198" s="26">
        <v>1</v>
      </c>
      <c r="D1198" s="27" t="s">
        <v>725</v>
      </c>
      <c r="E1198" s="26">
        <v>533.25</v>
      </c>
      <c r="F1198" s="28" t="s">
        <v>726</v>
      </c>
      <c r="G1198" s="26">
        <f>ROUND(C1198*E1198,0)</f>
        <v>533</v>
      </c>
      <c r="H1198" t="s">
        <v>105</v>
      </c>
    </row>
    <row r="1199" spans="1:8" ht="90" x14ac:dyDescent="0.25">
      <c r="A1199" s="21" t="s">
        <v>2845</v>
      </c>
      <c r="B1199" s="25" t="s">
        <v>2846</v>
      </c>
      <c r="C1199" s="26">
        <v>1</v>
      </c>
      <c r="D1199" s="27" t="s">
        <v>110</v>
      </c>
      <c r="E1199" s="26">
        <v>43.8</v>
      </c>
      <c r="F1199" s="28" t="s">
        <v>2815</v>
      </c>
      <c r="G1199" s="26">
        <f>ROUND(C1199*E1199,0)</f>
        <v>44</v>
      </c>
      <c r="H1199" t="s">
        <v>105</v>
      </c>
    </row>
    <row r="1200" spans="1:8" x14ac:dyDescent="0.25">
      <c r="A1200" s="21"/>
      <c r="B1200" s="45" t="s">
        <v>2847</v>
      </c>
      <c r="C1200" s="45"/>
      <c r="D1200" s="45"/>
      <c r="E1200" s="45"/>
      <c r="F1200" s="45"/>
      <c r="G1200" s="29">
        <f>SUM(G660:G1199)</f>
        <v>1941900</v>
      </c>
    </row>
    <row r="1201" spans="1:8" x14ac:dyDescent="0.25">
      <c r="A1201" s="46" t="s">
        <v>2848</v>
      </c>
      <c r="B1201" s="47"/>
      <c r="C1201" s="47"/>
      <c r="D1201" s="47"/>
      <c r="E1201" s="47"/>
      <c r="F1201" s="47"/>
      <c r="G1201" s="47"/>
    </row>
    <row r="1202" spans="1:8" ht="60" x14ac:dyDescent="0.25">
      <c r="A1202" s="21" t="s">
        <v>2849</v>
      </c>
      <c r="B1202" s="25" t="s">
        <v>2851</v>
      </c>
      <c r="C1202" s="26">
        <v>1</v>
      </c>
      <c r="D1202" s="27" t="s">
        <v>725</v>
      </c>
      <c r="E1202" s="26">
        <v>117.35</v>
      </c>
      <c r="F1202" s="28" t="s">
        <v>726</v>
      </c>
      <c r="G1202" s="26">
        <f>ROUND(C1202*E1202,0)</f>
        <v>117</v>
      </c>
      <c r="H1202" t="s">
        <v>2850</v>
      </c>
    </row>
    <row r="1203" spans="1:8" ht="75" x14ac:dyDescent="0.25">
      <c r="A1203" s="21" t="s">
        <v>2852</v>
      </c>
      <c r="B1203" s="25" t="s">
        <v>2854</v>
      </c>
      <c r="C1203" s="26">
        <v>1</v>
      </c>
      <c r="D1203" s="27" t="s">
        <v>725</v>
      </c>
      <c r="E1203" s="26">
        <v>133.69999999999999</v>
      </c>
      <c r="F1203" s="28" t="s">
        <v>726</v>
      </c>
      <c r="G1203" s="26">
        <f>ROUND(C1203*E1203,0)</f>
        <v>134</v>
      </c>
      <c r="H1203" t="s">
        <v>2853</v>
      </c>
    </row>
    <row r="1204" spans="1:8" ht="120" x14ac:dyDescent="0.25">
      <c r="A1204" s="21" t="s">
        <v>2855</v>
      </c>
      <c r="B1204" s="25" t="s">
        <v>2857</v>
      </c>
      <c r="C1204" s="26">
        <v>1</v>
      </c>
      <c r="D1204" s="27" t="s">
        <v>15</v>
      </c>
      <c r="E1204" s="26">
        <v>11439.6</v>
      </c>
      <c r="F1204" s="28" t="s">
        <v>16</v>
      </c>
      <c r="G1204" s="26">
        <f>ROUND(C1204*E1204,0)</f>
        <v>11440</v>
      </c>
      <c r="H1204" t="s">
        <v>2856</v>
      </c>
    </row>
    <row r="1205" spans="1:8" ht="105" x14ac:dyDescent="0.25">
      <c r="A1205" s="21" t="s">
        <v>2858</v>
      </c>
      <c r="B1205" s="25" t="s">
        <v>2860</v>
      </c>
      <c r="C1205" s="26">
        <v>1</v>
      </c>
      <c r="D1205" s="27" t="s">
        <v>15</v>
      </c>
      <c r="E1205" s="26">
        <v>6566.2</v>
      </c>
      <c r="F1205" s="28" t="s">
        <v>16</v>
      </c>
      <c r="G1205" s="26">
        <f>ROUND(C1205*E1205,0)</f>
        <v>6566</v>
      </c>
      <c r="H1205" t="s">
        <v>2859</v>
      </c>
    </row>
    <row r="1206" spans="1:8" ht="75" x14ac:dyDescent="0.25">
      <c r="A1206" s="21" t="s">
        <v>2861</v>
      </c>
      <c r="B1206" s="25" t="s">
        <v>2863</v>
      </c>
      <c r="C1206" s="26"/>
      <c r="D1206" s="27"/>
      <c r="E1206" s="26"/>
      <c r="F1206" s="28"/>
      <c r="G1206" s="26"/>
      <c r="H1206" t="s">
        <v>2862</v>
      </c>
    </row>
    <row r="1207" spans="1:8" ht="30" x14ac:dyDescent="0.25">
      <c r="A1207" s="21" t="s">
        <v>2864</v>
      </c>
      <c r="B1207" s="25" t="s">
        <v>2866</v>
      </c>
      <c r="C1207" s="26">
        <v>1</v>
      </c>
      <c r="D1207" s="27" t="s">
        <v>15</v>
      </c>
      <c r="E1207" s="26">
        <v>5804.35</v>
      </c>
      <c r="F1207" s="28" t="s">
        <v>16</v>
      </c>
      <c r="G1207" s="26">
        <f>ROUND(C1207*E1207,0)</f>
        <v>5804</v>
      </c>
      <c r="H1207" t="s">
        <v>2865</v>
      </c>
    </row>
    <row r="1208" spans="1:8" ht="30" x14ac:dyDescent="0.25">
      <c r="A1208" s="21" t="s">
        <v>2867</v>
      </c>
      <c r="B1208" s="25" t="s">
        <v>2869</v>
      </c>
      <c r="C1208" s="26">
        <v>1</v>
      </c>
      <c r="D1208" s="27" t="s">
        <v>15</v>
      </c>
      <c r="E1208" s="26">
        <v>5563.75</v>
      </c>
      <c r="F1208" s="28" t="s">
        <v>16</v>
      </c>
      <c r="G1208" s="26">
        <f>ROUND(C1208*E1208,0)</f>
        <v>5564</v>
      </c>
      <c r="H1208" t="s">
        <v>2868</v>
      </c>
    </row>
    <row r="1209" spans="1:8" ht="195" x14ac:dyDescent="0.25">
      <c r="A1209" s="21" t="s">
        <v>2870</v>
      </c>
      <c r="B1209" s="25" t="s">
        <v>2872</v>
      </c>
      <c r="C1209" s="26"/>
      <c r="D1209" s="27"/>
      <c r="E1209" s="26"/>
      <c r="F1209" s="28"/>
      <c r="G1209" s="26"/>
      <c r="H1209" t="s">
        <v>2871</v>
      </c>
    </row>
    <row r="1210" spans="1:8" ht="30" x14ac:dyDescent="0.25">
      <c r="A1210" s="21" t="s">
        <v>2873</v>
      </c>
      <c r="B1210" s="25" t="s">
        <v>2875</v>
      </c>
      <c r="C1210" s="26">
        <v>1</v>
      </c>
      <c r="D1210" s="27" t="s">
        <v>15</v>
      </c>
      <c r="E1210" s="26">
        <v>3653.2</v>
      </c>
      <c r="F1210" s="28" t="s">
        <v>16</v>
      </c>
      <c r="G1210" s="26">
        <f>ROUND(C1210*E1210,0)</f>
        <v>3653</v>
      </c>
      <c r="H1210" t="s">
        <v>2874</v>
      </c>
    </row>
    <row r="1211" spans="1:8" ht="30" x14ac:dyDescent="0.25">
      <c r="A1211" s="21" t="s">
        <v>2876</v>
      </c>
      <c r="B1211" s="25" t="s">
        <v>2878</v>
      </c>
      <c r="C1211" s="26">
        <v>1</v>
      </c>
      <c r="D1211" s="27" t="s">
        <v>15</v>
      </c>
      <c r="E1211" s="26">
        <v>3307.05</v>
      </c>
      <c r="F1211" s="28" t="s">
        <v>16</v>
      </c>
      <c r="G1211" s="26">
        <f>ROUND(C1211*E1211,0)</f>
        <v>3307</v>
      </c>
      <c r="H1211" t="s">
        <v>2877</v>
      </c>
    </row>
    <row r="1212" spans="1:8" ht="30" x14ac:dyDescent="0.25">
      <c r="A1212" s="21" t="s">
        <v>2879</v>
      </c>
      <c r="B1212" s="25" t="s">
        <v>2881</v>
      </c>
      <c r="C1212" s="26">
        <v>1</v>
      </c>
      <c r="D1212" s="27" t="s">
        <v>15</v>
      </c>
      <c r="E1212" s="26">
        <v>3191.35</v>
      </c>
      <c r="F1212" s="28" t="s">
        <v>16</v>
      </c>
      <c r="G1212" s="26">
        <f>ROUND(C1212*E1212,0)</f>
        <v>3191</v>
      </c>
      <c r="H1212" t="s">
        <v>2880</v>
      </c>
    </row>
    <row r="1213" spans="1:8" ht="30" x14ac:dyDescent="0.25">
      <c r="A1213" s="21" t="s">
        <v>2882</v>
      </c>
      <c r="B1213" s="25" t="s">
        <v>2884</v>
      </c>
      <c r="C1213" s="26">
        <v>1</v>
      </c>
      <c r="D1213" s="27" t="s">
        <v>201</v>
      </c>
      <c r="E1213" s="26">
        <v>492.35</v>
      </c>
      <c r="F1213" s="28" t="s">
        <v>202</v>
      </c>
      <c r="G1213" s="26">
        <f>ROUND(C1213*E1213,0)</f>
        <v>492</v>
      </c>
      <c r="H1213" t="s">
        <v>2883</v>
      </c>
    </row>
    <row r="1214" spans="1:8" ht="30" x14ac:dyDescent="0.25">
      <c r="A1214" s="21" t="s">
        <v>2885</v>
      </c>
      <c r="B1214" s="25" t="s">
        <v>2887</v>
      </c>
      <c r="C1214" s="26"/>
      <c r="D1214" s="27"/>
      <c r="E1214" s="26"/>
      <c r="F1214" s="28"/>
      <c r="G1214" s="26"/>
      <c r="H1214" t="s">
        <v>2886</v>
      </c>
    </row>
    <row r="1215" spans="1:8" ht="30" x14ac:dyDescent="0.25">
      <c r="A1215" s="21" t="s">
        <v>2888</v>
      </c>
      <c r="B1215" s="25" t="s">
        <v>2890</v>
      </c>
      <c r="C1215" s="26">
        <v>1</v>
      </c>
      <c r="D1215" s="27" t="s">
        <v>15</v>
      </c>
      <c r="E1215" s="26">
        <v>1281.3499999999999</v>
      </c>
      <c r="F1215" s="28" t="s">
        <v>16</v>
      </c>
      <c r="G1215" s="26">
        <f>ROUND(C1215*E1215,0)</f>
        <v>1281</v>
      </c>
      <c r="H1215" t="s">
        <v>2889</v>
      </c>
    </row>
    <row r="1216" spans="1:8" ht="30" x14ac:dyDescent="0.25">
      <c r="A1216" s="21" t="s">
        <v>2891</v>
      </c>
      <c r="B1216" s="25" t="s">
        <v>2893</v>
      </c>
      <c r="C1216" s="26">
        <v>1</v>
      </c>
      <c r="D1216" s="27" t="s">
        <v>15</v>
      </c>
      <c r="E1216" s="26">
        <v>1181.8</v>
      </c>
      <c r="F1216" s="28" t="s">
        <v>16</v>
      </c>
      <c r="G1216" s="26">
        <f>ROUND(C1216*E1216,0)</f>
        <v>1182</v>
      </c>
      <c r="H1216" t="s">
        <v>2892</v>
      </c>
    </row>
    <row r="1217" spans="1:8" ht="60" x14ac:dyDescent="0.25">
      <c r="A1217" s="21" t="s">
        <v>2894</v>
      </c>
      <c r="B1217" s="25" t="s">
        <v>2896</v>
      </c>
      <c r="C1217" s="26">
        <v>1</v>
      </c>
      <c r="D1217" s="27" t="s">
        <v>15</v>
      </c>
      <c r="E1217" s="26">
        <v>768.25</v>
      </c>
      <c r="F1217" s="28" t="s">
        <v>16</v>
      </c>
      <c r="G1217" s="26">
        <f>ROUND(C1217*E1217,0)</f>
        <v>768</v>
      </c>
      <c r="H1217" t="s">
        <v>2895</v>
      </c>
    </row>
    <row r="1218" spans="1:8" ht="120" x14ac:dyDescent="0.25">
      <c r="A1218" s="21" t="s">
        <v>2897</v>
      </c>
      <c r="B1218" s="25" t="s">
        <v>2899</v>
      </c>
      <c r="C1218" s="26"/>
      <c r="D1218" s="27"/>
      <c r="E1218" s="26"/>
      <c r="F1218" s="28"/>
      <c r="G1218" s="26"/>
      <c r="H1218" t="s">
        <v>2898</v>
      </c>
    </row>
    <row r="1219" spans="1:8" ht="60" x14ac:dyDescent="0.25">
      <c r="A1219" s="21" t="s">
        <v>2900</v>
      </c>
      <c r="B1219" s="25" t="s">
        <v>2901</v>
      </c>
      <c r="C1219" s="26">
        <v>1</v>
      </c>
      <c r="D1219" s="27" t="s">
        <v>725</v>
      </c>
      <c r="E1219" s="26">
        <v>82.45</v>
      </c>
      <c r="F1219" s="28" t="s">
        <v>726</v>
      </c>
      <c r="G1219" s="26">
        <f>ROUND(C1219*E1219,0)</f>
        <v>82</v>
      </c>
      <c r="H1219" t="s">
        <v>105</v>
      </c>
    </row>
    <row r="1220" spans="1:8" ht="45" x14ac:dyDescent="0.25">
      <c r="A1220" s="21" t="s">
        <v>2902</v>
      </c>
      <c r="B1220" s="25" t="s">
        <v>2903</v>
      </c>
      <c r="C1220" s="26">
        <v>1</v>
      </c>
      <c r="D1220" s="27" t="s">
        <v>725</v>
      </c>
      <c r="E1220" s="26">
        <v>40.799999999999997</v>
      </c>
      <c r="F1220" s="28" t="s">
        <v>726</v>
      </c>
      <c r="G1220" s="26">
        <f>ROUND(C1220*E1220,0)</f>
        <v>41</v>
      </c>
      <c r="H1220" t="s">
        <v>2903</v>
      </c>
    </row>
    <row r="1221" spans="1:8" ht="180" x14ac:dyDescent="0.25">
      <c r="A1221" s="21" t="s">
        <v>2904</v>
      </c>
      <c r="B1221" s="25" t="s">
        <v>2906</v>
      </c>
      <c r="C1221" s="26"/>
      <c r="D1221" s="27"/>
      <c r="E1221" s="26"/>
      <c r="F1221" s="28"/>
      <c r="G1221" s="26"/>
      <c r="H1221" t="s">
        <v>2905</v>
      </c>
    </row>
    <row r="1222" spans="1:8" ht="60" x14ac:dyDescent="0.25">
      <c r="A1222" s="21" t="s">
        <v>2907</v>
      </c>
      <c r="B1222" s="25" t="s">
        <v>2909</v>
      </c>
      <c r="C1222" s="26">
        <v>1</v>
      </c>
      <c r="D1222" s="27" t="s">
        <v>725</v>
      </c>
      <c r="E1222" s="26">
        <v>131.05000000000001</v>
      </c>
      <c r="F1222" s="28" t="s">
        <v>726</v>
      </c>
      <c r="G1222" s="26">
        <f>ROUND(C1222*E1222,0)</f>
        <v>131</v>
      </c>
      <c r="H1222" t="s">
        <v>2908</v>
      </c>
    </row>
    <row r="1223" spans="1:8" ht="45" x14ac:dyDescent="0.25">
      <c r="A1223" s="21" t="s">
        <v>2910</v>
      </c>
      <c r="B1223" s="25" t="s">
        <v>2911</v>
      </c>
      <c r="C1223" s="26">
        <v>1</v>
      </c>
      <c r="D1223" s="27" t="s">
        <v>725</v>
      </c>
      <c r="E1223" s="26">
        <v>128.25</v>
      </c>
      <c r="F1223" s="28" t="s">
        <v>726</v>
      </c>
      <c r="G1223" s="26">
        <f>ROUND(C1223*E1223,0)</f>
        <v>128</v>
      </c>
      <c r="H1223" t="s">
        <v>2903</v>
      </c>
    </row>
    <row r="1224" spans="1:8" ht="75" x14ac:dyDescent="0.25">
      <c r="A1224" s="21" t="s">
        <v>2912</v>
      </c>
      <c r="B1224" s="25" t="s">
        <v>2914</v>
      </c>
      <c r="C1224" s="26">
        <v>1</v>
      </c>
      <c r="D1224" s="27" t="s">
        <v>110</v>
      </c>
      <c r="E1224" s="26">
        <v>49.6</v>
      </c>
      <c r="F1224" s="28" t="s">
        <v>68</v>
      </c>
      <c r="G1224" s="26">
        <f>ROUND(C1224*E1224,0)</f>
        <v>50</v>
      </c>
      <c r="H1224" t="s">
        <v>2913</v>
      </c>
    </row>
    <row r="1225" spans="1:8" ht="75" x14ac:dyDescent="0.25">
      <c r="A1225" s="21" t="s">
        <v>2915</v>
      </c>
      <c r="B1225" s="25" t="s">
        <v>2917</v>
      </c>
      <c r="C1225" s="26"/>
      <c r="D1225" s="27"/>
      <c r="E1225" s="26"/>
      <c r="F1225" s="28"/>
      <c r="G1225" s="26"/>
      <c r="H1225" t="s">
        <v>2916</v>
      </c>
    </row>
    <row r="1226" spans="1:8" ht="60" x14ac:dyDescent="0.25">
      <c r="A1226" s="21" t="s">
        <v>2918</v>
      </c>
      <c r="B1226" s="25" t="s">
        <v>2901</v>
      </c>
      <c r="C1226" s="26">
        <v>1</v>
      </c>
      <c r="D1226" s="27" t="s">
        <v>725</v>
      </c>
      <c r="E1226" s="26">
        <v>141.69999999999999</v>
      </c>
      <c r="F1226" s="28" t="s">
        <v>726</v>
      </c>
      <c r="G1226" s="26">
        <f>ROUND(C1226*E1226,0)</f>
        <v>142</v>
      </c>
      <c r="H1226" t="s">
        <v>2919</v>
      </c>
    </row>
    <row r="1227" spans="1:8" ht="45" x14ac:dyDescent="0.25">
      <c r="A1227" s="21" t="s">
        <v>2920</v>
      </c>
      <c r="B1227" s="25" t="s">
        <v>2911</v>
      </c>
      <c r="C1227" s="26">
        <v>1</v>
      </c>
      <c r="D1227" s="27" t="s">
        <v>725</v>
      </c>
      <c r="E1227" s="26">
        <v>136</v>
      </c>
      <c r="F1227" s="28" t="s">
        <v>726</v>
      </c>
      <c r="G1227" s="26">
        <f>ROUND(C1227*E1227,0)</f>
        <v>136</v>
      </c>
      <c r="H1227" t="s">
        <v>2921</v>
      </c>
    </row>
    <row r="1228" spans="1:8" ht="195" x14ac:dyDescent="0.25">
      <c r="A1228" s="21" t="s">
        <v>2922</v>
      </c>
      <c r="B1228" s="25" t="s">
        <v>2924</v>
      </c>
      <c r="C1228" s="26"/>
      <c r="D1228" s="27"/>
      <c r="E1228" s="26"/>
      <c r="F1228" s="28"/>
      <c r="G1228" s="26"/>
      <c r="H1228" t="s">
        <v>2923</v>
      </c>
    </row>
    <row r="1229" spans="1:8" x14ac:dyDescent="0.25">
      <c r="A1229" s="21" t="s">
        <v>2925</v>
      </c>
      <c r="B1229" s="25" t="s">
        <v>2927</v>
      </c>
      <c r="C1229" s="26"/>
      <c r="D1229" s="27"/>
      <c r="E1229" s="26"/>
      <c r="F1229" s="28"/>
      <c r="G1229" s="26"/>
      <c r="H1229" t="s">
        <v>2926</v>
      </c>
    </row>
    <row r="1230" spans="1:8" ht="30" x14ac:dyDescent="0.25">
      <c r="A1230" s="21" t="s">
        <v>2928</v>
      </c>
      <c r="B1230" s="25" t="s">
        <v>2929</v>
      </c>
      <c r="C1230" s="26">
        <v>1</v>
      </c>
      <c r="D1230" s="27" t="s">
        <v>110</v>
      </c>
      <c r="E1230" s="26">
        <v>583.29999999999995</v>
      </c>
      <c r="F1230" s="28" t="s">
        <v>68</v>
      </c>
      <c r="G1230" s="26">
        <f>ROUND(C1230*E1230,0)</f>
        <v>583</v>
      </c>
      <c r="H1230" t="s">
        <v>2929</v>
      </c>
    </row>
    <row r="1231" spans="1:8" ht="45" x14ac:dyDescent="0.25">
      <c r="A1231" s="21" t="s">
        <v>2930</v>
      </c>
      <c r="B1231" s="25" t="s">
        <v>2903</v>
      </c>
      <c r="C1231" s="26">
        <v>1</v>
      </c>
      <c r="D1231" s="27" t="s">
        <v>110</v>
      </c>
      <c r="E1231" s="26">
        <v>570.4</v>
      </c>
      <c r="F1231" s="28" t="s">
        <v>68</v>
      </c>
      <c r="G1231" s="26">
        <f>ROUND(C1231*E1231,0)</f>
        <v>570</v>
      </c>
      <c r="H1231" t="s">
        <v>2921</v>
      </c>
    </row>
    <row r="1232" spans="1:8" x14ac:dyDescent="0.25">
      <c r="A1232" s="21" t="s">
        <v>2931</v>
      </c>
      <c r="B1232" s="25" t="s">
        <v>2933</v>
      </c>
      <c r="C1232" s="26"/>
      <c r="D1232" s="27"/>
      <c r="E1232" s="26"/>
      <c r="F1232" s="28"/>
      <c r="G1232" s="26"/>
      <c r="H1232" t="s">
        <v>2932</v>
      </c>
    </row>
    <row r="1233" spans="1:8" ht="30" x14ac:dyDescent="0.25">
      <c r="A1233" s="21" t="s">
        <v>2934</v>
      </c>
      <c r="B1233" s="25" t="s">
        <v>2929</v>
      </c>
      <c r="C1233" s="26">
        <v>1</v>
      </c>
      <c r="D1233" s="27" t="s">
        <v>110</v>
      </c>
      <c r="E1233" s="26">
        <v>611.75</v>
      </c>
      <c r="F1233" s="28" t="s">
        <v>68</v>
      </c>
      <c r="G1233" s="26">
        <f>ROUND(C1233*E1233,0)</f>
        <v>612</v>
      </c>
      <c r="H1233" t="s">
        <v>2929</v>
      </c>
    </row>
    <row r="1234" spans="1:8" ht="45" x14ac:dyDescent="0.25">
      <c r="A1234" s="21" t="s">
        <v>2935</v>
      </c>
      <c r="B1234" s="25" t="s">
        <v>2903</v>
      </c>
      <c r="C1234" s="26">
        <v>1</v>
      </c>
      <c r="D1234" s="27" t="s">
        <v>110</v>
      </c>
      <c r="E1234" s="26">
        <v>598.85</v>
      </c>
      <c r="F1234" s="28" t="s">
        <v>68</v>
      </c>
      <c r="G1234" s="26">
        <f>ROUND(C1234*E1234,0)</f>
        <v>599</v>
      </c>
      <c r="H1234" t="s">
        <v>2936</v>
      </c>
    </row>
    <row r="1235" spans="1:8" x14ac:dyDescent="0.25">
      <c r="A1235" s="21" t="s">
        <v>2937</v>
      </c>
      <c r="B1235" s="25" t="s">
        <v>2939</v>
      </c>
      <c r="C1235" s="26"/>
      <c r="D1235" s="27"/>
      <c r="E1235" s="26"/>
      <c r="F1235" s="28"/>
      <c r="G1235" s="26"/>
      <c r="H1235" t="s">
        <v>2938</v>
      </c>
    </row>
    <row r="1236" spans="1:8" ht="30" x14ac:dyDescent="0.25">
      <c r="A1236" s="21" t="s">
        <v>2940</v>
      </c>
      <c r="B1236" s="25" t="s">
        <v>2929</v>
      </c>
      <c r="C1236" s="26">
        <v>1</v>
      </c>
      <c r="D1236" s="27" t="s">
        <v>110</v>
      </c>
      <c r="E1236" s="26">
        <v>640.20000000000005</v>
      </c>
      <c r="F1236" s="28" t="s">
        <v>68</v>
      </c>
      <c r="G1236" s="26">
        <f>ROUND(C1236*E1236,0)</f>
        <v>640</v>
      </c>
      <c r="H1236" t="s">
        <v>2929</v>
      </c>
    </row>
    <row r="1237" spans="1:8" ht="45" x14ac:dyDescent="0.25">
      <c r="A1237" s="21" t="s">
        <v>2941</v>
      </c>
      <c r="B1237" s="25" t="s">
        <v>2903</v>
      </c>
      <c r="C1237" s="26">
        <v>1</v>
      </c>
      <c r="D1237" s="27" t="s">
        <v>110</v>
      </c>
      <c r="E1237" s="26">
        <v>627.29999999999995</v>
      </c>
      <c r="F1237" s="28" t="s">
        <v>68</v>
      </c>
      <c r="G1237" s="26">
        <f>ROUND(C1237*E1237,0)</f>
        <v>627</v>
      </c>
      <c r="H1237" t="s">
        <v>2936</v>
      </c>
    </row>
    <row r="1238" spans="1:8" ht="120" x14ac:dyDescent="0.25">
      <c r="A1238" s="21" t="s">
        <v>2942</v>
      </c>
      <c r="B1238" s="25" t="s">
        <v>2944</v>
      </c>
      <c r="C1238" s="26"/>
      <c r="D1238" s="27"/>
      <c r="E1238" s="26"/>
      <c r="F1238" s="28"/>
      <c r="G1238" s="26"/>
      <c r="H1238" t="s">
        <v>2943</v>
      </c>
    </row>
    <row r="1239" spans="1:8" ht="60" x14ac:dyDescent="0.25">
      <c r="A1239" s="21" t="s">
        <v>2945</v>
      </c>
      <c r="B1239" s="25" t="s">
        <v>2947</v>
      </c>
      <c r="C1239" s="26">
        <v>1</v>
      </c>
      <c r="D1239" s="27" t="s">
        <v>725</v>
      </c>
      <c r="E1239" s="26">
        <v>195.2</v>
      </c>
      <c r="F1239" s="28" t="s">
        <v>726</v>
      </c>
      <c r="G1239" s="26">
        <f>ROUND(C1239*E1239,0)</f>
        <v>195</v>
      </c>
      <c r="H1239" t="s">
        <v>2946</v>
      </c>
    </row>
    <row r="1240" spans="1:8" ht="45" x14ac:dyDescent="0.25">
      <c r="A1240" s="21" t="s">
        <v>2948</v>
      </c>
      <c r="B1240" s="25" t="s">
        <v>2903</v>
      </c>
      <c r="C1240" s="26">
        <v>1</v>
      </c>
      <c r="D1240" s="27" t="s">
        <v>725</v>
      </c>
      <c r="E1240" s="26">
        <v>181.25</v>
      </c>
      <c r="F1240" s="28" t="s">
        <v>726</v>
      </c>
      <c r="G1240" s="26">
        <f>ROUND(C1240*E1240,0)</f>
        <v>181</v>
      </c>
      <c r="H1240" t="s">
        <v>2936</v>
      </c>
    </row>
    <row r="1241" spans="1:8" ht="90" x14ac:dyDescent="0.25">
      <c r="A1241" s="21" t="s">
        <v>2949</v>
      </c>
      <c r="B1241" s="25" t="s">
        <v>2951</v>
      </c>
      <c r="C1241" s="26"/>
      <c r="D1241" s="27"/>
      <c r="E1241" s="26"/>
      <c r="F1241" s="28"/>
      <c r="G1241" s="26"/>
      <c r="H1241" t="s">
        <v>2950</v>
      </c>
    </row>
    <row r="1242" spans="1:8" ht="30" x14ac:dyDescent="0.25">
      <c r="A1242" s="21" t="s">
        <v>2952</v>
      </c>
      <c r="B1242" s="25" t="s">
        <v>2954</v>
      </c>
      <c r="C1242" s="26">
        <v>1</v>
      </c>
      <c r="D1242" s="27" t="s">
        <v>725</v>
      </c>
      <c r="E1242" s="26">
        <v>194.4</v>
      </c>
      <c r="F1242" s="28" t="s">
        <v>726</v>
      </c>
      <c r="G1242" s="26">
        <f t="shared" ref="G1242:G1250" si="27">ROUND(C1242*E1242,0)</f>
        <v>194</v>
      </c>
      <c r="H1242" t="s">
        <v>2953</v>
      </c>
    </row>
    <row r="1243" spans="1:8" ht="30" x14ac:dyDescent="0.25">
      <c r="A1243" s="21" t="s">
        <v>2955</v>
      </c>
      <c r="B1243" s="25" t="s">
        <v>2956</v>
      </c>
      <c r="C1243" s="26">
        <v>1</v>
      </c>
      <c r="D1243" s="27" t="s">
        <v>725</v>
      </c>
      <c r="E1243" s="26">
        <v>206.35</v>
      </c>
      <c r="F1243" s="28" t="s">
        <v>726</v>
      </c>
      <c r="G1243" s="26">
        <f t="shared" si="27"/>
        <v>206</v>
      </c>
      <c r="H1243" t="s">
        <v>2956</v>
      </c>
    </row>
    <row r="1244" spans="1:8" ht="30" x14ac:dyDescent="0.25">
      <c r="A1244" s="21" t="s">
        <v>2957</v>
      </c>
      <c r="B1244" s="25" t="s">
        <v>2959</v>
      </c>
      <c r="C1244" s="26">
        <v>1</v>
      </c>
      <c r="D1244" s="27" t="s">
        <v>725</v>
      </c>
      <c r="E1244" s="26">
        <v>194.4</v>
      </c>
      <c r="F1244" s="28" t="s">
        <v>726</v>
      </c>
      <c r="G1244" s="26">
        <f t="shared" si="27"/>
        <v>194</v>
      </c>
      <c r="H1244" t="s">
        <v>2958</v>
      </c>
    </row>
    <row r="1245" spans="1:8" ht="75" x14ac:dyDescent="0.25">
      <c r="A1245" s="21" t="s">
        <v>2960</v>
      </c>
      <c r="B1245" s="25" t="s">
        <v>2962</v>
      </c>
      <c r="C1245" s="26">
        <v>1</v>
      </c>
      <c r="D1245" s="27" t="s">
        <v>201</v>
      </c>
      <c r="E1245" s="26">
        <v>226</v>
      </c>
      <c r="F1245" s="28" t="s">
        <v>202</v>
      </c>
      <c r="G1245" s="26">
        <f t="shared" si="27"/>
        <v>226</v>
      </c>
      <c r="H1245" t="s">
        <v>2961</v>
      </c>
    </row>
    <row r="1246" spans="1:8" ht="135" x14ac:dyDescent="0.25">
      <c r="A1246" s="21" t="s">
        <v>2963</v>
      </c>
      <c r="B1246" s="25" t="s">
        <v>2965</v>
      </c>
      <c r="C1246" s="26">
        <v>1</v>
      </c>
      <c r="D1246" s="27" t="s">
        <v>201</v>
      </c>
      <c r="E1246" s="26">
        <v>220.65</v>
      </c>
      <c r="F1246" s="28" t="s">
        <v>202</v>
      </c>
      <c r="G1246" s="26">
        <f t="shared" si="27"/>
        <v>221</v>
      </c>
      <c r="H1246" t="s">
        <v>2964</v>
      </c>
    </row>
    <row r="1247" spans="1:8" ht="45" x14ac:dyDescent="0.25">
      <c r="A1247" s="21" t="s">
        <v>2966</v>
      </c>
      <c r="B1247" s="25" t="s">
        <v>2968</v>
      </c>
      <c r="C1247" s="26">
        <v>1</v>
      </c>
      <c r="D1247" s="27" t="s">
        <v>725</v>
      </c>
      <c r="E1247" s="26">
        <v>97.2</v>
      </c>
      <c r="F1247" s="28" t="s">
        <v>726</v>
      </c>
      <c r="G1247" s="26">
        <f t="shared" si="27"/>
        <v>97</v>
      </c>
      <c r="H1247" t="s">
        <v>2967</v>
      </c>
    </row>
    <row r="1248" spans="1:8" ht="30" x14ac:dyDescent="0.25">
      <c r="A1248" s="21" t="s">
        <v>2969</v>
      </c>
      <c r="B1248" s="25" t="s">
        <v>2971</v>
      </c>
      <c r="C1248" s="26">
        <v>1</v>
      </c>
      <c r="D1248" s="27" t="s">
        <v>725</v>
      </c>
      <c r="E1248" s="26">
        <v>159.35</v>
      </c>
      <c r="F1248" s="28" t="s">
        <v>726</v>
      </c>
      <c r="G1248" s="26">
        <f t="shared" si="27"/>
        <v>159</v>
      </c>
      <c r="H1248" t="s">
        <v>2970</v>
      </c>
    </row>
    <row r="1249" spans="1:8" ht="30" x14ac:dyDescent="0.25">
      <c r="A1249" s="21" t="s">
        <v>2972</v>
      </c>
      <c r="B1249" s="25" t="s">
        <v>2974</v>
      </c>
      <c r="C1249" s="26">
        <v>1</v>
      </c>
      <c r="D1249" s="27" t="s">
        <v>725</v>
      </c>
      <c r="E1249" s="26">
        <v>278.3</v>
      </c>
      <c r="F1249" s="28" t="s">
        <v>726</v>
      </c>
      <c r="G1249" s="26">
        <f t="shared" si="27"/>
        <v>278</v>
      </c>
      <c r="H1249" t="s">
        <v>2973</v>
      </c>
    </row>
    <row r="1250" spans="1:8" ht="30" x14ac:dyDescent="0.25">
      <c r="A1250" s="21" t="s">
        <v>2975</v>
      </c>
      <c r="B1250" s="25" t="s">
        <v>2977</v>
      </c>
      <c r="C1250" s="26">
        <v>1</v>
      </c>
      <c r="D1250" s="27" t="s">
        <v>2978</v>
      </c>
      <c r="E1250" s="26">
        <v>3.7</v>
      </c>
      <c r="F1250" s="28" t="s">
        <v>2979</v>
      </c>
      <c r="G1250" s="26">
        <f t="shared" si="27"/>
        <v>4</v>
      </c>
      <c r="H1250" t="s">
        <v>2976</v>
      </c>
    </row>
    <row r="1251" spans="1:8" ht="75" x14ac:dyDescent="0.25">
      <c r="A1251" s="21" t="s">
        <v>2980</v>
      </c>
      <c r="B1251" s="25" t="s">
        <v>2982</v>
      </c>
      <c r="C1251" s="26"/>
      <c r="D1251" s="27"/>
      <c r="E1251" s="26"/>
      <c r="F1251" s="28"/>
      <c r="G1251" s="26"/>
      <c r="H1251" t="s">
        <v>2981</v>
      </c>
    </row>
    <row r="1252" spans="1:8" ht="45" x14ac:dyDescent="0.25">
      <c r="A1252" s="21" t="s">
        <v>2983</v>
      </c>
      <c r="B1252" s="25" t="s">
        <v>2985</v>
      </c>
      <c r="C1252" s="26">
        <v>1</v>
      </c>
      <c r="D1252" s="27" t="s">
        <v>725</v>
      </c>
      <c r="E1252" s="26">
        <v>123.6</v>
      </c>
      <c r="F1252" s="28" t="s">
        <v>726</v>
      </c>
      <c r="G1252" s="26">
        <f>ROUND(C1252*E1252,0)</f>
        <v>124</v>
      </c>
      <c r="H1252" t="s">
        <v>2984</v>
      </c>
    </row>
    <row r="1253" spans="1:8" ht="30" x14ac:dyDescent="0.25">
      <c r="A1253" s="21" t="s">
        <v>2986</v>
      </c>
      <c r="B1253" s="25" t="s">
        <v>2988</v>
      </c>
      <c r="C1253" s="26">
        <v>1</v>
      </c>
      <c r="D1253" s="27" t="s">
        <v>725</v>
      </c>
      <c r="E1253" s="26">
        <v>172.6</v>
      </c>
      <c r="F1253" s="28" t="s">
        <v>726</v>
      </c>
      <c r="G1253" s="26">
        <f>ROUND(C1253*E1253,0)</f>
        <v>173</v>
      </c>
      <c r="H1253" t="s">
        <v>2987</v>
      </c>
    </row>
    <row r="1254" spans="1:8" ht="75" x14ac:dyDescent="0.25">
      <c r="A1254" s="21" t="s">
        <v>2989</v>
      </c>
      <c r="B1254" s="25" t="s">
        <v>2991</v>
      </c>
      <c r="C1254" s="26"/>
      <c r="D1254" s="27"/>
      <c r="E1254" s="26"/>
      <c r="F1254" s="28"/>
      <c r="G1254" s="26"/>
      <c r="H1254" t="s">
        <v>2990</v>
      </c>
    </row>
    <row r="1255" spans="1:8" ht="30" x14ac:dyDescent="0.25">
      <c r="A1255" s="21" t="s">
        <v>2992</v>
      </c>
      <c r="B1255" s="25" t="s">
        <v>2994</v>
      </c>
      <c r="C1255" s="26">
        <v>1</v>
      </c>
      <c r="D1255" s="27" t="s">
        <v>725</v>
      </c>
      <c r="E1255" s="26">
        <v>196.8</v>
      </c>
      <c r="F1255" s="28" t="s">
        <v>726</v>
      </c>
      <c r="G1255" s="26">
        <f>ROUND(C1255*E1255,0)</f>
        <v>197</v>
      </c>
      <c r="H1255" t="s">
        <v>2993</v>
      </c>
    </row>
    <row r="1256" spans="1:8" ht="30" x14ac:dyDescent="0.25">
      <c r="A1256" s="21" t="s">
        <v>2995</v>
      </c>
      <c r="B1256" s="25" t="s">
        <v>2997</v>
      </c>
      <c r="C1256" s="26">
        <v>1</v>
      </c>
      <c r="D1256" s="27" t="s">
        <v>725</v>
      </c>
      <c r="E1256" s="26">
        <v>205.75</v>
      </c>
      <c r="F1256" s="28" t="s">
        <v>726</v>
      </c>
      <c r="G1256" s="26">
        <f>ROUND(C1256*E1256,0)</f>
        <v>206</v>
      </c>
      <c r="H1256" t="s">
        <v>2996</v>
      </c>
    </row>
    <row r="1257" spans="1:8" ht="30" x14ac:dyDescent="0.25">
      <c r="A1257" s="21" t="s">
        <v>2998</v>
      </c>
      <c r="B1257" s="25" t="s">
        <v>3000</v>
      </c>
      <c r="C1257" s="26">
        <v>1</v>
      </c>
      <c r="D1257" s="27" t="s">
        <v>725</v>
      </c>
      <c r="E1257" s="26">
        <v>203.05</v>
      </c>
      <c r="F1257" s="28" t="s">
        <v>726</v>
      </c>
      <c r="G1257" s="26">
        <f>ROUND(C1257*E1257,0)</f>
        <v>203</v>
      </c>
      <c r="H1257" t="s">
        <v>2999</v>
      </c>
    </row>
    <row r="1258" spans="1:8" ht="120" x14ac:dyDescent="0.25">
      <c r="A1258" s="21" t="s">
        <v>3001</v>
      </c>
      <c r="B1258" s="25" t="s">
        <v>3003</v>
      </c>
      <c r="C1258" s="26"/>
      <c r="D1258" s="27"/>
      <c r="E1258" s="26"/>
      <c r="F1258" s="28"/>
      <c r="G1258" s="26"/>
      <c r="H1258" t="s">
        <v>3002</v>
      </c>
    </row>
    <row r="1259" spans="1:8" x14ac:dyDescent="0.25">
      <c r="A1259" s="21" t="s">
        <v>3004</v>
      </c>
      <c r="B1259" s="25" t="s">
        <v>3006</v>
      </c>
      <c r="C1259" s="26">
        <v>1</v>
      </c>
      <c r="D1259" s="27" t="s">
        <v>201</v>
      </c>
      <c r="E1259" s="26">
        <v>131.1</v>
      </c>
      <c r="F1259" s="28" t="s">
        <v>202</v>
      </c>
      <c r="G1259" s="26">
        <f t="shared" ref="G1259:G1264" si="28">ROUND(C1259*E1259,0)</f>
        <v>131</v>
      </c>
      <c r="H1259" t="s">
        <v>3005</v>
      </c>
    </row>
    <row r="1260" spans="1:8" x14ac:dyDescent="0.25">
      <c r="A1260" s="21" t="s">
        <v>3007</v>
      </c>
      <c r="B1260" s="25" t="s">
        <v>3009</v>
      </c>
      <c r="C1260" s="26">
        <v>1</v>
      </c>
      <c r="D1260" s="27" t="s">
        <v>201</v>
      </c>
      <c r="E1260" s="26">
        <v>137.65</v>
      </c>
      <c r="F1260" s="28" t="s">
        <v>202</v>
      </c>
      <c r="G1260" s="26">
        <f t="shared" si="28"/>
        <v>138</v>
      </c>
      <c r="H1260" t="s">
        <v>3008</v>
      </c>
    </row>
    <row r="1261" spans="1:8" x14ac:dyDescent="0.25">
      <c r="A1261" s="21" t="s">
        <v>3010</v>
      </c>
      <c r="B1261" s="25" t="s">
        <v>3012</v>
      </c>
      <c r="C1261" s="26">
        <v>1</v>
      </c>
      <c r="D1261" s="27" t="s">
        <v>201</v>
      </c>
      <c r="E1261" s="26">
        <v>170.95</v>
      </c>
      <c r="F1261" s="28" t="s">
        <v>202</v>
      </c>
      <c r="G1261" s="26">
        <f t="shared" si="28"/>
        <v>171</v>
      </c>
      <c r="H1261" t="s">
        <v>3011</v>
      </c>
    </row>
    <row r="1262" spans="1:8" x14ac:dyDescent="0.25">
      <c r="A1262" s="21" t="s">
        <v>3013</v>
      </c>
      <c r="B1262" s="25" t="s">
        <v>3015</v>
      </c>
      <c r="C1262" s="26">
        <v>1</v>
      </c>
      <c r="D1262" s="27" t="s">
        <v>201</v>
      </c>
      <c r="E1262" s="26">
        <v>182.2</v>
      </c>
      <c r="F1262" s="28" t="s">
        <v>202</v>
      </c>
      <c r="G1262" s="26">
        <f t="shared" si="28"/>
        <v>182</v>
      </c>
      <c r="H1262" t="s">
        <v>3014</v>
      </c>
    </row>
    <row r="1263" spans="1:8" x14ac:dyDescent="0.25">
      <c r="A1263" s="21" t="s">
        <v>3016</v>
      </c>
      <c r="B1263" s="25" t="s">
        <v>3018</v>
      </c>
      <c r="C1263" s="26">
        <v>1</v>
      </c>
      <c r="D1263" s="27" t="s">
        <v>201</v>
      </c>
      <c r="E1263" s="26">
        <v>224.5</v>
      </c>
      <c r="F1263" s="28" t="s">
        <v>202</v>
      </c>
      <c r="G1263" s="26">
        <f t="shared" si="28"/>
        <v>225</v>
      </c>
      <c r="H1263" t="s">
        <v>3017</v>
      </c>
    </row>
    <row r="1264" spans="1:8" ht="210" x14ac:dyDescent="0.25">
      <c r="A1264" s="21" t="s">
        <v>3019</v>
      </c>
      <c r="B1264" s="25" t="s">
        <v>3021</v>
      </c>
      <c r="C1264" s="26">
        <v>1</v>
      </c>
      <c r="D1264" s="27" t="s">
        <v>725</v>
      </c>
      <c r="E1264" s="26">
        <v>772.4</v>
      </c>
      <c r="F1264" s="28" t="s">
        <v>726</v>
      </c>
      <c r="G1264" s="26">
        <f t="shared" si="28"/>
        <v>772</v>
      </c>
      <c r="H1264" t="s">
        <v>3020</v>
      </c>
    </row>
    <row r="1265" spans="1:8" ht="45" x14ac:dyDescent="0.25">
      <c r="A1265" s="21" t="s">
        <v>3022</v>
      </c>
      <c r="B1265" s="25" t="s">
        <v>3024</v>
      </c>
      <c r="C1265" s="26"/>
      <c r="D1265" s="27"/>
      <c r="E1265" s="26"/>
      <c r="F1265" s="28"/>
      <c r="G1265" s="26"/>
      <c r="H1265" t="s">
        <v>3023</v>
      </c>
    </row>
    <row r="1266" spans="1:8" ht="30" x14ac:dyDescent="0.25">
      <c r="A1266" s="21" t="s">
        <v>3025</v>
      </c>
      <c r="B1266" s="25" t="s">
        <v>3026</v>
      </c>
      <c r="C1266" s="26">
        <v>1</v>
      </c>
      <c r="D1266" s="27" t="s">
        <v>15</v>
      </c>
      <c r="E1266" s="26">
        <v>844.7</v>
      </c>
      <c r="F1266" s="28" t="s">
        <v>16</v>
      </c>
      <c r="G1266" s="26">
        <f>ROUND(C1266*E1266,0)</f>
        <v>845</v>
      </c>
      <c r="H1266" t="s">
        <v>3026</v>
      </c>
    </row>
    <row r="1267" spans="1:8" ht="30" x14ac:dyDescent="0.25">
      <c r="A1267" s="21" t="s">
        <v>3027</v>
      </c>
      <c r="B1267" s="25" t="s">
        <v>3028</v>
      </c>
      <c r="C1267" s="26">
        <v>1</v>
      </c>
      <c r="D1267" s="27" t="s">
        <v>15</v>
      </c>
      <c r="E1267" s="26">
        <v>1133.55</v>
      </c>
      <c r="F1267" s="28" t="s">
        <v>16</v>
      </c>
      <c r="G1267" s="26">
        <f>ROUND(C1267*E1267,0)</f>
        <v>1134</v>
      </c>
      <c r="H1267" t="s">
        <v>3028</v>
      </c>
    </row>
    <row r="1268" spans="1:8" ht="45" x14ac:dyDescent="0.25">
      <c r="A1268" s="21" t="s">
        <v>3029</v>
      </c>
      <c r="B1268" s="25" t="s">
        <v>3031</v>
      </c>
      <c r="C1268" s="26"/>
      <c r="D1268" s="27"/>
      <c r="E1268" s="26"/>
      <c r="F1268" s="28"/>
      <c r="G1268" s="26"/>
      <c r="H1268" t="s">
        <v>3030</v>
      </c>
    </row>
    <row r="1269" spans="1:8" ht="30" x14ac:dyDescent="0.25">
      <c r="A1269" s="21" t="s">
        <v>3032</v>
      </c>
      <c r="B1269" s="25" t="s">
        <v>3033</v>
      </c>
      <c r="C1269" s="26">
        <v>1</v>
      </c>
      <c r="D1269" s="27" t="s">
        <v>15</v>
      </c>
      <c r="E1269" s="26">
        <v>1064.6500000000001</v>
      </c>
      <c r="F1269" s="28" t="s">
        <v>16</v>
      </c>
      <c r="G1269" s="26">
        <f>ROUND(C1269*E1269,0)</f>
        <v>1065</v>
      </c>
      <c r="H1269" t="s">
        <v>3033</v>
      </c>
    </row>
    <row r="1270" spans="1:8" ht="30" x14ac:dyDescent="0.25">
      <c r="A1270" s="21" t="s">
        <v>3034</v>
      </c>
      <c r="B1270" s="25" t="s">
        <v>3035</v>
      </c>
      <c r="C1270" s="26">
        <v>1</v>
      </c>
      <c r="D1270" s="27" t="s">
        <v>15</v>
      </c>
      <c r="E1270" s="26">
        <v>1390.15</v>
      </c>
      <c r="F1270" s="28" t="s">
        <v>16</v>
      </c>
      <c r="G1270" s="26">
        <f>ROUND(C1270*E1270,0)</f>
        <v>1390</v>
      </c>
      <c r="H1270" t="s">
        <v>3035</v>
      </c>
    </row>
    <row r="1271" spans="1:8" ht="150" x14ac:dyDescent="0.25">
      <c r="A1271" s="21" t="s">
        <v>3036</v>
      </c>
      <c r="B1271" s="25" t="s">
        <v>3038</v>
      </c>
      <c r="C1271" s="26">
        <v>1</v>
      </c>
      <c r="D1271" s="27" t="s">
        <v>725</v>
      </c>
      <c r="E1271" s="26">
        <v>130.5</v>
      </c>
      <c r="F1271" s="28" t="s">
        <v>726</v>
      </c>
      <c r="G1271" s="26">
        <f>ROUND(C1271*E1271,0)</f>
        <v>131</v>
      </c>
      <c r="H1271" t="s">
        <v>3037</v>
      </c>
    </row>
    <row r="1272" spans="1:8" x14ac:dyDescent="0.25">
      <c r="A1272" s="21"/>
      <c r="B1272" s="45" t="s">
        <v>3039</v>
      </c>
      <c r="C1272" s="45"/>
      <c r="D1272" s="45"/>
      <c r="E1272" s="45"/>
      <c r="F1272" s="45"/>
      <c r="G1272" s="29">
        <f>SUM(G1202:G1271)</f>
        <v>56882</v>
      </c>
    </row>
    <row r="1273" spans="1:8" x14ac:dyDescent="0.25">
      <c r="A1273" s="46" t="s">
        <v>3040</v>
      </c>
      <c r="B1273" s="47"/>
      <c r="C1273" s="47"/>
      <c r="D1273" s="47"/>
      <c r="E1273" s="47"/>
      <c r="F1273" s="47"/>
      <c r="G1273" s="47"/>
    </row>
    <row r="1274" spans="1:8" ht="75" x14ac:dyDescent="0.25">
      <c r="A1274" s="21" t="s">
        <v>3041</v>
      </c>
      <c r="B1274" s="25" t="s">
        <v>3043</v>
      </c>
      <c r="C1274" s="26"/>
      <c r="D1274" s="27"/>
      <c r="E1274" s="26"/>
      <c r="F1274" s="28"/>
      <c r="G1274" s="26"/>
      <c r="H1274" t="s">
        <v>3042</v>
      </c>
    </row>
    <row r="1275" spans="1:8" ht="30" x14ac:dyDescent="0.25">
      <c r="A1275" s="21" t="s">
        <v>3044</v>
      </c>
      <c r="B1275" s="25" t="s">
        <v>3045</v>
      </c>
      <c r="C1275" s="26">
        <v>1</v>
      </c>
      <c r="D1275" s="27" t="s">
        <v>15</v>
      </c>
      <c r="E1275" s="26">
        <v>1006.95</v>
      </c>
      <c r="F1275" s="28" t="s">
        <v>16</v>
      </c>
      <c r="G1275" s="26">
        <f>ROUND(C1275*E1275,0)</f>
        <v>1007</v>
      </c>
      <c r="H1275" t="s">
        <v>3045</v>
      </c>
    </row>
    <row r="1276" spans="1:8" ht="30" x14ac:dyDescent="0.25">
      <c r="A1276" s="21" t="s">
        <v>3046</v>
      </c>
      <c r="B1276" s="25" t="s">
        <v>3047</v>
      </c>
      <c r="C1276" s="26">
        <v>1</v>
      </c>
      <c r="D1276" s="27" t="s">
        <v>15</v>
      </c>
      <c r="E1276" s="26">
        <v>965.55</v>
      </c>
      <c r="F1276" s="28" t="s">
        <v>16</v>
      </c>
      <c r="G1276" s="26">
        <f>ROUND(C1276*E1276,0)</f>
        <v>966</v>
      </c>
      <c r="H1276" t="s">
        <v>3047</v>
      </c>
    </row>
    <row r="1277" spans="1:8" ht="75" x14ac:dyDescent="0.25">
      <c r="A1277" s="21" t="s">
        <v>3048</v>
      </c>
      <c r="B1277" s="25" t="s">
        <v>3050</v>
      </c>
      <c r="C1277" s="26">
        <v>1</v>
      </c>
      <c r="D1277" s="27" t="s">
        <v>15</v>
      </c>
      <c r="E1277" s="26">
        <v>792.05</v>
      </c>
      <c r="F1277" s="28" t="s">
        <v>16</v>
      </c>
      <c r="G1277" s="26">
        <f>ROUND(C1277*E1277,0)</f>
        <v>792</v>
      </c>
      <c r="H1277" t="s">
        <v>3049</v>
      </c>
    </row>
    <row r="1278" spans="1:8" ht="75" x14ac:dyDescent="0.25">
      <c r="A1278" s="21" t="s">
        <v>3051</v>
      </c>
      <c r="B1278" s="25" t="s">
        <v>3053</v>
      </c>
      <c r="C1278" s="26"/>
      <c r="D1278" s="27"/>
      <c r="E1278" s="26"/>
      <c r="F1278" s="28"/>
      <c r="G1278" s="26"/>
      <c r="H1278" t="s">
        <v>3052</v>
      </c>
    </row>
    <row r="1279" spans="1:8" ht="30" x14ac:dyDescent="0.25">
      <c r="A1279" s="21" t="s">
        <v>3054</v>
      </c>
      <c r="B1279" s="25" t="s">
        <v>3056</v>
      </c>
      <c r="C1279" s="26">
        <v>1</v>
      </c>
      <c r="D1279" s="27" t="s">
        <v>15</v>
      </c>
      <c r="E1279" s="26">
        <v>614.20000000000005</v>
      </c>
      <c r="F1279" s="28" t="s">
        <v>16</v>
      </c>
      <c r="G1279" s="26">
        <f>ROUND(C1279*E1279,0)</f>
        <v>614</v>
      </c>
      <c r="H1279" t="s">
        <v>3055</v>
      </c>
    </row>
    <row r="1280" spans="1:8" ht="180" x14ac:dyDescent="0.25">
      <c r="A1280" s="21" t="s">
        <v>3057</v>
      </c>
      <c r="B1280" s="25" t="s">
        <v>3059</v>
      </c>
      <c r="C1280" s="26">
        <v>1</v>
      </c>
      <c r="D1280" s="27" t="s">
        <v>15</v>
      </c>
      <c r="E1280" s="26">
        <v>978.45</v>
      </c>
      <c r="F1280" s="28" t="s">
        <v>16</v>
      </c>
      <c r="G1280" s="26">
        <f>ROUND(C1280*E1280,0)</f>
        <v>978</v>
      </c>
      <c r="H1280" t="s">
        <v>3058</v>
      </c>
    </row>
    <row r="1281" spans="1:8" ht="180" x14ac:dyDescent="0.25">
      <c r="A1281" s="21" t="s">
        <v>3060</v>
      </c>
      <c r="B1281" s="25" t="s">
        <v>3062</v>
      </c>
      <c r="C1281" s="26">
        <v>1</v>
      </c>
      <c r="D1281" s="27" t="s">
        <v>15</v>
      </c>
      <c r="E1281" s="26">
        <v>1056.1500000000001</v>
      </c>
      <c r="F1281" s="28" t="s">
        <v>16</v>
      </c>
      <c r="G1281" s="26">
        <f>ROUND(C1281*E1281,0)</f>
        <v>1056</v>
      </c>
      <c r="H1281" t="s">
        <v>3061</v>
      </c>
    </row>
    <row r="1282" spans="1:8" ht="45" x14ac:dyDescent="0.25">
      <c r="A1282" s="21" t="s">
        <v>3063</v>
      </c>
      <c r="B1282" s="25" t="s">
        <v>3065</v>
      </c>
      <c r="C1282" s="26"/>
      <c r="D1282" s="27"/>
      <c r="E1282" s="26"/>
      <c r="F1282" s="28"/>
      <c r="G1282" s="26"/>
      <c r="H1282" t="s">
        <v>3064</v>
      </c>
    </row>
    <row r="1283" spans="1:8" ht="30" x14ac:dyDescent="0.25">
      <c r="A1283" s="21" t="s">
        <v>3066</v>
      </c>
      <c r="B1283" s="25" t="s">
        <v>2796</v>
      </c>
      <c r="C1283" s="26">
        <v>1</v>
      </c>
      <c r="D1283" s="27" t="s">
        <v>15</v>
      </c>
      <c r="E1283" s="26">
        <v>662.05</v>
      </c>
      <c r="F1283" s="28" t="s">
        <v>16</v>
      </c>
      <c r="G1283" s="26">
        <f>ROUND(C1283*E1283,0)</f>
        <v>662</v>
      </c>
      <c r="H1283" t="s">
        <v>1499</v>
      </c>
    </row>
    <row r="1284" spans="1:8" ht="45" x14ac:dyDescent="0.25">
      <c r="A1284" s="21" t="s">
        <v>3067</v>
      </c>
      <c r="B1284" s="25" t="s">
        <v>3069</v>
      </c>
      <c r="C1284" s="26">
        <v>1</v>
      </c>
      <c r="D1284" s="27" t="s">
        <v>21</v>
      </c>
      <c r="E1284" s="26">
        <v>8595.15</v>
      </c>
      <c r="F1284" s="28" t="s">
        <v>22</v>
      </c>
      <c r="G1284" s="26">
        <f>ROUND(C1284*E1284,0)</f>
        <v>8595</v>
      </c>
      <c r="H1284" t="s">
        <v>3068</v>
      </c>
    </row>
    <row r="1285" spans="1:8" ht="45" x14ac:dyDescent="0.25">
      <c r="A1285" s="21" t="s">
        <v>3070</v>
      </c>
      <c r="B1285" s="25" t="s">
        <v>3072</v>
      </c>
      <c r="C1285" s="26">
        <v>1</v>
      </c>
      <c r="D1285" s="27" t="s">
        <v>15</v>
      </c>
      <c r="E1285" s="26">
        <v>83.85</v>
      </c>
      <c r="F1285" s="28" t="s">
        <v>16</v>
      </c>
      <c r="G1285" s="26">
        <f>ROUND(C1285*E1285,0)</f>
        <v>84</v>
      </c>
      <c r="H1285" t="s">
        <v>3071</v>
      </c>
    </row>
    <row r="1286" spans="1:8" ht="165" x14ac:dyDescent="0.25">
      <c r="A1286" s="21" t="s">
        <v>3073</v>
      </c>
      <c r="B1286" s="25" t="s">
        <v>3075</v>
      </c>
      <c r="C1286" s="26"/>
      <c r="D1286" s="27"/>
      <c r="E1286" s="26"/>
      <c r="F1286" s="28"/>
      <c r="G1286" s="26"/>
      <c r="H1286" t="s">
        <v>3074</v>
      </c>
    </row>
    <row r="1287" spans="1:8" ht="30" x14ac:dyDescent="0.25">
      <c r="A1287" s="21" t="s">
        <v>3076</v>
      </c>
      <c r="B1287" s="25" t="s">
        <v>3078</v>
      </c>
      <c r="C1287" s="26">
        <v>1</v>
      </c>
      <c r="D1287" s="27" t="s">
        <v>15</v>
      </c>
      <c r="E1287" s="26">
        <v>1065.75</v>
      </c>
      <c r="F1287" s="28" t="s">
        <v>16</v>
      </c>
      <c r="G1287" s="26">
        <f t="shared" ref="G1287:G1292" si="29">ROUND(C1287*E1287,0)</f>
        <v>1066</v>
      </c>
      <c r="H1287" t="s">
        <v>3077</v>
      </c>
    </row>
    <row r="1288" spans="1:8" ht="30" x14ac:dyDescent="0.25">
      <c r="A1288" s="21" t="s">
        <v>3079</v>
      </c>
      <c r="B1288" s="25" t="s">
        <v>3081</v>
      </c>
      <c r="C1288" s="26">
        <v>1</v>
      </c>
      <c r="D1288" s="27" t="s">
        <v>15</v>
      </c>
      <c r="E1288" s="26">
        <v>1092.5</v>
      </c>
      <c r="F1288" s="28" t="s">
        <v>16</v>
      </c>
      <c r="G1288" s="26">
        <f t="shared" si="29"/>
        <v>1093</v>
      </c>
      <c r="H1288" t="s">
        <v>3080</v>
      </c>
    </row>
    <row r="1289" spans="1:8" ht="30" x14ac:dyDescent="0.25">
      <c r="A1289" s="21" t="s">
        <v>3082</v>
      </c>
      <c r="B1289" s="25" t="s">
        <v>3084</v>
      </c>
      <c r="C1289" s="26">
        <v>1</v>
      </c>
      <c r="D1289" s="27" t="s">
        <v>15</v>
      </c>
      <c r="E1289" s="26">
        <v>1075.0999999999999</v>
      </c>
      <c r="F1289" s="28" t="s">
        <v>16</v>
      </c>
      <c r="G1289" s="26">
        <f t="shared" si="29"/>
        <v>1075</v>
      </c>
      <c r="H1289" t="s">
        <v>3083</v>
      </c>
    </row>
    <row r="1290" spans="1:8" ht="30" x14ac:dyDescent="0.25">
      <c r="A1290" s="21" t="s">
        <v>3085</v>
      </c>
      <c r="B1290" s="25" t="s">
        <v>3087</v>
      </c>
      <c r="C1290" s="26">
        <v>1</v>
      </c>
      <c r="D1290" s="27" t="s">
        <v>15</v>
      </c>
      <c r="E1290" s="26">
        <v>1067.5</v>
      </c>
      <c r="F1290" s="28" t="s">
        <v>16</v>
      </c>
      <c r="G1290" s="26">
        <f t="shared" si="29"/>
        <v>1068</v>
      </c>
      <c r="H1290" t="s">
        <v>3086</v>
      </c>
    </row>
    <row r="1291" spans="1:8" ht="30" x14ac:dyDescent="0.25">
      <c r="A1291" s="21" t="s">
        <v>3088</v>
      </c>
      <c r="B1291" s="25" t="s">
        <v>3090</v>
      </c>
      <c r="C1291" s="26">
        <v>1</v>
      </c>
      <c r="D1291" s="27" t="s">
        <v>15</v>
      </c>
      <c r="E1291" s="26">
        <v>1061.7</v>
      </c>
      <c r="F1291" s="28" t="s">
        <v>16</v>
      </c>
      <c r="G1291" s="26">
        <f t="shared" si="29"/>
        <v>1062</v>
      </c>
      <c r="H1291" t="s">
        <v>3089</v>
      </c>
    </row>
    <row r="1292" spans="1:8" ht="30" x14ac:dyDescent="0.25">
      <c r="A1292" s="21" t="s">
        <v>3091</v>
      </c>
      <c r="B1292" s="25" t="s">
        <v>3093</v>
      </c>
      <c r="C1292" s="26">
        <v>1</v>
      </c>
      <c r="D1292" s="27" t="s">
        <v>15</v>
      </c>
      <c r="E1292" s="26">
        <v>1034.25</v>
      </c>
      <c r="F1292" s="28" t="s">
        <v>16</v>
      </c>
      <c r="G1292" s="26">
        <f t="shared" si="29"/>
        <v>1034</v>
      </c>
      <c r="H1292" t="s">
        <v>3092</v>
      </c>
    </row>
    <row r="1293" spans="1:8" ht="165" x14ac:dyDescent="0.25">
      <c r="A1293" s="21" t="s">
        <v>3094</v>
      </c>
      <c r="B1293" s="25" t="s">
        <v>3096</v>
      </c>
      <c r="C1293" s="26"/>
      <c r="D1293" s="27"/>
      <c r="E1293" s="26"/>
      <c r="F1293" s="28"/>
      <c r="G1293" s="26"/>
      <c r="H1293" t="s">
        <v>3095</v>
      </c>
    </row>
    <row r="1294" spans="1:8" ht="30" x14ac:dyDescent="0.25">
      <c r="A1294" s="21" t="s">
        <v>3097</v>
      </c>
      <c r="B1294" s="25" t="s">
        <v>3098</v>
      </c>
      <c r="C1294" s="26">
        <v>1</v>
      </c>
      <c r="D1294" s="27" t="s">
        <v>15</v>
      </c>
      <c r="E1294" s="26">
        <v>1072.0999999999999</v>
      </c>
      <c r="F1294" s="28" t="s">
        <v>16</v>
      </c>
      <c r="G1294" s="26">
        <f t="shared" ref="G1294:G1299" si="30">ROUND(C1294*E1294,0)</f>
        <v>1072</v>
      </c>
      <c r="H1294" t="s">
        <v>3077</v>
      </c>
    </row>
    <row r="1295" spans="1:8" ht="30" x14ac:dyDescent="0.25">
      <c r="A1295" s="21" t="s">
        <v>3099</v>
      </c>
      <c r="B1295" s="25" t="s">
        <v>3081</v>
      </c>
      <c r="C1295" s="26">
        <v>1</v>
      </c>
      <c r="D1295" s="27" t="s">
        <v>15</v>
      </c>
      <c r="E1295" s="26">
        <v>1110.3</v>
      </c>
      <c r="F1295" s="28" t="s">
        <v>16</v>
      </c>
      <c r="G1295" s="26">
        <f t="shared" si="30"/>
        <v>1110</v>
      </c>
      <c r="H1295" t="s">
        <v>3081</v>
      </c>
    </row>
    <row r="1296" spans="1:8" ht="30" x14ac:dyDescent="0.25">
      <c r="A1296" s="21" t="s">
        <v>3100</v>
      </c>
      <c r="B1296" s="25" t="s">
        <v>3084</v>
      </c>
      <c r="C1296" s="26">
        <v>1</v>
      </c>
      <c r="D1296" s="27" t="s">
        <v>15</v>
      </c>
      <c r="E1296" s="26">
        <v>1085.45</v>
      </c>
      <c r="F1296" s="28" t="s">
        <v>16</v>
      </c>
      <c r="G1296" s="26">
        <f t="shared" si="30"/>
        <v>1085</v>
      </c>
      <c r="H1296" t="s">
        <v>3101</v>
      </c>
    </row>
    <row r="1297" spans="1:8" ht="30" x14ac:dyDescent="0.25">
      <c r="A1297" s="21" t="s">
        <v>3102</v>
      </c>
      <c r="B1297" s="25" t="s">
        <v>3087</v>
      </c>
      <c r="C1297" s="26">
        <v>1</v>
      </c>
      <c r="D1297" s="27" t="s">
        <v>15</v>
      </c>
      <c r="E1297" s="26">
        <v>1071.05</v>
      </c>
      <c r="F1297" s="28" t="s">
        <v>16</v>
      </c>
      <c r="G1297" s="26">
        <f t="shared" si="30"/>
        <v>1071</v>
      </c>
      <c r="H1297" t="s">
        <v>3087</v>
      </c>
    </row>
    <row r="1298" spans="1:8" ht="30" x14ac:dyDescent="0.25">
      <c r="A1298" s="21" t="s">
        <v>3103</v>
      </c>
      <c r="B1298" s="25" t="s">
        <v>3090</v>
      </c>
      <c r="C1298" s="26">
        <v>1</v>
      </c>
      <c r="D1298" s="27" t="s">
        <v>15</v>
      </c>
      <c r="E1298" s="26">
        <v>1066.3499999999999</v>
      </c>
      <c r="F1298" s="28" t="s">
        <v>16</v>
      </c>
      <c r="G1298" s="26">
        <f t="shared" si="30"/>
        <v>1066</v>
      </c>
      <c r="H1298" t="s">
        <v>3090</v>
      </c>
    </row>
    <row r="1299" spans="1:8" ht="30" x14ac:dyDescent="0.25">
      <c r="A1299" s="21" t="s">
        <v>3104</v>
      </c>
      <c r="B1299" s="25" t="s">
        <v>3093</v>
      </c>
      <c r="C1299" s="26">
        <v>1</v>
      </c>
      <c r="D1299" s="27" t="s">
        <v>15</v>
      </c>
      <c r="E1299" s="26">
        <v>1027.0999999999999</v>
      </c>
      <c r="F1299" s="28" t="s">
        <v>16</v>
      </c>
      <c r="G1299" s="26">
        <f t="shared" si="30"/>
        <v>1027</v>
      </c>
      <c r="H1299" t="s">
        <v>3093</v>
      </c>
    </row>
    <row r="1300" spans="1:8" ht="165" x14ac:dyDescent="0.25">
      <c r="A1300" s="21" t="s">
        <v>3105</v>
      </c>
      <c r="B1300" s="25" t="s">
        <v>3107</v>
      </c>
      <c r="C1300" s="26"/>
      <c r="D1300" s="27"/>
      <c r="E1300" s="26"/>
      <c r="F1300" s="28"/>
      <c r="G1300" s="26"/>
      <c r="H1300" t="s">
        <v>3106</v>
      </c>
    </row>
    <row r="1301" spans="1:8" ht="30" x14ac:dyDescent="0.25">
      <c r="A1301" s="21" t="s">
        <v>3108</v>
      </c>
      <c r="B1301" s="25" t="s">
        <v>3078</v>
      </c>
      <c r="C1301" s="26">
        <v>1</v>
      </c>
      <c r="D1301" s="27" t="s">
        <v>15</v>
      </c>
      <c r="E1301" s="26">
        <v>1110.75</v>
      </c>
      <c r="F1301" s="28" t="s">
        <v>16</v>
      </c>
      <c r="G1301" s="26">
        <f t="shared" ref="G1301:G1306" si="31">ROUND(C1301*E1301,0)</f>
        <v>1111</v>
      </c>
      <c r="H1301" t="s">
        <v>3109</v>
      </c>
    </row>
    <row r="1302" spans="1:8" ht="30" x14ac:dyDescent="0.25">
      <c r="A1302" s="21" t="s">
        <v>3110</v>
      </c>
      <c r="B1302" s="25" t="s">
        <v>3081</v>
      </c>
      <c r="C1302" s="26">
        <v>1</v>
      </c>
      <c r="D1302" s="27" t="s">
        <v>15</v>
      </c>
      <c r="E1302" s="26">
        <v>1164.25</v>
      </c>
      <c r="F1302" s="28" t="s">
        <v>16</v>
      </c>
      <c r="G1302" s="26">
        <f t="shared" si="31"/>
        <v>1164</v>
      </c>
      <c r="H1302" t="s">
        <v>3111</v>
      </c>
    </row>
    <row r="1303" spans="1:8" ht="30" x14ac:dyDescent="0.25">
      <c r="A1303" s="21" t="s">
        <v>3112</v>
      </c>
      <c r="B1303" s="25" t="s">
        <v>3084</v>
      </c>
      <c r="C1303" s="26">
        <v>1</v>
      </c>
      <c r="D1303" s="27" t="s">
        <v>15</v>
      </c>
      <c r="E1303" s="26">
        <v>1129.45</v>
      </c>
      <c r="F1303" s="28" t="s">
        <v>16</v>
      </c>
      <c r="G1303" s="26">
        <f t="shared" si="31"/>
        <v>1129</v>
      </c>
      <c r="H1303" t="s">
        <v>3113</v>
      </c>
    </row>
    <row r="1304" spans="1:8" ht="30" x14ac:dyDescent="0.25">
      <c r="A1304" s="21" t="s">
        <v>3114</v>
      </c>
      <c r="B1304" s="25" t="s">
        <v>3087</v>
      </c>
      <c r="C1304" s="26">
        <v>1</v>
      </c>
      <c r="D1304" s="27" t="s">
        <v>15</v>
      </c>
      <c r="E1304" s="26">
        <v>1109.8499999999999</v>
      </c>
      <c r="F1304" s="28" t="s">
        <v>16</v>
      </c>
      <c r="G1304" s="26">
        <f t="shared" si="31"/>
        <v>1110</v>
      </c>
      <c r="H1304" t="s">
        <v>3115</v>
      </c>
    </row>
    <row r="1305" spans="1:8" ht="30" x14ac:dyDescent="0.25">
      <c r="A1305" s="21" t="s">
        <v>3116</v>
      </c>
      <c r="B1305" s="25" t="s">
        <v>3090</v>
      </c>
      <c r="C1305" s="26">
        <v>1</v>
      </c>
      <c r="D1305" s="27" t="s">
        <v>15</v>
      </c>
      <c r="E1305" s="26">
        <v>1102.7</v>
      </c>
      <c r="F1305" s="28" t="s">
        <v>16</v>
      </c>
      <c r="G1305" s="26">
        <f t="shared" si="31"/>
        <v>1103</v>
      </c>
      <c r="H1305" t="s">
        <v>3117</v>
      </c>
    </row>
    <row r="1306" spans="1:8" ht="30" x14ac:dyDescent="0.25">
      <c r="A1306" s="21" t="s">
        <v>3118</v>
      </c>
      <c r="B1306" s="25" t="s">
        <v>3093</v>
      </c>
      <c r="C1306" s="26">
        <v>1</v>
      </c>
      <c r="D1306" s="27" t="s">
        <v>15</v>
      </c>
      <c r="E1306" s="26">
        <v>1048.25</v>
      </c>
      <c r="F1306" s="28" t="s">
        <v>16</v>
      </c>
      <c r="G1306" s="26">
        <f t="shared" si="31"/>
        <v>1048</v>
      </c>
      <c r="H1306" t="s">
        <v>3092</v>
      </c>
    </row>
    <row r="1307" spans="1:8" ht="120" x14ac:dyDescent="0.25">
      <c r="A1307" s="21" t="s">
        <v>3119</v>
      </c>
      <c r="B1307" s="25" t="s">
        <v>3121</v>
      </c>
      <c r="C1307" s="26"/>
      <c r="D1307" s="27"/>
      <c r="E1307" s="26"/>
      <c r="F1307" s="28"/>
      <c r="G1307" s="26"/>
      <c r="H1307" t="s">
        <v>3120</v>
      </c>
    </row>
    <row r="1308" spans="1:8" ht="30" x14ac:dyDescent="0.25">
      <c r="A1308" s="21" t="s">
        <v>3122</v>
      </c>
      <c r="B1308" s="25" t="s">
        <v>3124</v>
      </c>
      <c r="C1308" s="26"/>
      <c r="D1308" s="27"/>
      <c r="E1308" s="26"/>
      <c r="F1308" s="28"/>
      <c r="G1308" s="26"/>
      <c r="H1308" t="s">
        <v>3123</v>
      </c>
    </row>
    <row r="1309" spans="1:8" ht="30" x14ac:dyDescent="0.25">
      <c r="A1309" s="21" t="s">
        <v>3125</v>
      </c>
      <c r="B1309" s="25" t="s">
        <v>3078</v>
      </c>
      <c r="C1309" s="26">
        <v>1</v>
      </c>
      <c r="D1309" s="27" t="s">
        <v>15</v>
      </c>
      <c r="E1309" s="26">
        <v>1864.3</v>
      </c>
      <c r="F1309" s="28" t="s">
        <v>16</v>
      </c>
      <c r="G1309" s="26">
        <f t="shared" ref="G1309:G1314" si="32">ROUND(C1309*E1309,0)</f>
        <v>1864</v>
      </c>
      <c r="H1309" t="s">
        <v>3126</v>
      </c>
    </row>
    <row r="1310" spans="1:8" ht="30" x14ac:dyDescent="0.25">
      <c r="A1310" s="21" t="s">
        <v>3127</v>
      </c>
      <c r="B1310" s="25" t="s">
        <v>3081</v>
      </c>
      <c r="C1310" s="26">
        <v>1</v>
      </c>
      <c r="D1310" s="27" t="s">
        <v>15</v>
      </c>
      <c r="E1310" s="26">
        <v>1891.05</v>
      </c>
      <c r="F1310" s="28" t="s">
        <v>16</v>
      </c>
      <c r="G1310" s="26">
        <f t="shared" si="32"/>
        <v>1891</v>
      </c>
      <c r="H1310" t="s">
        <v>3128</v>
      </c>
    </row>
    <row r="1311" spans="1:8" ht="30" x14ac:dyDescent="0.25">
      <c r="A1311" s="21" t="s">
        <v>3129</v>
      </c>
      <c r="B1311" s="25" t="s">
        <v>3084</v>
      </c>
      <c r="C1311" s="26">
        <v>1</v>
      </c>
      <c r="D1311" s="27" t="s">
        <v>15</v>
      </c>
      <c r="E1311" s="26">
        <v>1873.65</v>
      </c>
      <c r="F1311" s="28" t="s">
        <v>16</v>
      </c>
      <c r="G1311" s="26">
        <f t="shared" si="32"/>
        <v>1874</v>
      </c>
      <c r="H1311" t="s">
        <v>3130</v>
      </c>
    </row>
    <row r="1312" spans="1:8" ht="30" x14ac:dyDescent="0.25">
      <c r="A1312" s="21" t="s">
        <v>3131</v>
      </c>
      <c r="B1312" s="25" t="s">
        <v>3087</v>
      </c>
      <c r="C1312" s="26">
        <v>1</v>
      </c>
      <c r="D1312" s="27" t="s">
        <v>15</v>
      </c>
      <c r="E1312" s="26">
        <v>1863.6</v>
      </c>
      <c r="F1312" s="28" t="s">
        <v>16</v>
      </c>
      <c r="G1312" s="26">
        <f t="shared" si="32"/>
        <v>1864</v>
      </c>
      <c r="H1312" t="s">
        <v>3087</v>
      </c>
    </row>
    <row r="1313" spans="1:8" ht="30" x14ac:dyDescent="0.25">
      <c r="A1313" s="21" t="s">
        <v>3132</v>
      </c>
      <c r="B1313" s="25" t="s">
        <v>3090</v>
      </c>
      <c r="C1313" s="26">
        <v>1</v>
      </c>
      <c r="D1313" s="27" t="s">
        <v>15</v>
      </c>
      <c r="E1313" s="26">
        <v>1860.25</v>
      </c>
      <c r="F1313" s="28" t="s">
        <v>16</v>
      </c>
      <c r="G1313" s="26">
        <f t="shared" si="32"/>
        <v>1860</v>
      </c>
      <c r="H1313" t="s">
        <v>3133</v>
      </c>
    </row>
    <row r="1314" spans="1:8" ht="30" x14ac:dyDescent="0.25">
      <c r="A1314" s="21" t="s">
        <v>3134</v>
      </c>
      <c r="B1314" s="25" t="s">
        <v>3093</v>
      </c>
      <c r="C1314" s="26">
        <v>1</v>
      </c>
      <c r="D1314" s="27" t="s">
        <v>15</v>
      </c>
      <c r="E1314" s="26">
        <v>1832.8</v>
      </c>
      <c r="F1314" s="28" t="s">
        <v>16</v>
      </c>
      <c r="G1314" s="26">
        <f t="shared" si="32"/>
        <v>1833</v>
      </c>
      <c r="H1314" t="s">
        <v>3135</v>
      </c>
    </row>
    <row r="1315" spans="1:8" ht="30" x14ac:dyDescent="0.25">
      <c r="A1315" s="21" t="s">
        <v>3136</v>
      </c>
      <c r="B1315" s="25" t="s">
        <v>3138</v>
      </c>
      <c r="C1315" s="26"/>
      <c r="D1315" s="27"/>
      <c r="E1315" s="26"/>
      <c r="F1315" s="28"/>
      <c r="G1315" s="26"/>
      <c r="H1315" t="s">
        <v>3137</v>
      </c>
    </row>
    <row r="1316" spans="1:8" x14ac:dyDescent="0.25">
      <c r="A1316" s="21" t="s">
        <v>3139</v>
      </c>
      <c r="B1316" s="25" t="s">
        <v>3141</v>
      </c>
      <c r="C1316" s="26">
        <v>1</v>
      </c>
      <c r="D1316" s="27" t="s">
        <v>110</v>
      </c>
      <c r="E1316" s="26">
        <v>91.75</v>
      </c>
      <c r="F1316" s="28" t="s">
        <v>981</v>
      </c>
      <c r="G1316" s="26">
        <f>ROUND(C1316*E1316,0)</f>
        <v>92</v>
      </c>
      <c r="H1316" t="s">
        <v>3140</v>
      </c>
    </row>
    <row r="1317" spans="1:8" ht="45" x14ac:dyDescent="0.25">
      <c r="A1317" s="21" t="s">
        <v>3142</v>
      </c>
      <c r="B1317" s="25" t="s">
        <v>3144</v>
      </c>
      <c r="C1317" s="26">
        <v>1</v>
      </c>
      <c r="D1317" s="27" t="s">
        <v>15</v>
      </c>
      <c r="E1317" s="26">
        <v>97.65</v>
      </c>
      <c r="F1317" s="28" t="s">
        <v>16</v>
      </c>
      <c r="G1317" s="26">
        <f>ROUND(C1317*E1317,0)</f>
        <v>98</v>
      </c>
      <c r="H1317" t="s">
        <v>3143</v>
      </c>
    </row>
    <row r="1318" spans="1:8" ht="180" x14ac:dyDescent="0.25">
      <c r="A1318" s="21" t="s">
        <v>3145</v>
      </c>
      <c r="B1318" s="25" t="s">
        <v>3147</v>
      </c>
      <c r="C1318" s="26"/>
      <c r="D1318" s="27"/>
      <c r="E1318" s="26"/>
      <c r="F1318" s="28"/>
      <c r="G1318" s="26"/>
      <c r="H1318" t="s">
        <v>3146</v>
      </c>
    </row>
    <row r="1319" spans="1:8" ht="30" x14ac:dyDescent="0.25">
      <c r="A1319" s="21" t="s">
        <v>3148</v>
      </c>
      <c r="B1319" s="25" t="s">
        <v>3150</v>
      </c>
      <c r="C1319" s="26">
        <v>1</v>
      </c>
      <c r="D1319" s="27" t="s">
        <v>15</v>
      </c>
      <c r="E1319" s="26">
        <v>1714.8</v>
      </c>
      <c r="F1319" s="28" t="s">
        <v>16</v>
      </c>
      <c r="G1319" s="26">
        <f>ROUND(C1319*E1319,0)</f>
        <v>1715</v>
      </c>
      <c r="H1319" t="s">
        <v>3149</v>
      </c>
    </row>
    <row r="1320" spans="1:8" ht="105" x14ac:dyDescent="0.25">
      <c r="A1320" s="21" t="s">
        <v>3151</v>
      </c>
      <c r="B1320" s="25" t="s">
        <v>3153</v>
      </c>
      <c r="C1320" s="26"/>
      <c r="D1320" s="27"/>
      <c r="E1320" s="26"/>
      <c r="F1320" s="28"/>
      <c r="G1320" s="26"/>
      <c r="H1320" t="s">
        <v>3152</v>
      </c>
    </row>
    <row r="1321" spans="1:8" ht="30" x14ac:dyDescent="0.25">
      <c r="A1321" s="21" t="s">
        <v>3154</v>
      </c>
      <c r="B1321" s="25" t="s">
        <v>3156</v>
      </c>
      <c r="C1321" s="26">
        <v>1</v>
      </c>
      <c r="D1321" s="27" t="s">
        <v>15</v>
      </c>
      <c r="E1321" s="26">
        <v>1549.45</v>
      </c>
      <c r="F1321" s="28" t="s">
        <v>16</v>
      </c>
      <c r="G1321" s="26">
        <f>ROUND(C1321*E1321,0)</f>
        <v>1549</v>
      </c>
      <c r="H1321" t="s">
        <v>3155</v>
      </c>
    </row>
    <row r="1322" spans="1:8" ht="30" x14ac:dyDescent="0.25">
      <c r="A1322" s="21" t="s">
        <v>3157</v>
      </c>
      <c r="B1322" s="25" t="s">
        <v>3159</v>
      </c>
      <c r="C1322" s="26">
        <v>1</v>
      </c>
      <c r="D1322" s="27" t="s">
        <v>15</v>
      </c>
      <c r="E1322" s="26">
        <v>1507.1</v>
      </c>
      <c r="F1322" s="28" t="s">
        <v>16</v>
      </c>
      <c r="G1322" s="26">
        <f>ROUND(C1322*E1322,0)</f>
        <v>1507</v>
      </c>
      <c r="H1322" t="s">
        <v>3158</v>
      </c>
    </row>
    <row r="1323" spans="1:8" ht="30" x14ac:dyDescent="0.25">
      <c r="A1323" s="21" t="s">
        <v>3160</v>
      </c>
      <c r="B1323" s="25" t="s">
        <v>3162</v>
      </c>
      <c r="C1323" s="26">
        <v>1</v>
      </c>
      <c r="D1323" s="27" t="s">
        <v>15</v>
      </c>
      <c r="E1323" s="26">
        <v>1450</v>
      </c>
      <c r="F1323" s="28" t="s">
        <v>16</v>
      </c>
      <c r="G1323" s="26">
        <f>ROUND(C1323*E1323,0)</f>
        <v>1450</v>
      </c>
      <c r="H1323" t="s">
        <v>3161</v>
      </c>
    </row>
    <row r="1324" spans="1:8" ht="30" x14ac:dyDescent="0.25">
      <c r="A1324" s="21" t="s">
        <v>3163</v>
      </c>
      <c r="B1324" s="25" t="s">
        <v>3093</v>
      </c>
      <c r="C1324" s="26">
        <v>1</v>
      </c>
      <c r="D1324" s="27" t="s">
        <v>15</v>
      </c>
      <c r="E1324" s="26">
        <v>1386.8</v>
      </c>
      <c r="F1324" s="28" t="s">
        <v>16</v>
      </c>
      <c r="G1324" s="26">
        <f>ROUND(C1324*E1324,0)</f>
        <v>1387</v>
      </c>
      <c r="H1324" t="s">
        <v>3135</v>
      </c>
    </row>
    <row r="1325" spans="1:8" ht="30" x14ac:dyDescent="0.25">
      <c r="A1325" s="21" t="s">
        <v>3164</v>
      </c>
      <c r="B1325" s="25" t="s">
        <v>3166</v>
      </c>
      <c r="C1325" s="26">
        <v>1</v>
      </c>
      <c r="D1325" s="27" t="s">
        <v>15</v>
      </c>
      <c r="E1325" s="26">
        <v>124.05</v>
      </c>
      <c r="F1325" s="28" t="s">
        <v>16</v>
      </c>
      <c r="G1325" s="26">
        <f>ROUND(C1325*E1325,0)</f>
        <v>124</v>
      </c>
      <c r="H1325" t="s">
        <v>3165</v>
      </c>
    </row>
    <row r="1326" spans="1:8" ht="120" x14ac:dyDescent="0.25">
      <c r="A1326" s="21" t="s">
        <v>3167</v>
      </c>
      <c r="B1326" s="25" t="s">
        <v>3169</v>
      </c>
      <c r="C1326" s="26"/>
      <c r="D1326" s="27"/>
      <c r="E1326" s="26"/>
      <c r="F1326" s="28"/>
      <c r="G1326" s="26"/>
      <c r="H1326" t="s">
        <v>3168</v>
      </c>
    </row>
    <row r="1327" spans="1:8" ht="30" x14ac:dyDescent="0.25">
      <c r="A1327" s="21" t="s">
        <v>3170</v>
      </c>
      <c r="B1327" s="25" t="s">
        <v>3156</v>
      </c>
      <c r="C1327" s="26">
        <v>1</v>
      </c>
      <c r="D1327" s="27" t="s">
        <v>15</v>
      </c>
      <c r="E1327" s="26">
        <v>2422.8000000000002</v>
      </c>
      <c r="F1327" s="28" t="s">
        <v>16</v>
      </c>
      <c r="G1327" s="26">
        <f>ROUND(C1327*E1327,0)</f>
        <v>2423</v>
      </c>
      <c r="H1327" t="s">
        <v>3171</v>
      </c>
    </row>
    <row r="1328" spans="1:8" ht="30" x14ac:dyDescent="0.25">
      <c r="A1328" s="21" t="s">
        <v>3172</v>
      </c>
      <c r="B1328" s="25" t="s">
        <v>3174</v>
      </c>
      <c r="C1328" s="26">
        <v>1</v>
      </c>
      <c r="D1328" s="27" t="s">
        <v>15</v>
      </c>
      <c r="E1328" s="26">
        <v>2370.9499999999998</v>
      </c>
      <c r="F1328" s="28" t="s">
        <v>16</v>
      </c>
      <c r="G1328" s="26">
        <f>ROUND(C1328*E1328,0)</f>
        <v>2371</v>
      </c>
      <c r="H1328" t="s">
        <v>3173</v>
      </c>
    </row>
    <row r="1329" spans="1:8" ht="30" x14ac:dyDescent="0.25">
      <c r="A1329" s="21" t="s">
        <v>3175</v>
      </c>
      <c r="B1329" s="25" t="s">
        <v>3162</v>
      </c>
      <c r="C1329" s="26">
        <v>1</v>
      </c>
      <c r="D1329" s="27" t="s">
        <v>15</v>
      </c>
      <c r="E1329" s="26">
        <v>2308.75</v>
      </c>
      <c r="F1329" s="28" t="s">
        <v>16</v>
      </c>
      <c r="G1329" s="26">
        <f>ROUND(C1329*E1329,0)</f>
        <v>2309</v>
      </c>
      <c r="H1329" t="s">
        <v>3161</v>
      </c>
    </row>
    <row r="1330" spans="1:8" ht="30" x14ac:dyDescent="0.25">
      <c r="A1330" s="21" t="s">
        <v>3176</v>
      </c>
      <c r="B1330" s="25" t="s">
        <v>3093</v>
      </c>
      <c r="C1330" s="26">
        <v>1</v>
      </c>
      <c r="D1330" s="27" t="s">
        <v>15</v>
      </c>
      <c r="E1330" s="26">
        <v>2229.15</v>
      </c>
      <c r="F1330" s="28" t="s">
        <v>16</v>
      </c>
      <c r="G1330" s="26">
        <f>ROUND(C1330*E1330,0)</f>
        <v>2229</v>
      </c>
      <c r="H1330" t="s">
        <v>3177</v>
      </c>
    </row>
    <row r="1331" spans="1:8" ht="105" x14ac:dyDescent="0.25">
      <c r="A1331" s="21" t="s">
        <v>3178</v>
      </c>
      <c r="B1331" s="25" t="s">
        <v>3180</v>
      </c>
      <c r="C1331" s="26"/>
      <c r="D1331" s="27"/>
      <c r="E1331" s="26"/>
      <c r="F1331" s="28"/>
      <c r="G1331" s="26"/>
      <c r="H1331" t="s">
        <v>3179</v>
      </c>
    </row>
    <row r="1332" spans="1:8" ht="30" x14ac:dyDescent="0.25">
      <c r="A1332" s="21" t="s">
        <v>3181</v>
      </c>
      <c r="B1332" s="25" t="s">
        <v>3156</v>
      </c>
      <c r="C1332" s="26">
        <v>1</v>
      </c>
      <c r="D1332" s="27" t="s">
        <v>15</v>
      </c>
      <c r="E1332" s="26">
        <v>1533.8</v>
      </c>
      <c r="F1332" s="28" t="s">
        <v>16</v>
      </c>
      <c r="G1332" s="26">
        <f>ROUND(C1332*E1332,0)</f>
        <v>1534</v>
      </c>
      <c r="H1332" t="s">
        <v>3182</v>
      </c>
    </row>
    <row r="1333" spans="1:8" ht="30" x14ac:dyDescent="0.25">
      <c r="A1333" s="21" t="s">
        <v>3183</v>
      </c>
      <c r="B1333" s="25" t="s">
        <v>3185</v>
      </c>
      <c r="C1333" s="26">
        <v>1</v>
      </c>
      <c r="D1333" s="27" t="s">
        <v>15</v>
      </c>
      <c r="E1333" s="26">
        <v>1483.6</v>
      </c>
      <c r="F1333" s="28" t="s">
        <v>16</v>
      </c>
      <c r="G1333" s="26">
        <f>ROUND(C1333*E1333,0)</f>
        <v>1484</v>
      </c>
      <c r="H1333" t="s">
        <v>3184</v>
      </c>
    </row>
    <row r="1334" spans="1:8" ht="30" x14ac:dyDescent="0.25">
      <c r="A1334" s="21" t="s">
        <v>3186</v>
      </c>
      <c r="B1334" s="25" t="s">
        <v>3162</v>
      </c>
      <c r="C1334" s="26">
        <v>1</v>
      </c>
      <c r="D1334" s="27" t="s">
        <v>15</v>
      </c>
      <c r="E1334" s="26">
        <v>1442.15</v>
      </c>
      <c r="F1334" s="28" t="s">
        <v>16</v>
      </c>
      <c r="G1334" s="26">
        <f>ROUND(C1334*E1334,0)</f>
        <v>1442</v>
      </c>
      <c r="H1334" t="s">
        <v>3161</v>
      </c>
    </row>
    <row r="1335" spans="1:8" ht="30" x14ac:dyDescent="0.25">
      <c r="A1335" s="21" t="s">
        <v>3187</v>
      </c>
      <c r="B1335" s="25" t="s">
        <v>3093</v>
      </c>
      <c r="C1335" s="26">
        <v>1</v>
      </c>
      <c r="D1335" s="27" t="s">
        <v>15</v>
      </c>
      <c r="E1335" s="26">
        <v>1379</v>
      </c>
      <c r="F1335" s="28" t="s">
        <v>16</v>
      </c>
      <c r="G1335" s="26">
        <f>ROUND(C1335*E1335,0)</f>
        <v>1379</v>
      </c>
      <c r="H1335" t="s">
        <v>3188</v>
      </c>
    </row>
    <row r="1336" spans="1:8" ht="90" x14ac:dyDescent="0.25">
      <c r="A1336" s="21" t="s">
        <v>3189</v>
      </c>
      <c r="B1336" s="25" t="s">
        <v>3191</v>
      </c>
      <c r="C1336" s="26"/>
      <c r="D1336" s="27"/>
      <c r="E1336" s="26"/>
      <c r="F1336" s="28"/>
      <c r="G1336" s="26"/>
      <c r="H1336" t="s">
        <v>3190</v>
      </c>
    </row>
    <row r="1337" spans="1:8" ht="30" x14ac:dyDescent="0.25">
      <c r="A1337" s="21" t="s">
        <v>3192</v>
      </c>
      <c r="B1337" s="25" t="s">
        <v>3156</v>
      </c>
      <c r="C1337" s="26">
        <v>1</v>
      </c>
      <c r="D1337" s="27" t="s">
        <v>15</v>
      </c>
      <c r="E1337" s="26">
        <v>1402</v>
      </c>
      <c r="F1337" s="28" t="s">
        <v>16</v>
      </c>
      <c r="G1337" s="26">
        <f>ROUND(C1337*E1337,0)</f>
        <v>1402</v>
      </c>
      <c r="H1337" t="s">
        <v>3171</v>
      </c>
    </row>
    <row r="1338" spans="1:8" ht="30" x14ac:dyDescent="0.25">
      <c r="A1338" s="21" t="s">
        <v>3193</v>
      </c>
      <c r="B1338" s="25" t="s">
        <v>3195</v>
      </c>
      <c r="C1338" s="26">
        <v>1</v>
      </c>
      <c r="D1338" s="27" t="s">
        <v>15</v>
      </c>
      <c r="E1338" s="26">
        <v>1328.35</v>
      </c>
      <c r="F1338" s="28" t="s">
        <v>16</v>
      </c>
      <c r="G1338" s="26">
        <f>ROUND(C1338*E1338,0)</f>
        <v>1328</v>
      </c>
      <c r="H1338" t="s">
        <v>3194</v>
      </c>
    </row>
    <row r="1339" spans="1:8" ht="30" x14ac:dyDescent="0.25">
      <c r="A1339" s="21" t="s">
        <v>3196</v>
      </c>
      <c r="B1339" s="25" t="s">
        <v>3162</v>
      </c>
      <c r="C1339" s="26">
        <v>1</v>
      </c>
      <c r="D1339" s="27" t="s">
        <v>15</v>
      </c>
      <c r="E1339" s="26">
        <v>1119.5</v>
      </c>
      <c r="F1339" s="28" t="s">
        <v>16</v>
      </c>
      <c r="G1339" s="26">
        <f>ROUND(C1339*E1339,0)</f>
        <v>1120</v>
      </c>
      <c r="H1339" t="s">
        <v>3197</v>
      </c>
    </row>
    <row r="1340" spans="1:8" ht="30" x14ac:dyDescent="0.25">
      <c r="A1340" s="21" t="s">
        <v>3198</v>
      </c>
      <c r="B1340" s="25" t="s">
        <v>3093</v>
      </c>
      <c r="C1340" s="26">
        <v>1</v>
      </c>
      <c r="D1340" s="27" t="s">
        <v>15</v>
      </c>
      <c r="E1340" s="26">
        <v>1056.3499999999999</v>
      </c>
      <c r="F1340" s="28" t="s">
        <v>16</v>
      </c>
      <c r="G1340" s="26">
        <f>ROUND(C1340*E1340,0)</f>
        <v>1056</v>
      </c>
      <c r="H1340" t="s">
        <v>3093</v>
      </c>
    </row>
    <row r="1341" spans="1:8" ht="90" x14ac:dyDescent="0.25">
      <c r="A1341" s="21" t="s">
        <v>3199</v>
      </c>
      <c r="B1341" s="25" t="s">
        <v>3201</v>
      </c>
      <c r="C1341" s="26"/>
      <c r="D1341" s="27"/>
      <c r="E1341" s="26"/>
      <c r="F1341" s="28"/>
      <c r="G1341" s="26"/>
      <c r="H1341" t="s">
        <v>3200</v>
      </c>
    </row>
    <row r="1342" spans="1:8" ht="30" x14ac:dyDescent="0.25">
      <c r="A1342" s="21" t="s">
        <v>3202</v>
      </c>
      <c r="B1342" s="25" t="s">
        <v>3204</v>
      </c>
      <c r="C1342" s="26"/>
      <c r="D1342" s="27"/>
      <c r="E1342" s="26"/>
      <c r="F1342" s="28"/>
      <c r="G1342" s="26"/>
      <c r="H1342" t="s">
        <v>3203</v>
      </c>
    </row>
    <row r="1343" spans="1:8" ht="30" x14ac:dyDescent="0.25">
      <c r="A1343" s="21" t="s">
        <v>3205</v>
      </c>
      <c r="B1343" s="25" t="s">
        <v>3207</v>
      </c>
      <c r="C1343" s="26">
        <v>1</v>
      </c>
      <c r="D1343" s="27" t="s">
        <v>15</v>
      </c>
      <c r="E1343" s="26">
        <v>1738.15</v>
      </c>
      <c r="F1343" s="28" t="s">
        <v>16</v>
      </c>
      <c r="G1343" s="26">
        <f>ROUND(C1343*E1343,0)</f>
        <v>1738</v>
      </c>
      <c r="H1343" t="s">
        <v>3206</v>
      </c>
    </row>
    <row r="1344" spans="1:8" ht="30" x14ac:dyDescent="0.25">
      <c r="A1344" s="21" t="s">
        <v>3208</v>
      </c>
      <c r="B1344" s="25" t="s">
        <v>3210</v>
      </c>
      <c r="C1344" s="26"/>
      <c r="D1344" s="27"/>
      <c r="E1344" s="26"/>
      <c r="F1344" s="28"/>
      <c r="G1344" s="26"/>
      <c r="H1344" t="s">
        <v>3209</v>
      </c>
    </row>
    <row r="1345" spans="1:8" ht="30" x14ac:dyDescent="0.25">
      <c r="A1345" s="21" t="s">
        <v>3211</v>
      </c>
      <c r="B1345" s="25" t="s">
        <v>3207</v>
      </c>
      <c r="C1345" s="26">
        <v>1</v>
      </c>
      <c r="D1345" s="27" t="s">
        <v>15</v>
      </c>
      <c r="E1345" s="26">
        <v>1884.9</v>
      </c>
      <c r="F1345" s="28" t="s">
        <v>16</v>
      </c>
      <c r="G1345" s="26">
        <f>ROUND(C1345*E1345,0)</f>
        <v>1885</v>
      </c>
      <c r="H1345" t="s">
        <v>3206</v>
      </c>
    </row>
    <row r="1346" spans="1:8" ht="90" x14ac:dyDescent="0.25">
      <c r="A1346" s="21" t="s">
        <v>3212</v>
      </c>
      <c r="B1346" s="25" t="s">
        <v>3214</v>
      </c>
      <c r="C1346" s="26"/>
      <c r="D1346" s="27"/>
      <c r="E1346" s="26"/>
      <c r="F1346" s="28"/>
      <c r="G1346" s="26"/>
      <c r="H1346" t="s">
        <v>3213</v>
      </c>
    </row>
    <row r="1347" spans="1:8" x14ac:dyDescent="0.25">
      <c r="A1347" s="21" t="s">
        <v>3215</v>
      </c>
      <c r="B1347" s="25" t="s">
        <v>3217</v>
      </c>
      <c r="C1347" s="26"/>
      <c r="D1347" s="27"/>
      <c r="E1347" s="26"/>
      <c r="F1347" s="28"/>
      <c r="G1347" s="26"/>
      <c r="H1347" t="s">
        <v>3216</v>
      </c>
    </row>
    <row r="1348" spans="1:8" ht="30" x14ac:dyDescent="0.25">
      <c r="A1348" s="21" t="s">
        <v>3218</v>
      </c>
      <c r="B1348" s="25" t="s">
        <v>2483</v>
      </c>
      <c r="C1348" s="26">
        <v>1</v>
      </c>
      <c r="D1348" s="27" t="s">
        <v>15</v>
      </c>
      <c r="E1348" s="26">
        <v>1475.35</v>
      </c>
      <c r="F1348" s="28" t="s">
        <v>16</v>
      </c>
      <c r="G1348" s="26">
        <f>ROUND(C1348*E1348,0)</f>
        <v>1475</v>
      </c>
      <c r="H1348" t="s">
        <v>2483</v>
      </c>
    </row>
    <row r="1349" spans="1:8" ht="105" x14ac:dyDescent="0.25">
      <c r="A1349" s="21" t="s">
        <v>3219</v>
      </c>
      <c r="B1349" s="25" t="s">
        <v>3221</v>
      </c>
      <c r="C1349" s="26"/>
      <c r="D1349" s="27"/>
      <c r="E1349" s="26"/>
      <c r="F1349" s="28"/>
      <c r="G1349" s="26"/>
      <c r="H1349" t="s">
        <v>3220</v>
      </c>
    </row>
    <row r="1350" spans="1:8" ht="30" x14ac:dyDescent="0.25">
      <c r="A1350" s="21" t="s">
        <v>3222</v>
      </c>
      <c r="B1350" s="25" t="s">
        <v>3224</v>
      </c>
      <c r="C1350" s="26">
        <v>1</v>
      </c>
      <c r="D1350" s="27" t="s">
        <v>15</v>
      </c>
      <c r="E1350" s="26">
        <v>3737.45</v>
      </c>
      <c r="F1350" s="28" t="s">
        <v>16</v>
      </c>
      <c r="G1350" s="26">
        <f t="shared" ref="G1350:G1357" si="33">ROUND(C1350*E1350,0)</f>
        <v>3737</v>
      </c>
      <c r="H1350" t="s">
        <v>3223</v>
      </c>
    </row>
    <row r="1351" spans="1:8" ht="30" x14ac:dyDescent="0.25">
      <c r="A1351" s="21" t="s">
        <v>3225</v>
      </c>
      <c r="B1351" s="25" t="s">
        <v>3227</v>
      </c>
      <c r="C1351" s="26">
        <v>1</v>
      </c>
      <c r="D1351" s="27" t="s">
        <v>15</v>
      </c>
      <c r="E1351" s="26">
        <v>2346.8000000000002</v>
      </c>
      <c r="F1351" s="28" t="s">
        <v>16</v>
      </c>
      <c r="G1351" s="26">
        <f t="shared" si="33"/>
        <v>2347</v>
      </c>
      <c r="H1351" t="s">
        <v>3226</v>
      </c>
    </row>
    <row r="1352" spans="1:8" ht="30" x14ac:dyDescent="0.25">
      <c r="A1352" s="21" t="s">
        <v>3228</v>
      </c>
      <c r="B1352" s="25" t="s">
        <v>3230</v>
      </c>
      <c r="C1352" s="26">
        <v>1</v>
      </c>
      <c r="D1352" s="27" t="s">
        <v>15</v>
      </c>
      <c r="E1352" s="26">
        <v>3164.8</v>
      </c>
      <c r="F1352" s="28" t="s">
        <v>16</v>
      </c>
      <c r="G1352" s="26">
        <f t="shared" si="33"/>
        <v>3165</v>
      </c>
      <c r="H1352" t="s">
        <v>3229</v>
      </c>
    </row>
    <row r="1353" spans="1:8" ht="30" x14ac:dyDescent="0.25">
      <c r="A1353" s="21" t="s">
        <v>3231</v>
      </c>
      <c r="B1353" s="25" t="s">
        <v>3232</v>
      </c>
      <c r="C1353" s="26">
        <v>1</v>
      </c>
      <c r="D1353" s="27" t="s">
        <v>15</v>
      </c>
      <c r="E1353" s="26">
        <v>3001.2</v>
      </c>
      <c r="F1353" s="28" t="s">
        <v>16</v>
      </c>
      <c r="G1353" s="26">
        <f t="shared" si="33"/>
        <v>3001</v>
      </c>
      <c r="H1353" t="s">
        <v>3232</v>
      </c>
    </row>
    <row r="1354" spans="1:8" ht="30" x14ac:dyDescent="0.25">
      <c r="A1354" s="21" t="s">
        <v>3233</v>
      </c>
      <c r="B1354" s="25" t="s">
        <v>3235</v>
      </c>
      <c r="C1354" s="26">
        <v>1</v>
      </c>
      <c r="D1354" s="27" t="s">
        <v>15</v>
      </c>
      <c r="E1354" s="26">
        <v>2428.6</v>
      </c>
      <c r="F1354" s="28" t="s">
        <v>16</v>
      </c>
      <c r="G1354" s="26">
        <f t="shared" si="33"/>
        <v>2429</v>
      </c>
      <c r="H1354" t="s">
        <v>3234</v>
      </c>
    </row>
    <row r="1355" spans="1:8" ht="30" x14ac:dyDescent="0.25">
      <c r="A1355" s="21" t="s">
        <v>3236</v>
      </c>
      <c r="B1355" s="25" t="s">
        <v>3238</v>
      </c>
      <c r="C1355" s="26">
        <v>1</v>
      </c>
      <c r="D1355" s="27" t="s">
        <v>15</v>
      </c>
      <c r="E1355" s="26">
        <v>2510.4</v>
      </c>
      <c r="F1355" s="28" t="s">
        <v>16</v>
      </c>
      <c r="G1355" s="26">
        <f t="shared" si="33"/>
        <v>2510</v>
      </c>
      <c r="H1355" t="s">
        <v>3237</v>
      </c>
    </row>
    <row r="1356" spans="1:8" ht="30" x14ac:dyDescent="0.25">
      <c r="A1356" s="21" t="s">
        <v>3239</v>
      </c>
      <c r="B1356" s="25" t="s">
        <v>3240</v>
      </c>
      <c r="C1356" s="26">
        <v>1</v>
      </c>
      <c r="D1356" s="27" t="s">
        <v>110</v>
      </c>
      <c r="E1356" s="26">
        <v>719.9</v>
      </c>
      <c r="F1356" s="28" t="s">
        <v>981</v>
      </c>
      <c r="G1356" s="26">
        <f t="shared" si="33"/>
        <v>720</v>
      </c>
      <c r="H1356" t="s">
        <v>3240</v>
      </c>
    </row>
    <row r="1357" spans="1:8" ht="30" x14ac:dyDescent="0.25">
      <c r="A1357" s="21" t="s">
        <v>3241</v>
      </c>
      <c r="B1357" s="25" t="s">
        <v>3243</v>
      </c>
      <c r="C1357" s="26">
        <v>1</v>
      </c>
      <c r="D1357" s="27" t="s">
        <v>15</v>
      </c>
      <c r="E1357" s="26">
        <v>851.8</v>
      </c>
      <c r="F1357" s="28" t="s">
        <v>16</v>
      </c>
      <c r="G1357" s="26">
        <f t="shared" si="33"/>
        <v>852</v>
      </c>
      <c r="H1357" t="s">
        <v>3242</v>
      </c>
    </row>
    <row r="1358" spans="1:8" ht="90" x14ac:dyDescent="0.25">
      <c r="A1358" s="21" t="s">
        <v>3244</v>
      </c>
      <c r="B1358" s="25" t="s">
        <v>3246</v>
      </c>
      <c r="C1358" s="26"/>
      <c r="D1358" s="27"/>
      <c r="E1358" s="26"/>
      <c r="F1358" s="28"/>
      <c r="G1358" s="26"/>
      <c r="H1358" t="s">
        <v>3245</v>
      </c>
    </row>
    <row r="1359" spans="1:8" ht="30" x14ac:dyDescent="0.25">
      <c r="A1359" s="21" t="s">
        <v>3247</v>
      </c>
      <c r="B1359" s="25" t="s">
        <v>702</v>
      </c>
      <c r="C1359" s="26">
        <v>1</v>
      </c>
      <c r="D1359" s="27" t="s">
        <v>15</v>
      </c>
      <c r="E1359" s="26">
        <v>1948.25</v>
      </c>
      <c r="F1359" s="28" t="s">
        <v>16</v>
      </c>
      <c r="G1359" s="26">
        <f>ROUND(C1359*E1359,0)</f>
        <v>1948</v>
      </c>
      <c r="H1359" t="s">
        <v>702</v>
      </c>
    </row>
    <row r="1360" spans="1:8" ht="90" x14ac:dyDescent="0.25">
      <c r="A1360" s="21" t="s">
        <v>3248</v>
      </c>
      <c r="B1360" s="25" t="s">
        <v>3250</v>
      </c>
      <c r="C1360" s="26">
        <v>1</v>
      </c>
      <c r="D1360" s="27" t="s">
        <v>15</v>
      </c>
      <c r="E1360" s="26">
        <v>2354.6999999999998</v>
      </c>
      <c r="F1360" s="28" t="s">
        <v>16</v>
      </c>
      <c r="G1360" s="26">
        <f>ROUND(C1360*E1360,0)</f>
        <v>2355</v>
      </c>
      <c r="H1360" t="s">
        <v>3249</v>
      </c>
    </row>
    <row r="1361" spans="1:8" ht="60" x14ac:dyDescent="0.25">
      <c r="A1361" s="21" t="s">
        <v>3251</v>
      </c>
      <c r="B1361" s="25" t="s">
        <v>3253</v>
      </c>
      <c r="C1361" s="26"/>
      <c r="D1361" s="27"/>
      <c r="E1361" s="26"/>
      <c r="F1361" s="28"/>
      <c r="G1361" s="26"/>
      <c r="H1361" t="s">
        <v>3252</v>
      </c>
    </row>
    <row r="1362" spans="1:8" ht="30" x14ac:dyDescent="0.25">
      <c r="A1362" s="21" t="s">
        <v>3254</v>
      </c>
      <c r="B1362" s="25" t="s">
        <v>1176</v>
      </c>
      <c r="C1362" s="26">
        <v>1</v>
      </c>
      <c r="D1362" s="27" t="s">
        <v>15</v>
      </c>
      <c r="E1362" s="26">
        <v>1280.0999999999999</v>
      </c>
      <c r="F1362" s="28" t="s">
        <v>16</v>
      </c>
      <c r="G1362" s="26">
        <f>ROUND(C1362*E1362,0)</f>
        <v>1280</v>
      </c>
      <c r="H1362" t="s">
        <v>1183</v>
      </c>
    </row>
    <row r="1363" spans="1:8" ht="30" x14ac:dyDescent="0.25">
      <c r="A1363" s="21" t="s">
        <v>3255</v>
      </c>
      <c r="B1363" s="25" t="s">
        <v>1178</v>
      </c>
      <c r="C1363" s="26">
        <v>1</v>
      </c>
      <c r="D1363" s="27" t="s">
        <v>15</v>
      </c>
      <c r="E1363" s="26">
        <v>1342.65</v>
      </c>
      <c r="F1363" s="28" t="s">
        <v>16</v>
      </c>
      <c r="G1363" s="26">
        <f>ROUND(C1363*E1363,0)</f>
        <v>1343</v>
      </c>
      <c r="H1363" t="s">
        <v>1210</v>
      </c>
    </row>
    <row r="1364" spans="1:8" ht="90" x14ac:dyDescent="0.25">
      <c r="A1364" s="21" t="s">
        <v>3256</v>
      </c>
      <c r="B1364" s="25" t="s">
        <v>3258</v>
      </c>
      <c r="C1364" s="26"/>
      <c r="D1364" s="27"/>
      <c r="E1364" s="26"/>
      <c r="F1364" s="28"/>
      <c r="G1364" s="26"/>
      <c r="H1364" t="s">
        <v>3257</v>
      </c>
    </row>
    <row r="1365" spans="1:8" ht="30" x14ac:dyDescent="0.25">
      <c r="A1365" s="21" t="s">
        <v>3259</v>
      </c>
      <c r="B1365" s="25" t="s">
        <v>1176</v>
      </c>
      <c r="C1365" s="26">
        <v>1</v>
      </c>
      <c r="D1365" s="27" t="s">
        <v>15</v>
      </c>
      <c r="E1365" s="26">
        <v>1526.05</v>
      </c>
      <c r="F1365" s="28" t="s">
        <v>16</v>
      </c>
      <c r="G1365" s="26">
        <f>ROUND(C1365*E1365,0)</f>
        <v>1526</v>
      </c>
      <c r="H1365" t="s">
        <v>1183</v>
      </c>
    </row>
    <row r="1366" spans="1:8" ht="30" x14ac:dyDescent="0.25">
      <c r="A1366" s="21" t="s">
        <v>3260</v>
      </c>
      <c r="B1366" s="25" t="s">
        <v>1178</v>
      </c>
      <c r="C1366" s="26">
        <v>1</v>
      </c>
      <c r="D1366" s="27" t="s">
        <v>15</v>
      </c>
      <c r="E1366" s="26">
        <v>1588.65</v>
      </c>
      <c r="F1366" s="28" t="s">
        <v>16</v>
      </c>
      <c r="G1366" s="26">
        <f>ROUND(C1366*E1366,0)</f>
        <v>1589</v>
      </c>
      <c r="H1366" t="s">
        <v>1210</v>
      </c>
    </row>
    <row r="1367" spans="1:8" ht="90" x14ac:dyDescent="0.25">
      <c r="A1367" s="21" t="s">
        <v>3261</v>
      </c>
      <c r="B1367" s="25" t="s">
        <v>3263</v>
      </c>
      <c r="C1367" s="26"/>
      <c r="D1367" s="27"/>
      <c r="E1367" s="26"/>
      <c r="F1367" s="28"/>
      <c r="G1367" s="26"/>
      <c r="H1367" t="s">
        <v>3262</v>
      </c>
    </row>
    <row r="1368" spans="1:8" ht="30" x14ac:dyDescent="0.25">
      <c r="A1368" s="21" t="s">
        <v>3264</v>
      </c>
      <c r="B1368" s="25" t="s">
        <v>1176</v>
      </c>
      <c r="C1368" s="26">
        <v>1</v>
      </c>
      <c r="D1368" s="27" t="s">
        <v>15</v>
      </c>
      <c r="E1368" s="26">
        <v>1647</v>
      </c>
      <c r="F1368" s="28" t="s">
        <v>16</v>
      </c>
      <c r="G1368" s="26">
        <f>ROUND(C1368*E1368,0)</f>
        <v>1647</v>
      </c>
      <c r="H1368" t="s">
        <v>1183</v>
      </c>
    </row>
    <row r="1369" spans="1:8" ht="30" x14ac:dyDescent="0.25">
      <c r="A1369" s="21" t="s">
        <v>3265</v>
      </c>
      <c r="B1369" s="25" t="s">
        <v>1178</v>
      </c>
      <c r="C1369" s="26">
        <v>1</v>
      </c>
      <c r="D1369" s="27" t="s">
        <v>15</v>
      </c>
      <c r="E1369" s="26">
        <v>1709.6</v>
      </c>
      <c r="F1369" s="28" t="s">
        <v>16</v>
      </c>
      <c r="G1369" s="26">
        <f>ROUND(C1369*E1369,0)</f>
        <v>1710</v>
      </c>
      <c r="H1369" t="s">
        <v>1210</v>
      </c>
    </row>
    <row r="1370" spans="1:8" ht="30" x14ac:dyDescent="0.25">
      <c r="A1370" s="21" t="s">
        <v>3266</v>
      </c>
      <c r="B1370" s="25" t="s">
        <v>3268</v>
      </c>
      <c r="C1370" s="26">
        <v>1</v>
      </c>
      <c r="D1370" s="27" t="s">
        <v>110</v>
      </c>
      <c r="E1370" s="26">
        <v>191.4</v>
      </c>
      <c r="F1370" s="28" t="s">
        <v>981</v>
      </c>
      <c r="G1370" s="26">
        <f>ROUND(C1370*E1370,0)</f>
        <v>191</v>
      </c>
      <c r="H1370" t="s">
        <v>3267</v>
      </c>
    </row>
    <row r="1371" spans="1:8" ht="45" x14ac:dyDescent="0.25">
      <c r="A1371" s="21" t="s">
        <v>3269</v>
      </c>
      <c r="B1371" s="25" t="s">
        <v>3271</v>
      </c>
      <c r="C1371" s="26">
        <v>1</v>
      </c>
      <c r="D1371" s="27" t="s">
        <v>15</v>
      </c>
      <c r="E1371" s="26">
        <v>44.15</v>
      </c>
      <c r="F1371" s="28" t="s">
        <v>16</v>
      </c>
      <c r="G1371" s="26">
        <f>ROUND(C1371*E1371,0)</f>
        <v>44</v>
      </c>
      <c r="H1371" t="s">
        <v>3270</v>
      </c>
    </row>
    <row r="1372" spans="1:8" ht="45" x14ac:dyDescent="0.25">
      <c r="A1372" s="21" t="s">
        <v>3272</v>
      </c>
      <c r="B1372" s="25" t="s">
        <v>3274</v>
      </c>
      <c r="C1372" s="26"/>
      <c r="D1372" s="27"/>
      <c r="E1372" s="26"/>
      <c r="F1372" s="28"/>
      <c r="G1372" s="26"/>
      <c r="H1372" t="s">
        <v>3273</v>
      </c>
    </row>
    <row r="1373" spans="1:8" ht="30" x14ac:dyDescent="0.25">
      <c r="A1373" s="21" t="s">
        <v>3275</v>
      </c>
      <c r="B1373" s="25" t="s">
        <v>1532</v>
      </c>
      <c r="C1373" s="26">
        <v>1</v>
      </c>
      <c r="D1373" s="27" t="s">
        <v>15</v>
      </c>
      <c r="E1373" s="26">
        <v>4508.95</v>
      </c>
      <c r="F1373" s="28" t="s">
        <v>16</v>
      </c>
      <c r="G1373" s="26">
        <f t="shared" ref="G1373:G1381" si="34">ROUND(C1373*E1373,0)</f>
        <v>4509</v>
      </c>
      <c r="H1373" t="s">
        <v>1810</v>
      </c>
    </row>
    <row r="1374" spans="1:8" ht="30" x14ac:dyDescent="0.25">
      <c r="A1374" s="21" t="s">
        <v>3276</v>
      </c>
      <c r="B1374" s="25" t="s">
        <v>3278</v>
      </c>
      <c r="C1374" s="26">
        <v>1</v>
      </c>
      <c r="D1374" s="27" t="s">
        <v>15</v>
      </c>
      <c r="E1374" s="26">
        <v>3029.75</v>
      </c>
      <c r="F1374" s="28" t="s">
        <v>16</v>
      </c>
      <c r="G1374" s="26">
        <f t="shared" si="34"/>
        <v>3030</v>
      </c>
      <c r="H1374" t="s">
        <v>3277</v>
      </c>
    </row>
    <row r="1375" spans="1:8" ht="150" x14ac:dyDescent="0.25">
      <c r="A1375" s="21" t="s">
        <v>3279</v>
      </c>
      <c r="B1375" s="25" t="s">
        <v>3281</v>
      </c>
      <c r="C1375" s="26">
        <v>1</v>
      </c>
      <c r="D1375" s="27" t="s">
        <v>15</v>
      </c>
      <c r="E1375" s="26">
        <v>12020.45</v>
      </c>
      <c r="F1375" s="28" t="s">
        <v>16</v>
      </c>
      <c r="G1375" s="26">
        <f t="shared" si="34"/>
        <v>12020</v>
      </c>
      <c r="H1375" t="s">
        <v>3280</v>
      </c>
    </row>
    <row r="1376" spans="1:8" ht="90" x14ac:dyDescent="0.25">
      <c r="A1376" s="21" t="s">
        <v>3282</v>
      </c>
      <c r="B1376" s="25" t="s">
        <v>3284</v>
      </c>
      <c r="C1376" s="26">
        <v>1</v>
      </c>
      <c r="D1376" s="27" t="s">
        <v>725</v>
      </c>
      <c r="E1376" s="26">
        <v>177.8</v>
      </c>
      <c r="F1376" s="28" t="s">
        <v>726</v>
      </c>
      <c r="G1376" s="26">
        <f t="shared" si="34"/>
        <v>178</v>
      </c>
      <c r="H1376" t="s">
        <v>3283</v>
      </c>
    </row>
    <row r="1377" spans="1:8" ht="135" x14ac:dyDescent="0.25">
      <c r="A1377" s="21" t="s">
        <v>3285</v>
      </c>
      <c r="B1377" s="25" t="s">
        <v>3287</v>
      </c>
      <c r="C1377" s="26">
        <v>1</v>
      </c>
      <c r="D1377" s="27" t="s">
        <v>15</v>
      </c>
      <c r="E1377" s="26">
        <v>1096.55</v>
      </c>
      <c r="F1377" s="28" t="s">
        <v>16</v>
      </c>
      <c r="G1377" s="26">
        <f t="shared" si="34"/>
        <v>1097</v>
      </c>
      <c r="H1377" t="s">
        <v>3286</v>
      </c>
    </row>
    <row r="1378" spans="1:8" ht="165" x14ac:dyDescent="0.25">
      <c r="A1378" s="21" t="s">
        <v>3288</v>
      </c>
      <c r="B1378" s="25" t="s">
        <v>3290</v>
      </c>
      <c r="C1378" s="26">
        <v>1</v>
      </c>
      <c r="D1378" s="27" t="s">
        <v>15</v>
      </c>
      <c r="E1378" s="26">
        <v>1112.7</v>
      </c>
      <c r="F1378" s="28" t="s">
        <v>16</v>
      </c>
      <c r="G1378" s="26">
        <f t="shared" si="34"/>
        <v>1113</v>
      </c>
      <c r="H1378" t="s">
        <v>3289</v>
      </c>
    </row>
    <row r="1379" spans="1:8" ht="150" x14ac:dyDescent="0.25">
      <c r="A1379" s="21" t="s">
        <v>3291</v>
      </c>
      <c r="B1379" s="25" t="s">
        <v>3293</v>
      </c>
      <c r="C1379" s="26">
        <v>1</v>
      </c>
      <c r="D1379" s="27" t="s">
        <v>15</v>
      </c>
      <c r="E1379" s="26">
        <v>1315.3</v>
      </c>
      <c r="F1379" s="28" t="s">
        <v>16</v>
      </c>
      <c r="G1379" s="26">
        <f t="shared" si="34"/>
        <v>1315</v>
      </c>
      <c r="H1379" t="s">
        <v>3292</v>
      </c>
    </row>
    <row r="1380" spans="1:8" ht="150" x14ac:dyDescent="0.25">
      <c r="A1380" s="21" t="s">
        <v>3294</v>
      </c>
      <c r="B1380" s="25" t="s">
        <v>3296</v>
      </c>
      <c r="C1380" s="26">
        <v>1</v>
      </c>
      <c r="D1380" s="27" t="s">
        <v>15</v>
      </c>
      <c r="E1380" s="26">
        <v>1330</v>
      </c>
      <c r="F1380" s="28" t="s">
        <v>16</v>
      </c>
      <c r="G1380" s="26">
        <f t="shared" si="34"/>
        <v>1330</v>
      </c>
      <c r="H1380" t="s">
        <v>3295</v>
      </c>
    </row>
    <row r="1381" spans="1:8" ht="150" x14ac:dyDescent="0.25">
      <c r="A1381" s="21" t="s">
        <v>3297</v>
      </c>
      <c r="B1381" s="25" t="s">
        <v>3299</v>
      </c>
      <c r="C1381" s="26">
        <v>1</v>
      </c>
      <c r="D1381" s="27" t="s">
        <v>15</v>
      </c>
      <c r="E1381" s="26">
        <v>1439.4</v>
      </c>
      <c r="F1381" s="28" t="s">
        <v>16</v>
      </c>
      <c r="G1381" s="26">
        <f t="shared" si="34"/>
        <v>1439</v>
      </c>
      <c r="H1381" t="s">
        <v>3298</v>
      </c>
    </row>
    <row r="1382" spans="1:8" ht="150" x14ac:dyDescent="0.25">
      <c r="A1382" s="21" t="s">
        <v>3300</v>
      </c>
      <c r="B1382" s="25" t="s">
        <v>3302</v>
      </c>
      <c r="C1382" s="26"/>
      <c r="D1382" s="27"/>
      <c r="E1382" s="26"/>
      <c r="F1382" s="28"/>
      <c r="G1382" s="26"/>
      <c r="H1382" t="s">
        <v>3301</v>
      </c>
    </row>
    <row r="1383" spans="1:8" ht="30" x14ac:dyDescent="0.25">
      <c r="A1383" s="21" t="s">
        <v>3303</v>
      </c>
      <c r="B1383" s="25" t="s">
        <v>3305</v>
      </c>
      <c r="C1383" s="26">
        <v>1</v>
      </c>
      <c r="D1383" s="27" t="s">
        <v>15</v>
      </c>
      <c r="E1383" s="26">
        <v>1524.3</v>
      </c>
      <c r="F1383" s="28" t="s">
        <v>16</v>
      </c>
      <c r="G1383" s="26">
        <f>ROUND(C1383*E1383,0)</f>
        <v>1524</v>
      </c>
      <c r="H1383" t="s">
        <v>3304</v>
      </c>
    </row>
    <row r="1384" spans="1:8" ht="30" x14ac:dyDescent="0.25">
      <c r="A1384" s="21" t="s">
        <v>3306</v>
      </c>
      <c r="B1384" s="25" t="s">
        <v>3308</v>
      </c>
      <c r="C1384" s="26">
        <v>1</v>
      </c>
      <c r="D1384" s="27" t="s">
        <v>15</v>
      </c>
      <c r="E1384" s="26">
        <v>1553.45</v>
      </c>
      <c r="F1384" s="28" t="s">
        <v>16</v>
      </c>
      <c r="G1384" s="26">
        <f>ROUND(C1384*E1384,0)</f>
        <v>1553</v>
      </c>
      <c r="H1384" t="s">
        <v>3307</v>
      </c>
    </row>
    <row r="1385" spans="1:8" ht="30" x14ac:dyDescent="0.25">
      <c r="A1385" s="21" t="s">
        <v>3309</v>
      </c>
      <c r="B1385" s="25" t="s">
        <v>3311</v>
      </c>
      <c r="C1385" s="26">
        <v>1</v>
      </c>
      <c r="D1385" s="27" t="s">
        <v>15</v>
      </c>
      <c r="E1385" s="26">
        <v>1885.5</v>
      </c>
      <c r="F1385" s="28" t="s">
        <v>16</v>
      </c>
      <c r="G1385" s="26">
        <f>ROUND(C1385*E1385,0)</f>
        <v>1886</v>
      </c>
      <c r="H1385" t="s">
        <v>3310</v>
      </c>
    </row>
    <row r="1386" spans="1:8" ht="30" x14ac:dyDescent="0.25">
      <c r="A1386" s="21" t="s">
        <v>3312</v>
      </c>
      <c r="B1386" s="25" t="s">
        <v>3314</v>
      </c>
      <c r="C1386" s="26">
        <v>1</v>
      </c>
      <c r="D1386" s="27" t="s">
        <v>15</v>
      </c>
      <c r="E1386" s="26">
        <v>2089.65</v>
      </c>
      <c r="F1386" s="28" t="s">
        <v>16</v>
      </c>
      <c r="G1386" s="26">
        <f>ROUND(C1386*E1386,0)</f>
        <v>2090</v>
      </c>
      <c r="H1386" t="s">
        <v>3313</v>
      </c>
    </row>
    <row r="1387" spans="1:8" ht="210" x14ac:dyDescent="0.25">
      <c r="A1387" s="21" t="s">
        <v>3315</v>
      </c>
      <c r="B1387" s="25" t="s">
        <v>3317</v>
      </c>
      <c r="C1387" s="26"/>
      <c r="D1387" s="27"/>
      <c r="E1387" s="26"/>
      <c r="F1387" s="28"/>
      <c r="G1387" s="26"/>
      <c r="H1387" t="s">
        <v>3316</v>
      </c>
    </row>
    <row r="1388" spans="1:8" x14ac:dyDescent="0.25">
      <c r="A1388" s="21" t="s">
        <v>3318</v>
      </c>
      <c r="B1388" s="25" t="s">
        <v>3319</v>
      </c>
      <c r="C1388" s="26"/>
      <c r="D1388" s="27"/>
      <c r="E1388" s="26"/>
      <c r="F1388" s="28"/>
      <c r="G1388" s="26"/>
      <c r="H1388" t="s">
        <v>3319</v>
      </c>
    </row>
    <row r="1389" spans="1:8" ht="30" x14ac:dyDescent="0.25">
      <c r="A1389" s="21" t="s">
        <v>3320</v>
      </c>
      <c r="B1389" s="25" t="s">
        <v>3321</v>
      </c>
      <c r="C1389" s="26">
        <v>1</v>
      </c>
      <c r="D1389" s="27" t="s">
        <v>15</v>
      </c>
      <c r="E1389" s="26">
        <v>1453.65</v>
      </c>
      <c r="F1389" s="28" t="s">
        <v>16</v>
      </c>
      <c r="G1389" s="26">
        <f>ROUND(C1389*E1389,0)</f>
        <v>1454</v>
      </c>
      <c r="H1389" t="s">
        <v>3321</v>
      </c>
    </row>
    <row r="1390" spans="1:8" ht="30" x14ac:dyDescent="0.25">
      <c r="A1390" s="21" t="s">
        <v>3322</v>
      </c>
      <c r="B1390" s="25" t="s">
        <v>3323</v>
      </c>
      <c r="C1390" s="26">
        <v>1</v>
      </c>
      <c r="D1390" s="27" t="s">
        <v>15</v>
      </c>
      <c r="E1390" s="26">
        <v>1534.85</v>
      </c>
      <c r="F1390" s="28" t="s">
        <v>16</v>
      </c>
      <c r="G1390" s="26">
        <f>ROUND(C1390*E1390,0)</f>
        <v>1535</v>
      </c>
      <c r="H1390" t="s">
        <v>3323</v>
      </c>
    </row>
    <row r="1391" spans="1:8" ht="30" x14ac:dyDescent="0.25">
      <c r="A1391" s="21" t="s">
        <v>3324</v>
      </c>
      <c r="B1391" s="25" t="s">
        <v>3325</v>
      </c>
      <c r="C1391" s="26">
        <v>1</v>
      </c>
      <c r="D1391" s="27" t="s">
        <v>15</v>
      </c>
      <c r="E1391" s="26">
        <v>1577.15</v>
      </c>
      <c r="F1391" s="28" t="s">
        <v>16</v>
      </c>
      <c r="G1391" s="26">
        <f>ROUND(C1391*E1391,0)</f>
        <v>1577</v>
      </c>
      <c r="H1391" t="s">
        <v>3325</v>
      </c>
    </row>
    <row r="1392" spans="1:8" ht="30" x14ac:dyDescent="0.25">
      <c r="A1392" s="21" t="s">
        <v>3326</v>
      </c>
      <c r="B1392" s="25" t="s">
        <v>3327</v>
      </c>
      <c r="C1392" s="26">
        <v>1</v>
      </c>
      <c r="D1392" s="27" t="s">
        <v>15</v>
      </c>
      <c r="E1392" s="26">
        <v>1870.25</v>
      </c>
      <c r="F1392" s="28" t="s">
        <v>16</v>
      </c>
      <c r="G1392" s="26">
        <f>ROUND(C1392*E1392,0)</f>
        <v>1870</v>
      </c>
      <c r="H1392" t="s">
        <v>3327</v>
      </c>
    </row>
    <row r="1393" spans="1:8" ht="30" x14ac:dyDescent="0.25">
      <c r="A1393" s="21" t="s">
        <v>3328</v>
      </c>
      <c r="B1393" s="25" t="s">
        <v>3329</v>
      </c>
      <c r="C1393" s="26">
        <v>1</v>
      </c>
      <c r="D1393" s="27" t="s">
        <v>15</v>
      </c>
      <c r="E1393" s="26">
        <v>1801.7</v>
      </c>
      <c r="F1393" s="28" t="s">
        <v>16</v>
      </c>
      <c r="G1393" s="26">
        <f>ROUND(C1393*E1393,0)</f>
        <v>1802</v>
      </c>
      <c r="H1393" t="s">
        <v>3329</v>
      </c>
    </row>
    <row r="1394" spans="1:8" x14ac:dyDescent="0.25">
      <c r="A1394" s="21" t="s">
        <v>3330</v>
      </c>
      <c r="B1394" s="25" t="s">
        <v>3331</v>
      </c>
      <c r="C1394" s="26"/>
      <c r="D1394" s="27"/>
      <c r="E1394" s="26"/>
      <c r="F1394" s="28"/>
      <c r="G1394" s="26"/>
      <c r="H1394" t="s">
        <v>3331</v>
      </c>
    </row>
    <row r="1395" spans="1:8" ht="30" x14ac:dyDescent="0.25">
      <c r="A1395" s="21" t="s">
        <v>3332</v>
      </c>
      <c r="B1395" s="25" t="s">
        <v>3321</v>
      </c>
      <c r="C1395" s="26">
        <v>1</v>
      </c>
      <c r="D1395" s="27" t="s">
        <v>15</v>
      </c>
      <c r="E1395" s="26">
        <v>1502.75</v>
      </c>
      <c r="F1395" s="28" t="s">
        <v>16</v>
      </c>
      <c r="G1395" s="26">
        <f>ROUND(C1395*E1395,0)</f>
        <v>1503</v>
      </c>
      <c r="H1395" t="s">
        <v>3321</v>
      </c>
    </row>
    <row r="1396" spans="1:8" ht="30" x14ac:dyDescent="0.25">
      <c r="A1396" s="21" t="s">
        <v>3333</v>
      </c>
      <c r="B1396" s="25" t="s">
        <v>3325</v>
      </c>
      <c r="C1396" s="26">
        <v>1</v>
      </c>
      <c r="D1396" s="27" t="s">
        <v>15</v>
      </c>
      <c r="E1396" s="26">
        <v>1798.8</v>
      </c>
      <c r="F1396" s="28" t="s">
        <v>16</v>
      </c>
      <c r="G1396" s="26">
        <f>ROUND(C1396*E1396,0)</f>
        <v>1799</v>
      </c>
      <c r="H1396" t="s">
        <v>3325</v>
      </c>
    </row>
    <row r="1397" spans="1:8" ht="30" x14ac:dyDescent="0.25">
      <c r="A1397" s="21" t="s">
        <v>3334</v>
      </c>
      <c r="B1397" s="25" t="s">
        <v>3323</v>
      </c>
      <c r="C1397" s="26">
        <v>1</v>
      </c>
      <c r="D1397" s="27" t="s">
        <v>15</v>
      </c>
      <c r="E1397" s="26">
        <v>1728.8</v>
      </c>
      <c r="F1397" s="28" t="s">
        <v>16</v>
      </c>
      <c r="G1397" s="26">
        <f>ROUND(C1397*E1397,0)</f>
        <v>1729</v>
      </c>
      <c r="H1397" t="s">
        <v>3323</v>
      </c>
    </row>
    <row r="1398" spans="1:8" ht="30" x14ac:dyDescent="0.25">
      <c r="A1398" s="21" t="s">
        <v>3335</v>
      </c>
      <c r="B1398" s="25" t="s">
        <v>3327</v>
      </c>
      <c r="C1398" s="26">
        <v>1</v>
      </c>
      <c r="D1398" s="27" t="s">
        <v>15</v>
      </c>
      <c r="E1398" s="26">
        <v>2056.9</v>
      </c>
      <c r="F1398" s="28" t="s">
        <v>16</v>
      </c>
      <c r="G1398" s="26">
        <f>ROUND(C1398*E1398,0)</f>
        <v>2057</v>
      </c>
      <c r="H1398" t="s">
        <v>3327</v>
      </c>
    </row>
    <row r="1399" spans="1:8" ht="30" x14ac:dyDescent="0.25">
      <c r="A1399" s="21" t="s">
        <v>3336</v>
      </c>
      <c r="B1399" s="25" t="s">
        <v>3337</v>
      </c>
      <c r="C1399" s="26">
        <v>1</v>
      </c>
      <c r="D1399" s="27" t="s">
        <v>15</v>
      </c>
      <c r="E1399" s="26">
        <v>2541</v>
      </c>
      <c r="F1399" s="28" t="s">
        <v>16</v>
      </c>
      <c r="G1399" s="26">
        <f>ROUND(C1399*E1399,0)</f>
        <v>2541</v>
      </c>
      <c r="H1399" t="s">
        <v>3337</v>
      </c>
    </row>
    <row r="1400" spans="1:8" x14ac:dyDescent="0.25">
      <c r="A1400" s="21" t="s">
        <v>3338</v>
      </c>
      <c r="B1400" s="25" t="s">
        <v>3339</v>
      </c>
      <c r="C1400" s="26"/>
      <c r="D1400" s="27"/>
      <c r="E1400" s="26"/>
      <c r="F1400" s="28"/>
      <c r="G1400" s="26"/>
      <c r="H1400" t="s">
        <v>3339</v>
      </c>
    </row>
    <row r="1401" spans="1:8" ht="30" x14ac:dyDescent="0.25">
      <c r="A1401" s="21" t="s">
        <v>3340</v>
      </c>
      <c r="B1401" s="25" t="s">
        <v>3321</v>
      </c>
      <c r="C1401" s="26">
        <v>1</v>
      </c>
      <c r="D1401" s="27" t="s">
        <v>15</v>
      </c>
      <c r="E1401" s="26">
        <v>1464.85</v>
      </c>
      <c r="F1401" s="28" t="s">
        <v>16</v>
      </c>
      <c r="G1401" s="26">
        <f t="shared" ref="G1401:G1409" si="35">ROUND(C1401*E1401,0)</f>
        <v>1465</v>
      </c>
      <c r="H1401" t="s">
        <v>3321</v>
      </c>
    </row>
    <row r="1402" spans="1:8" ht="30" x14ac:dyDescent="0.25">
      <c r="A1402" s="21" t="s">
        <v>3341</v>
      </c>
      <c r="B1402" s="25" t="s">
        <v>3325</v>
      </c>
      <c r="C1402" s="26">
        <v>1</v>
      </c>
      <c r="D1402" s="27" t="s">
        <v>15</v>
      </c>
      <c r="E1402" s="26">
        <v>1797.3</v>
      </c>
      <c r="F1402" s="28" t="s">
        <v>16</v>
      </c>
      <c r="G1402" s="26">
        <f t="shared" si="35"/>
        <v>1797</v>
      </c>
      <c r="H1402" t="s">
        <v>3325</v>
      </c>
    </row>
    <row r="1403" spans="1:8" ht="30" x14ac:dyDescent="0.25">
      <c r="A1403" s="21" t="s">
        <v>3342</v>
      </c>
      <c r="B1403" s="25" t="s">
        <v>3323</v>
      </c>
      <c r="C1403" s="26">
        <v>1</v>
      </c>
      <c r="D1403" s="27" t="s">
        <v>15</v>
      </c>
      <c r="E1403" s="26">
        <v>1724.4</v>
      </c>
      <c r="F1403" s="28" t="s">
        <v>16</v>
      </c>
      <c r="G1403" s="26">
        <f t="shared" si="35"/>
        <v>1724</v>
      </c>
      <c r="H1403" t="s">
        <v>3323</v>
      </c>
    </row>
    <row r="1404" spans="1:8" ht="30" x14ac:dyDescent="0.25">
      <c r="A1404" s="21" t="s">
        <v>3343</v>
      </c>
      <c r="B1404" s="25" t="s">
        <v>3327</v>
      </c>
      <c r="C1404" s="26">
        <v>1</v>
      </c>
      <c r="D1404" s="27" t="s">
        <v>15</v>
      </c>
      <c r="E1404" s="26">
        <v>2056.9</v>
      </c>
      <c r="F1404" s="28" t="s">
        <v>16</v>
      </c>
      <c r="G1404" s="26">
        <f t="shared" si="35"/>
        <v>2057</v>
      </c>
      <c r="H1404" t="s">
        <v>3327</v>
      </c>
    </row>
    <row r="1405" spans="1:8" ht="30" x14ac:dyDescent="0.25">
      <c r="A1405" s="21" t="s">
        <v>3344</v>
      </c>
      <c r="B1405" s="25" t="s">
        <v>3337</v>
      </c>
      <c r="C1405" s="26">
        <v>1</v>
      </c>
      <c r="D1405" s="27" t="s">
        <v>15</v>
      </c>
      <c r="E1405" s="26">
        <v>2838.5</v>
      </c>
      <c r="F1405" s="28" t="s">
        <v>16</v>
      </c>
      <c r="G1405" s="26">
        <f t="shared" si="35"/>
        <v>2839</v>
      </c>
      <c r="H1405" t="s">
        <v>3337</v>
      </c>
    </row>
    <row r="1406" spans="1:8" ht="60" x14ac:dyDescent="0.25">
      <c r="A1406" s="21" t="s">
        <v>3345</v>
      </c>
      <c r="B1406" s="25" t="s">
        <v>3347</v>
      </c>
      <c r="C1406" s="26">
        <v>1</v>
      </c>
      <c r="D1406" s="27" t="s">
        <v>15</v>
      </c>
      <c r="E1406" s="26">
        <v>-850.1</v>
      </c>
      <c r="F1406" s="28" t="s">
        <v>16</v>
      </c>
      <c r="G1406" s="26">
        <f t="shared" si="35"/>
        <v>-850</v>
      </c>
      <c r="H1406" t="s">
        <v>3346</v>
      </c>
    </row>
    <row r="1407" spans="1:8" ht="60" x14ac:dyDescent="0.25">
      <c r="A1407" s="21" t="s">
        <v>3348</v>
      </c>
      <c r="B1407" s="25" t="s">
        <v>3350</v>
      </c>
      <c r="C1407" s="26">
        <v>1</v>
      </c>
      <c r="D1407" s="27" t="s">
        <v>15</v>
      </c>
      <c r="E1407" s="26">
        <v>753.25</v>
      </c>
      <c r="F1407" s="28" t="s">
        <v>16</v>
      </c>
      <c r="G1407" s="26">
        <f t="shared" si="35"/>
        <v>753</v>
      </c>
      <c r="H1407" t="s">
        <v>3349</v>
      </c>
    </row>
    <row r="1408" spans="1:8" ht="180" x14ac:dyDescent="0.25">
      <c r="A1408" s="21" t="s">
        <v>3351</v>
      </c>
      <c r="B1408" s="25" t="s">
        <v>3353</v>
      </c>
      <c r="C1408" s="26">
        <v>1</v>
      </c>
      <c r="D1408" s="27" t="s">
        <v>15</v>
      </c>
      <c r="E1408" s="26">
        <v>954.15</v>
      </c>
      <c r="F1408" s="28" t="s">
        <v>16</v>
      </c>
      <c r="G1408" s="26">
        <f t="shared" si="35"/>
        <v>954</v>
      </c>
      <c r="H1408" t="s">
        <v>3352</v>
      </c>
    </row>
    <row r="1409" spans="1:8" ht="120" x14ac:dyDescent="0.25">
      <c r="A1409" s="21" t="s">
        <v>3354</v>
      </c>
      <c r="B1409" s="25" t="s">
        <v>3356</v>
      </c>
      <c r="C1409" s="26">
        <v>1</v>
      </c>
      <c r="D1409" s="27" t="s">
        <v>15</v>
      </c>
      <c r="E1409" s="26">
        <v>1708.1</v>
      </c>
      <c r="F1409" s="28" t="s">
        <v>16</v>
      </c>
      <c r="G1409" s="26">
        <f t="shared" si="35"/>
        <v>1708</v>
      </c>
      <c r="H1409" t="s">
        <v>3355</v>
      </c>
    </row>
    <row r="1410" spans="1:8" ht="135" x14ac:dyDescent="0.25">
      <c r="A1410" s="21" t="s">
        <v>3357</v>
      </c>
      <c r="B1410" s="25" t="s">
        <v>3359</v>
      </c>
      <c r="C1410" s="26"/>
      <c r="D1410" s="27"/>
      <c r="E1410" s="26"/>
      <c r="F1410" s="28"/>
      <c r="G1410" s="26"/>
      <c r="H1410" t="s">
        <v>3358</v>
      </c>
    </row>
    <row r="1411" spans="1:8" ht="30" x14ac:dyDescent="0.25">
      <c r="A1411" s="21" t="s">
        <v>3360</v>
      </c>
      <c r="B1411" s="25" t="s">
        <v>3305</v>
      </c>
      <c r="C1411" s="26">
        <v>1</v>
      </c>
      <c r="D1411" s="27" t="s">
        <v>15</v>
      </c>
      <c r="E1411" s="26">
        <v>1593.9</v>
      </c>
      <c r="F1411" s="28" t="s">
        <v>16</v>
      </c>
      <c r="G1411" s="26">
        <f>ROUND(C1411*E1411,0)</f>
        <v>1594</v>
      </c>
      <c r="H1411" t="s">
        <v>3305</v>
      </c>
    </row>
    <row r="1412" spans="1:8" ht="30" x14ac:dyDescent="0.25">
      <c r="A1412" s="21" t="s">
        <v>3361</v>
      </c>
      <c r="B1412" s="25" t="s">
        <v>3308</v>
      </c>
      <c r="C1412" s="26">
        <v>1</v>
      </c>
      <c r="D1412" s="27" t="s">
        <v>15</v>
      </c>
      <c r="E1412" s="26">
        <v>1623.05</v>
      </c>
      <c r="F1412" s="28" t="s">
        <v>16</v>
      </c>
      <c r="G1412" s="26">
        <f>ROUND(C1412*E1412,0)</f>
        <v>1623</v>
      </c>
      <c r="H1412" t="s">
        <v>3308</v>
      </c>
    </row>
    <row r="1413" spans="1:8" ht="30" x14ac:dyDescent="0.25">
      <c r="A1413" s="21" t="s">
        <v>3362</v>
      </c>
      <c r="B1413" s="25" t="s">
        <v>3311</v>
      </c>
      <c r="C1413" s="26">
        <v>1</v>
      </c>
      <c r="D1413" s="27" t="s">
        <v>15</v>
      </c>
      <c r="E1413" s="26">
        <v>1958.45</v>
      </c>
      <c r="F1413" s="28" t="s">
        <v>16</v>
      </c>
      <c r="G1413" s="26">
        <f>ROUND(C1413*E1413,0)</f>
        <v>1958</v>
      </c>
      <c r="H1413" t="s">
        <v>3311</v>
      </c>
    </row>
    <row r="1414" spans="1:8" ht="30" x14ac:dyDescent="0.25">
      <c r="A1414" s="21" t="s">
        <v>3363</v>
      </c>
      <c r="B1414" s="25" t="s">
        <v>3314</v>
      </c>
      <c r="C1414" s="26">
        <v>1</v>
      </c>
      <c r="D1414" s="27" t="s">
        <v>15</v>
      </c>
      <c r="E1414" s="26">
        <v>2162.6</v>
      </c>
      <c r="F1414" s="28" t="s">
        <v>16</v>
      </c>
      <c r="G1414" s="26">
        <f>ROUND(C1414*E1414,0)</f>
        <v>2163</v>
      </c>
      <c r="H1414" t="s">
        <v>3314</v>
      </c>
    </row>
    <row r="1415" spans="1:8" ht="135" x14ac:dyDescent="0.25">
      <c r="A1415" s="21" t="s">
        <v>3364</v>
      </c>
      <c r="B1415" s="25" t="s">
        <v>3366</v>
      </c>
      <c r="C1415" s="26">
        <v>1</v>
      </c>
      <c r="D1415" s="27" t="s">
        <v>110</v>
      </c>
      <c r="E1415" s="26">
        <v>216.2</v>
      </c>
      <c r="F1415" s="28" t="s">
        <v>68</v>
      </c>
      <c r="G1415" s="26">
        <f>ROUND(C1415*E1415,0)</f>
        <v>216</v>
      </c>
      <c r="H1415" t="s">
        <v>3365</v>
      </c>
    </row>
    <row r="1416" spans="1:8" ht="165" x14ac:dyDescent="0.25">
      <c r="A1416" s="21" t="s">
        <v>3367</v>
      </c>
      <c r="B1416" s="25" t="s">
        <v>3369</v>
      </c>
      <c r="C1416" s="26"/>
      <c r="D1416" s="27"/>
      <c r="E1416" s="26"/>
      <c r="F1416" s="28"/>
      <c r="G1416" s="26"/>
      <c r="H1416" t="s">
        <v>3368</v>
      </c>
    </row>
    <row r="1417" spans="1:8" ht="30" x14ac:dyDescent="0.25">
      <c r="A1417" s="21" t="s">
        <v>3370</v>
      </c>
      <c r="B1417" s="25" t="s">
        <v>3305</v>
      </c>
      <c r="C1417" s="26">
        <v>1</v>
      </c>
      <c r="D1417" s="27" t="s">
        <v>15</v>
      </c>
      <c r="E1417" s="26">
        <v>1864.75</v>
      </c>
      <c r="F1417" s="28" t="s">
        <v>16</v>
      </c>
      <c r="G1417" s="26">
        <f>ROUND(C1417*E1417,0)</f>
        <v>1865</v>
      </c>
      <c r="H1417" t="s">
        <v>3305</v>
      </c>
    </row>
    <row r="1418" spans="1:8" ht="30" x14ac:dyDescent="0.25">
      <c r="A1418" s="21" t="s">
        <v>3371</v>
      </c>
      <c r="B1418" s="25" t="s">
        <v>3308</v>
      </c>
      <c r="C1418" s="26">
        <v>1</v>
      </c>
      <c r="D1418" s="27" t="s">
        <v>15</v>
      </c>
      <c r="E1418" s="26">
        <v>1893.9</v>
      </c>
      <c r="F1418" s="28" t="s">
        <v>16</v>
      </c>
      <c r="G1418" s="26">
        <f>ROUND(C1418*E1418,0)</f>
        <v>1894</v>
      </c>
      <c r="H1418" t="s">
        <v>3308</v>
      </c>
    </row>
    <row r="1419" spans="1:8" ht="30" x14ac:dyDescent="0.25">
      <c r="A1419" s="21" t="s">
        <v>3372</v>
      </c>
      <c r="B1419" s="25" t="s">
        <v>3311</v>
      </c>
      <c r="C1419" s="26">
        <v>1</v>
      </c>
      <c r="D1419" s="27" t="s">
        <v>15</v>
      </c>
      <c r="E1419" s="26">
        <v>2229.25</v>
      </c>
      <c r="F1419" s="28" t="s">
        <v>16</v>
      </c>
      <c r="G1419" s="26">
        <f>ROUND(C1419*E1419,0)</f>
        <v>2229</v>
      </c>
      <c r="H1419" t="s">
        <v>3311</v>
      </c>
    </row>
    <row r="1420" spans="1:8" ht="30" x14ac:dyDescent="0.25">
      <c r="A1420" s="21" t="s">
        <v>3373</v>
      </c>
      <c r="B1420" s="25" t="s">
        <v>3314</v>
      </c>
      <c r="C1420" s="26">
        <v>1</v>
      </c>
      <c r="D1420" s="27" t="s">
        <v>15</v>
      </c>
      <c r="E1420" s="26">
        <v>2433.4</v>
      </c>
      <c r="F1420" s="28" t="s">
        <v>16</v>
      </c>
      <c r="G1420" s="26">
        <f>ROUND(C1420*E1420,0)</f>
        <v>2433</v>
      </c>
      <c r="H1420" t="s">
        <v>3314</v>
      </c>
    </row>
    <row r="1421" spans="1:8" ht="90" x14ac:dyDescent="0.25">
      <c r="A1421" s="21" t="s">
        <v>3374</v>
      </c>
      <c r="B1421" s="25" t="s">
        <v>3376</v>
      </c>
      <c r="C1421" s="26"/>
      <c r="D1421" s="27"/>
      <c r="E1421" s="26"/>
      <c r="F1421" s="28"/>
      <c r="G1421" s="26"/>
      <c r="H1421" t="s">
        <v>3375</v>
      </c>
    </row>
    <row r="1422" spans="1:8" ht="30" x14ac:dyDescent="0.25">
      <c r="A1422" s="21" t="s">
        <v>3377</v>
      </c>
      <c r="B1422" s="25" t="s">
        <v>3305</v>
      </c>
      <c r="C1422" s="26">
        <v>1</v>
      </c>
      <c r="D1422" s="27" t="s">
        <v>15</v>
      </c>
      <c r="E1422" s="26">
        <v>373.35</v>
      </c>
      <c r="F1422" s="28" t="s">
        <v>16</v>
      </c>
      <c r="G1422" s="26">
        <f>ROUND(C1422*E1422,0)</f>
        <v>373</v>
      </c>
      <c r="H1422" t="s">
        <v>3305</v>
      </c>
    </row>
    <row r="1423" spans="1:8" ht="30" x14ac:dyDescent="0.25">
      <c r="A1423" s="21" t="s">
        <v>3378</v>
      </c>
      <c r="B1423" s="25" t="s">
        <v>3308</v>
      </c>
      <c r="C1423" s="26">
        <v>1</v>
      </c>
      <c r="D1423" s="27" t="s">
        <v>15</v>
      </c>
      <c r="E1423" s="26">
        <v>309.05</v>
      </c>
      <c r="F1423" s="28" t="s">
        <v>16</v>
      </c>
      <c r="G1423" s="26">
        <f>ROUND(C1423*E1423,0)</f>
        <v>309</v>
      </c>
      <c r="H1423" t="s">
        <v>3308</v>
      </c>
    </row>
    <row r="1424" spans="1:8" ht="30" x14ac:dyDescent="0.25">
      <c r="A1424" s="21" t="s">
        <v>3379</v>
      </c>
      <c r="B1424" s="25" t="s">
        <v>3311</v>
      </c>
      <c r="C1424" s="26">
        <v>1</v>
      </c>
      <c r="D1424" s="27" t="s">
        <v>15</v>
      </c>
      <c r="E1424" s="26">
        <v>244.75</v>
      </c>
      <c r="F1424" s="28" t="s">
        <v>16</v>
      </c>
      <c r="G1424" s="26">
        <f>ROUND(C1424*E1424,0)</f>
        <v>245</v>
      </c>
      <c r="H1424" t="s">
        <v>3311</v>
      </c>
    </row>
    <row r="1425" spans="1:8" ht="30" x14ac:dyDescent="0.25">
      <c r="A1425" s="21" t="s">
        <v>3380</v>
      </c>
      <c r="B1425" s="25" t="s">
        <v>3314</v>
      </c>
      <c r="C1425" s="26">
        <v>1</v>
      </c>
      <c r="D1425" s="27" t="s">
        <v>15</v>
      </c>
      <c r="E1425" s="26">
        <v>174.5</v>
      </c>
      <c r="F1425" s="28" t="s">
        <v>16</v>
      </c>
      <c r="G1425" s="26">
        <f>ROUND(C1425*E1425,0)</f>
        <v>175</v>
      </c>
      <c r="H1425" t="s">
        <v>3314</v>
      </c>
    </row>
    <row r="1426" spans="1:8" ht="150" x14ac:dyDescent="0.25">
      <c r="A1426" s="21" t="s">
        <v>3381</v>
      </c>
      <c r="B1426" s="25" t="s">
        <v>3383</v>
      </c>
      <c r="C1426" s="26"/>
      <c r="D1426" s="27"/>
      <c r="E1426" s="26"/>
      <c r="F1426" s="28"/>
      <c r="G1426" s="26"/>
      <c r="H1426" t="s">
        <v>3382</v>
      </c>
    </row>
    <row r="1427" spans="1:8" ht="30" x14ac:dyDescent="0.25">
      <c r="A1427" s="21" t="s">
        <v>3384</v>
      </c>
      <c r="B1427" s="25" t="s">
        <v>3305</v>
      </c>
      <c r="C1427" s="26">
        <v>1</v>
      </c>
      <c r="D1427" s="27" t="s">
        <v>15</v>
      </c>
      <c r="E1427" s="26">
        <v>1696.2</v>
      </c>
      <c r="F1427" s="28" t="s">
        <v>16</v>
      </c>
      <c r="G1427" s="26">
        <f>ROUND(C1427*E1427,0)</f>
        <v>1696</v>
      </c>
      <c r="H1427" t="s">
        <v>3305</v>
      </c>
    </row>
    <row r="1428" spans="1:8" ht="30" x14ac:dyDescent="0.25">
      <c r="A1428" s="21" t="s">
        <v>3385</v>
      </c>
      <c r="B1428" s="25" t="s">
        <v>3308</v>
      </c>
      <c r="C1428" s="26">
        <v>1</v>
      </c>
      <c r="D1428" s="27" t="s">
        <v>15</v>
      </c>
      <c r="E1428" s="26">
        <v>1725.35</v>
      </c>
      <c r="F1428" s="28" t="s">
        <v>16</v>
      </c>
      <c r="G1428" s="26">
        <f>ROUND(C1428*E1428,0)</f>
        <v>1725</v>
      </c>
      <c r="H1428" t="s">
        <v>3308</v>
      </c>
    </row>
    <row r="1429" spans="1:8" ht="30" x14ac:dyDescent="0.25">
      <c r="A1429" s="21" t="s">
        <v>3386</v>
      </c>
      <c r="B1429" s="25" t="s">
        <v>3311</v>
      </c>
      <c r="C1429" s="26">
        <v>1</v>
      </c>
      <c r="D1429" s="27" t="s">
        <v>15</v>
      </c>
      <c r="E1429" s="26">
        <v>2060.75</v>
      </c>
      <c r="F1429" s="28" t="s">
        <v>16</v>
      </c>
      <c r="G1429" s="26">
        <f>ROUND(C1429*E1429,0)</f>
        <v>2061</v>
      </c>
      <c r="H1429" t="s">
        <v>3311</v>
      </c>
    </row>
    <row r="1430" spans="1:8" ht="30" x14ac:dyDescent="0.25">
      <c r="A1430" s="21" t="s">
        <v>3387</v>
      </c>
      <c r="B1430" s="25" t="s">
        <v>3314</v>
      </c>
      <c r="C1430" s="26">
        <v>1</v>
      </c>
      <c r="D1430" s="27" t="s">
        <v>15</v>
      </c>
      <c r="E1430" s="26">
        <v>2264.9</v>
      </c>
      <c r="F1430" s="28" t="s">
        <v>16</v>
      </c>
      <c r="G1430" s="26">
        <f>ROUND(C1430*E1430,0)</f>
        <v>2265</v>
      </c>
      <c r="H1430" t="s">
        <v>3314</v>
      </c>
    </row>
    <row r="1431" spans="1:8" ht="210" x14ac:dyDescent="0.25">
      <c r="A1431" s="21" t="s">
        <v>3388</v>
      </c>
      <c r="B1431" s="25" t="s">
        <v>3389</v>
      </c>
      <c r="C1431" s="26"/>
      <c r="D1431" s="27"/>
      <c r="E1431" s="26"/>
      <c r="F1431" s="28"/>
      <c r="G1431" s="26"/>
      <c r="H1431" t="s">
        <v>105</v>
      </c>
    </row>
    <row r="1432" spans="1:8" ht="30" x14ac:dyDescent="0.25">
      <c r="A1432" s="21"/>
      <c r="B1432" s="25" t="s">
        <v>3390</v>
      </c>
      <c r="C1432" s="26">
        <v>1</v>
      </c>
      <c r="D1432" s="27" t="s">
        <v>15</v>
      </c>
      <c r="E1432" s="26">
        <v>3623.95</v>
      </c>
      <c r="F1432" s="28" t="s">
        <v>16</v>
      </c>
      <c r="G1432" s="26">
        <f>ROUND(C1432*E1432,0)</f>
        <v>3624</v>
      </c>
    </row>
    <row r="1433" spans="1:8" ht="45" x14ac:dyDescent="0.25">
      <c r="A1433" s="21" t="s">
        <v>3391</v>
      </c>
      <c r="B1433" s="25" t="s">
        <v>3393</v>
      </c>
      <c r="C1433" s="26">
        <v>1</v>
      </c>
      <c r="D1433" s="27" t="s">
        <v>15</v>
      </c>
      <c r="E1433" s="26">
        <v>-13.3</v>
      </c>
      <c r="F1433" s="28" t="s">
        <v>16</v>
      </c>
      <c r="G1433" s="26">
        <f>ROUND(C1433*E1433,0)</f>
        <v>-13</v>
      </c>
      <c r="H1433" t="s">
        <v>3392</v>
      </c>
    </row>
    <row r="1434" spans="1:8" ht="180" x14ac:dyDescent="0.25">
      <c r="A1434" s="21" t="s">
        <v>3394</v>
      </c>
      <c r="B1434" s="25" t="s">
        <v>3396</v>
      </c>
      <c r="C1434" s="26"/>
      <c r="D1434" s="27"/>
      <c r="E1434" s="26"/>
      <c r="F1434" s="28"/>
      <c r="G1434" s="26"/>
      <c r="H1434" t="s">
        <v>3395</v>
      </c>
    </row>
    <row r="1435" spans="1:8" ht="30" x14ac:dyDescent="0.25">
      <c r="A1435" s="21" t="s">
        <v>3397</v>
      </c>
      <c r="B1435" s="25" t="s">
        <v>3398</v>
      </c>
      <c r="C1435" s="26">
        <v>1</v>
      </c>
      <c r="D1435" s="27" t="s">
        <v>15</v>
      </c>
      <c r="E1435" s="26">
        <v>6603.35</v>
      </c>
      <c r="F1435" s="28" t="s">
        <v>16</v>
      </c>
      <c r="G1435" s="26">
        <f>ROUND(C1435*E1435,0)</f>
        <v>6603</v>
      </c>
      <c r="H1435" t="s">
        <v>105</v>
      </c>
    </row>
    <row r="1436" spans="1:8" ht="240" x14ac:dyDescent="0.25">
      <c r="A1436" s="21" t="s">
        <v>3399</v>
      </c>
      <c r="B1436" s="25" t="s">
        <v>3401</v>
      </c>
      <c r="C1436" s="26"/>
      <c r="D1436" s="27"/>
      <c r="E1436" s="26"/>
      <c r="F1436" s="28"/>
      <c r="G1436" s="26"/>
      <c r="H1436" t="s">
        <v>3400</v>
      </c>
    </row>
    <row r="1437" spans="1:8" ht="30" x14ac:dyDescent="0.25">
      <c r="A1437" s="21" t="s">
        <v>3402</v>
      </c>
      <c r="B1437" s="25" t="s">
        <v>3403</v>
      </c>
      <c r="C1437" s="26">
        <v>1</v>
      </c>
      <c r="D1437" s="27" t="s">
        <v>15</v>
      </c>
      <c r="E1437" s="26">
        <v>6927.35</v>
      </c>
      <c r="F1437" s="28" t="s">
        <v>16</v>
      </c>
      <c r="G1437" s="26">
        <f>ROUND(C1437*E1437,0)</f>
        <v>6927</v>
      </c>
      <c r="H1437" t="s">
        <v>3403</v>
      </c>
    </row>
    <row r="1438" spans="1:8" ht="150" x14ac:dyDescent="0.25">
      <c r="A1438" s="21" t="s">
        <v>3404</v>
      </c>
      <c r="B1438" s="25" t="s">
        <v>3406</v>
      </c>
      <c r="C1438" s="26">
        <v>1</v>
      </c>
      <c r="D1438" s="27" t="s">
        <v>15</v>
      </c>
      <c r="E1438" s="26">
        <v>3891.15</v>
      </c>
      <c r="F1438" s="28" t="s">
        <v>16</v>
      </c>
      <c r="G1438" s="26">
        <f>ROUND(C1438*E1438,0)</f>
        <v>3891</v>
      </c>
      <c r="H1438" t="s">
        <v>3405</v>
      </c>
    </row>
    <row r="1439" spans="1:8" ht="135" x14ac:dyDescent="0.25">
      <c r="A1439" s="21" t="s">
        <v>3407</v>
      </c>
      <c r="B1439" s="25" t="s">
        <v>3409</v>
      </c>
      <c r="C1439" s="26"/>
      <c r="D1439" s="27"/>
      <c r="E1439" s="26"/>
      <c r="F1439" s="28"/>
      <c r="G1439" s="26"/>
      <c r="H1439" t="s">
        <v>3408</v>
      </c>
    </row>
    <row r="1440" spans="1:8" ht="225" x14ac:dyDescent="0.25">
      <c r="A1440" s="21"/>
      <c r="B1440" s="25" t="s">
        <v>3410</v>
      </c>
      <c r="C1440" s="26"/>
      <c r="D1440" s="27"/>
      <c r="E1440" s="26"/>
      <c r="F1440" s="28"/>
      <c r="G1440" s="26"/>
    </row>
    <row r="1441" spans="1:8" ht="225" x14ac:dyDescent="0.25">
      <c r="A1441" s="21"/>
      <c r="B1441" s="25" t="s">
        <v>3411</v>
      </c>
      <c r="C1441" s="26"/>
      <c r="D1441" s="27"/>
      <c r="E1441" s="26"/>
      <c r="F1441" s="28"/>
      <c r="G1441" s="26"/>
    </row>
    <row r="1442" spans="1:8" ht="150" x14ac:dyDescent="0.25">
      <c r="A1442" s="21"/>
      <c r="B1442" s="25" t="s">
        <v>3412</v>
      </c>
      <c r="C1442" s="26"/>
      <c r="D1442" s="27"/>
      <c r="E1442" s="26"/>
      <c r="F1442" s="28"/>
      <c r="G1442" s="26"/>
    </row>
    <row r="1443" spans="1:8" ht="300" x14ac:dyDescent="0.25">
      <c r="A1443" s="21"/>
      <c r="B1443" s="25" t="s">
        <v>3413</v>
      </c>
      <c r="C1443" s="26"/>
      <c r="D1443" s="27"/>
      <c r="E1443" s="26"/>
      <c r="F1443" s="28"/>
      <c r="G1443" s="26"/>
    </row>
    <row r="1444" spans="1:8" ht="30" x14ac:dyDescent="0.25">
      <c r="A1444" s="21" t="s">
        <v>3414</v>
      </c>
      <c r="B1444" s="25" t="s">
        <v>3415</v>
      </c>
      <c r="C1444" s="26">
        <v>1</v>
      </c>
      <c r="D1444" s="27" t="s">
        <v>15</v>
      </c>
      <c r="E1444" s="26">
        <v>5623.95</v>
      </c>
      <c r="F1444" s="28" t="s">
        <v>16</v>
      </c>
      <c r="G1444" s="26">
        <f>ROUND(C1444*E1444,0)</f>
        <v>5624</v>
      </c>
      <c r="H1444" t="s">
        <v>3415</v>
      </c>
    </row>
    <row r="1445" spans="1:8" ht="30" x14ac:dyDescent="0.25">
      <c r="A1445" s="21" t="s">
        <v>3416</v>
      </c>
      <c r="B1445" s="25" t="s">
        <v>3417</v>
      </c>
      <c r="C1445" s="26">
        <v>1</v>
      </c>
      <c r="D1445" s="27" t="s">
        <v>15</v>
      </c>
      <c r="E1445" s="26">
        <v>5977.35</v>
      </c>
      <c r="F1445" s="28" t="s">
        <v>16</v>
      </c>
      <c r="G1445" s="26">
        <f>ROUND(C1445*E1445,0)</f>
        <v>5977</v>
      </c>
      <c r="H1445" t="s">
        <v>3417</v>
      </c>
    </row>
    <row r="1446" spans="1:8" ht="180" x14ac:dyDescent="0.25">
      <c r="A1446" s="21" t="s">
        <v>3418</v>
      </c>
      <c r="B1446" s="25" t="s">
        <v>3420</v>
      </c>
      <c r="C1446" s="26"/>
      <c r="D1446" s="27"/>
      <c r="E1446" s="26"/>
      <c r="F1446" s="28"/>
      <c r="G1446" s="26"/>
      <c r="H1446" t="s">
        <v>3419</v>
      </c>
    </row>
    <row r="1447" spans="1:8" ht="30" x14ac:dyDescent="0.25">
      <c r="A1447" s="21" t="s">
        <v>3421</v>
      </c>
      <c r="B1447" s="25" t="s">
        <v>3422</v>
      </c>
      <c r="C1447" s="26">
        <v>1</v>
      </c>
      <c r="D1447" s="27" t="s">
        <v>15</v>
      </c>
      <c r="E1447" s="26">
        <v>3186.7</v>
      </c>
      <c r="F1447" s="28" t="s">
        <v>16</v>
      </c>
      <c r="G1447" s="26">
        <f>ROUND(C1447*E1447,0)</f>
        <v>3187</v>
      </c>
      <c r="H1447" t="s">
        <v>3422</v>
      </c>
    </row>
    <row r="1448" spans="1:8" ht="180" x14ac:dyDescent="0.25">
      <c r="A1448" s="21" t="s">
        <v>3423</v>
      </c>
      <c r="B1448" s="25" t="s">
        <v>3425</v>
      </c>
      <c r="C1448" s="26"/>
      <c r="D1448" s="27"/>
      <c r="E1448" s="26"/>
      <c r="F1448" s="28"/>
      <c r="G1448" s="26"/>
      <c r="H1448" t="s">
        <v>3424</v>
      </c>
    </row>
    <row r="1449" spans="1:8" ht="30" x14ac:dyDescent="0.25">
      <c r="A1449" s="21" t="s">
        <v>3426</v>
      </c>
      <c r="B1449" s="25" t="s">
        <v>3427</v>
      </c>
      <c r="C1449" s="26">
        <v>1</v>
      </c>
      <c r="D1449" s="27" t="s">
        <v>15</v>
      </c>
      <c r="E1449" s="26">
        <v>4481.3</v>
      </c>
      <c r="F1449" s="28" t="s">
        <v>16</v>
      </c>
      <c r="G1449" s="26">
        <f>ROUND(C1449*E1449,0)</f>
        <v>4481</v>
      </c>
      <c r="H1449" t="s">
        <v>3427</v>
      </c>
    </row>
    <row r="1450" spans="1:8" ht="30" x14ac:dyDescent="0.25">
      <c r="A1450" s="21" t="s">
        <v>3428</v>
      </c>
      <c r="B1450" s="25" t="s">
        <v>3429</v>
      </c>
      <c r="C1450" s="26">
        <v>1</v>
      </c>
      <c r="D1450" s="27" t="s">
        <v>15</v>
      </c>
      <c r="E1450" s="26">
        <v>3071.05</v>
      </c>
      <c r="F1450" s="28" t="s">
        <v>16</v>
      </c>
      <c r="G1450" s="26">
        <f>ROUND(C1450*E1450,0)</f>
        <v>3071</v>
      </c>
      <c r="H1450" t="s">
        <v>3429</v>
      </c>
    </row>
    <row r="1451" spans="1:8" x14ac:dyDescent="0.25">
      <c r="A1451" s="21"/>
      <c r="B1451" s="45" t="s">
        <v>3430</v>
      </c>
      <c r="C1451" s="45"/>
      <c r="D1451" s="45"/>
      <c r="E1451" s="45"/>
      <c r="F1451" s="45"/>
      <c r="G1451" s="29">
        <f>SUM(G1274:G1450)</f>
        <v>242519</v>
      </c>
    </row>
    <row r="1452" spans="1:8" x14ac:dyDescent="0.25">
      <c r="A1452" s="46" t="s">
        <v>3431</v>
      </c>
      <c r="B1452" s="47"/>
      <c r="C1452" s="47"/>
      <c r="D1452" s="47"/>
      <c r="E1452" s="47"/>
      <c r="F1452" s="47"/>
      <c r="G1452" s="47"/>
    </row>
    <row r="1453" spans="1:8" ht="165" x14ac:dyDescent="0.25">
      <c r="A1453" s="21" t="s">
        <v>3432</v>
      </c>
      <c r="B1453" s="25" t="s">
        <v>3434</v>
      </c>
      <c r="C1453" s="26"/>
      <c r="D1453" s="27"/>
      <c r="E1453" s="26"/>
      <c r="F1453" s="28"/>
      <c r="G1453" s="26"/>
      <c r="H1453" t="s">
        <v>3433</v>
      </c>
    </row>
    <row r="1454" spans="1:8" ht="30" x14ac:dyDescent="0.25">
      <c r="A1454" s="21" t="s">
        <v>3435</v>
      </c>
      <c r="B1454" s="25" t="s">
        <v>3436</v>
      </c>
      <c r="C1454" s="26">
        <v>1</v>
      </c>
      <c r="D1454" s="27" t="s">
        <v>15</v>
      </c>
      <c r="E1454" s="26">
        <v>1457.15</v>
      </c>
      <c r="F1454" s="28" t="s">
        <v>16</v>
      </c>
      <c r="G1454" s="26">
        <f>ROUND(C1454*E1454,0)</f>
        <v>1457</v>
      </c>
      <c r="H1454" t="s">
        <v>2446</v>
      </c>
    </row>
    <row r="1455" spans="1:8" ht="30" x14ac:dyDescent="0.25">
      <c r="A1455" s="21" t="s">
        <v>3437</v>
      </c>
      <c r="B1455" s="25" t="s">
        <v>3439</v>
      </c>
      <c r="C1455" s="26">
        <v>1</v>
      </c>
      <c r="D1455" s="27" t="s">
        <v>15</v>
      </c>
      <c r="E1455" s="26">
        <v>1257.55</v>
      </c>
      <c r="F1455" s="28" t="s">
        <v>16</v>
      </c>
      <c r="G1455" s="26">
        <f>ROUND(C1455*E1455,0)</f>
        <v>1258</v>
      </c>
      <c r="H1455" t="s">
        <v>3438</v>
      </c>
    </row>
    <row r="1456" spans="1:8" ht="30" x14ac:dyDescent="0.25">
      <c r="A1456" s="21" t="s">
        <v>3440</v>
      </c>
      <c r="B1456" s="25" t="s">
        <v>3442</v>
      </c>
      <c r="C1456" s="26">
        <v>1</v>
      </c>
      <c r="D1456" s="27" t="s">
        <v>15</v>
      </c>
      <c r="E1456" s="26">
        <v>1087.6500000000001</v>
      </c>
      <c r="F1456" s="28" t="s">
        <v>16</v>
      </c>
      <c r="G1456" s="26">
        <f>ROUND(C1456*E1456,0)</f>
        <v>1088</v>
      </c>
      <c r="H1456" t="s">
        <v>3441</v>
      </c>
    </row>
    <row r="1457" spans="1:8" ht="45" x14ac:dyDescent="0.25">
      <c r="A1457" s="21" t="s">
        <v>3443</v>
      </c>
      <c r="B1457" s="25" t="s">
        <v>3445</v>
      </c>
      <c r="C1457" s="26"/>
      <c r="D1457" s="27"/>
      <c r="E1457" s="26"/>
      <c r="F1457" s="28"/>
      <c r="G1457" s="26"/>
      <c r="H1457" t="s">
        <v>3444</v>
      </c>
    </row>
    <row r="1458" spans="1:8" ht="45" x14ac:dyDescent="0.25">
      <c r="A1458" s="21" t="s">
        <v>3446</v>
      </c>
      <c r="B1458" s="25" t="s">
        <v>3447</v>
      </c>
      <c r="C1458" s="26">
        <v>1</v>
      </c>
      <c r="D1458" s="27" t="s">
        <v>110</v>
      </c>
      <c r="E1458" s="26">
        <v>116.15</v>
      </c>
      <c r="F1458" s="28" t="s">
        <v>618</v>
      </c>
      <c r="G1458" s="26">
        <f>ROUND(C1458*E1458,0)</f>
        <v>116</v>
      </c>
      <c r="H1458" t="s">
        <v>2446</v>
      </c>
    </row>
    <row r="1459" spans="1:8" ht="45" x14ac:dyDescent="0.25">
      <c r="A1459" s="21" t="s">
        <v>3448</v>
      </c>
      <c r="B1459" s="25" t="s">
        <v>3449</v>
      </c>
      <c r="C1459" s="26">
        <v>1</v>
      </c>
      <c r="D1459" s="27" t="s">
        <v>110</v>
      </c>
      <c r="E1459" s="26">
        <v>92.95</v>
      </c>
      <c r="F1459" s="28" t="s">
        <v>618</v>
      </c>
      <c r="G1459" s="26">
        <f>ROUND(C1459*E1459,0)</f>
        <v>93</v>
      </c>
      <c r="H1459" t="s">
        <v>3438</v>
      </c>
    </row>
    <row r="1460" spans="1:8" ht="45" x14ac:dyDescent="0.25">
      <c r="A1460" s="21" t="s">
        <v>3450</v>
      </c>
      <c r="B1460" s="25" t="s">
        <v>3451</v>
      </c>
      <c r="C1460" s="26">
        <v>1</v>
      </c>
      <c r="D1460" s="27" t="s">
        <v>110</v>
      </c>
      <c r="E1460" s="26">
        <v>92.95</v>
      </c>
      <c r="F1460" s="28" t="s">
        <v>618</v>
      </c>
      <c r="G1460" s="26">
        <f>ROUND(C1460*E1460,0)</f>
        <v>93</v>
      </c>
      <c r="H1460" t="s">
        <v>3441</v>
      </c>
    </row>
    <row r="1461" spans="1:8" ht="45" x14ac:dyDescent="0.25">
      <c r="A1461" s="21" t="s">
        <v>3452</v>
      </c>
      <c r="B1461" s="25" t="s">
        <v>3454</v>
      </c>
      <c r="C1461" s="26"/>
      <c r="D1461" s="27"/>
      <c r="E1461" s="26"/>
      <c r="F1461" s="28"/>
      <c r="G1461" s="26"/>
      <c r="H1461" t="s">
        <v>3453</v>
      </c>
    </row>
    <row r="1462" spans="1:8" ht="45" x14ac:dyDescent="0.25">
      <c r="A1462" s="21" t="s">
        <v>3455</v>
      </c>
      <c r="B1462" s="25" t="s">
        <v>3447</v>
      </c>
      <c r="C1462" s="26">
        <v>1</v>
      </c>
      <c r="D1462" s="27" t="s">
        <v>110</v>
      </c>
      <c r="E1462" s="26">
        <v>671.45</v>
      </c>
      <c r="F1462" s="28" t="s">
        <v>618</v>
      </c>
      <c r="G1462" s="26">
        <f>ROUND(C1462*E1462,0)</f>
        <v>671</v>
      </c>
      <c r="H1462" t="s">
        <v>2446</v>
      </c>
    </row>
    <row r="1463" spans="1:8" ht="45" x14ac:dyDescent="0.25">
      <c r="A1463" s="21" t="s">
        <v>3456</v>
      </c>
      <c r="B1463" s="25" t="s">
        <v>3449</v>
      </c>
      <c r="C1463" s="26">
        <v>1</v>
      </c>
      <c r="D1463" s="27" t="s">
        <v>110</v>
      </c>
      <c r="E1463" s="26">
        <v>536.29999999999995</v>
      </c>
      <c r="F1463" s="28" t="s">
        <v>618</v>
      </c>
      <c r="G1463" s="26">
        <f>ROUND(C1463*E1463,0)</f>
        <v>536</v>
      </c>
      <c r="H1463" t="s">
        <v>3438</v>
      </c>
    </row>
    <row r="1464" spans="1:8" ht="45" x14ac:dyDescent="0.25">
      <c r="A1464" s="21" t="s">
        <v>3457</v>
      </c>
      <c r="B1464" s="25" t="s">
        <v>3451</v>
      </c>
      <c r="C1464" s="26">
        <v>1</v>
      </c>
      <c r="D1464" s="27" t="s">
        <v>110</v>
      </c>
      <c r="E1464" s="26">
        <v>536.29999999999995</v>
      </c>
      <c r="F1464" s="28" t="s">
        <v>618</v>
      </c>
      <c r="G1464" s="26">
        <f>ROUND(C1464*E1464,0)</f>
        <v>536</v>
      </c>
      <c r="H1464" t="s">
        <v>3451</v>
      </c>
    </row>
    <row r="1465" spans="1:8" ht="60" x14ac:dyDescent="0.25">
      <c r="A1465" s="21" t="s">
        <v>3458</v>
      </c>
      <c r="B1465" s="25" t="s">
        <v>3460</v>
      </c>
      <c r="C1465" s="26"/>
      <c r="D1465" s="27"/>
      <c r="E1465" s="26"/>
      <c r="F1465" s="28"/>
      <c r="G1465" s="26"/>
      <c r="H1465" t="s">
        <v>3459</v>
      </c>
    </row>
    <row r="1466" spans="1:8" ht="45" x14ac:dyDescent="0.25">
      <c r="A1466" s="21" t="s">
        <v>3461</v>
      </c>
      <c r="B1466" s="25" t="s">
        <v>3439</v>
      </c>
      <c r="C1466" s="26">
        <v>1</v>
      </c>
      <c r="D1466" s="27" t="s">
        <v>110</v>
      </c>
      <c r="E1466" s="26">
        <v>1083.3</v>
      </c>
      <c r="F1466" s="28" t="s">
        <v>618</v>
      </c>
      <c r="G1466" s="26">
        <f>ROUND(C1466*E1466,0)</f>
        <v>1083</v>
      </c>
      <c r="H1466" t="s">
        <v>3449</v>
      </c>
    </row>
    <row r="1467" spans="1:8" ht="45" x14ac:dyDescent="0.25">
      <c r="A1467" s="21" t="s">
        <v>3462</v>
      </c>
      <c r="B1467" s="25" t="s">
        <v>3464</v>
      </c>
      <c r="C1467" s="26">
        <v>1</v>
      </c>
      <c r="D1467" s="27" t="s">
        <v>110</v>
      </c>
      <c r="E1467" s="26">
        <v>980.5</v>
      </c>
      <c r="F1467" s="28" t="s">
        <v>618</v>
      </c>
      <c r="G1467" s="26">
        <f>ROUND(C1467*E1467,0)</f>
        <v>981</v>
      </c>
      <c r="H1467" t="s">
        <v>3463</v>
      </c>
    </row>
    <row r="1468" spans="1:8" ht="60" x14ac:dyDescent="0.25">
      <c r="A1468" s="21" t="s">
        <v>3465</v>
      </c>
      <c r="B1468" s="25" t="s">
        <v>3467</v>
      </c>
      <c r="C1468" s="26"/>
      <c r="D1468" s="27"/>
      <c r="E1468" s="26"/>
      <c r="F1468" s="28"/>
      <c r="G1468" s="26"/>
      <c r="H1468" t="s">
        <v>3466</v>
      </c>
    </row>
    <row r="1469" spans="1:8" ht="45" x14ac:dyDescent="0.25">
      <c r="A1469" s="21" t="s">
        <v>3468</v>
      </c>
      <c r="B1469" s="25" t="s">
        <v>3470</v>
      </c>
      <c r="C1469" s="26">
        <v>1</v>
      </c>
      <c r="D1469" s="27" t="s">
        <v>110</v>
      </c>
      <c r="E1469" s="26">
        <v>1863.9</v>
      </c>
      <c r="F1469" s="28" t="s">
        <v>618</v>
      </c>
      <c r="G1469" s="26">
        <f>ROUND(C1469*E1469,0)</f>
        <v>1864</v>
      </c>
      <c r="H1469" t="s">
        <v>3469</v>
      </c>
    </row>
    <row r="1470" spans="1:8" ht="75" x14ac:dyDescent="0.25">
      <c r="A1470" s="21" t="s">
        <v>3471</v>
      </c>
      <c r="B1470" s="25" t="s">
        <v>3473</v>
      </c>
      <c r="C1470" s="26"/>
      <c r="D1470" s="27"/>
      <c r="E1470" s="26"/>
      <c r="F1470" s="28"/>
      <c r="G1470" s="26"/>
      <c r="H1470" t="s">
        <v>3472</v>
      </c>
    </row>
    <row r="1471" spans="1:8" ht="45" x14ac:dyDescent="0.25">
      <c r="A1471" s="21" t="s">
        <v>3474</v>
      </c>
      <c r="B1471" s="25" t="s">
        <v>3436</v>
      </c>
      <c r="C1471" s="26">
        <v>1</v>
      </c>
      <c r="D1471" s="27" t="s">
        <v>110</v>
      </c>
      <c r="E1471" s="26">
        <v>857.55</v>
      </c>
      <c r="F1471" s="28" t="s">
        <v>618</v>
      </c>
      <c r="G1471" s="26">
        <f>ROUND(C1471*E1471,0)</f>
        <v>858</v>
      </c>
      <c r="H1471" t="s">
        <v>3447</v>
      </c>
    </row>
    <row r="1472" spans="1:8" ht="75" x14ac:dyDescent="0.25">
      <c r="A1472" s="21" t="s">
        <v>3475</v>
      </c>
      <c r="B1472" s="25" t="s">
        <v>3477</v>
      </c>
      <c r="C1472" s="26"/>
      <c r="D1472" s="27"/>
      <c r="E1472" s="26"/>
      <c r="F1472" s="28"/>
      <c r="G1472" s="26"/>
      <c r="H1472" t="s">
        <v>3476</v>
      </c>
    </row>
    <row r="1473" spans="1:8" ht="45" x14ac:dyDescent="0.25">
      <c r="A1473" s="21" t="s">
        <v>3478</v>
      </c>
      <c r="B1473" s="25" t="s">
        <v>3439</v>
      </c>
      <c r="C1473" s="26">
        <v>1</v>
      </c>
      <c r="D1473" s="27" t="s">
        <v>110</v>
      </c>
      <c r="E1473" s="26">
        <v>1029.6500000000001</v>
      </c>
      <c r="F1473" s="28" t="s">
        <v>618</v>
      </c>
      <c r="G1473" s="26">
        <f t="shared" ref="G1473:G1478" si="36">ROUND(C1473*E1473,0)</f>
        <v>1030</v>
      </c>
      <c r="H1473" t="s">
        <v>3479</v>
      </c>
    </row>
    <row r="1474" spans="1:8" ht="45" x14ac:dyDescent="0.25">
      <c r="A1474" s="21" t="s">
        <v>3480</v>
      </c>
      <c r="B1474" s="25" t="s">
        <v>3464</v>
      </c>
      <c r="C1474" s="26">
        <v>1</v>
      </c>
      <c r="D1474" s="27" t="s">
        <v>110</v>
      </c>
      <c r="E1474" s="26">
        <v>944.05</v>
      </c>
      <c r="F1474" s="28" t="s">
        <v>618</v>
      </c>
      <c r="G1474" s="26">
        <f t="shared" si="36"/>
        <v>944</v>
      </c>
      <c r="H1474" t="s">
        <v>3463</v>
      </c>
    </row>
    <row r="1475" spans="1:8" ht="150" x14ac:dyDescent="0.25">
      <c r="A1475" s="21" t="s">
        <v>3481</v>
      </c>
      <c r="B1475" s="25" t="s">
        <v>3483</v>
      </c>
      <c r="C1475" s="26">
        <v>1</v>
      </c>
      <c r="D1475" s="27" t="s">
        <v>15</v>
      </c>
      <c r="E1475" s="26">
        <v>536.4</v>
      </c>
      <c r="F1475" s="28" t="s">
        <v>16</v>
      </c>
      <c r="G1475" s="26">
        <f t="shared" si="36"/>
        <v>536</v>
      </c>
      <c r="H1475" t="s">
        <v>3482</v>
      </c>
    </row>
    <row r="1476" spans="1:8" ht="90" x14ac:dyDescent="0.25">
      <c r="A1476" s="21" t="s">
        <v>3484</v>
      </c>
      <c r="B1476" s="25" t="s">
        <v>3486</v>
      </c>
      <c r="C1476" s="26">
        <v>1</v>
      </c>
      <c r="D1476" s="27" t="s">
        <v>110</v>
      </c>
      <c r="E1476" s="26">
        <v>92.95</v>
      </c>
      <c r="F1476" s="28" t="s">
        <v>618</v>
      </c>
      <c r="G1476" s="26">
        <f t="shared" si="36"/>
        <v>93</v>
      </c>
      <c r="H1476" t="s">
        <v>3485</v>
      </c>
    </row>
    <row r="1477" spans="1:8" ht="75" x14ac:dyDescent="0.25">
      <c r="A1477" s="21" t="s">
        <v>3487</v>
      </c>
      <c r="B1477" s="25" t="s">
        <v>3489</v>
      </c>
      <c r="C1477" s="26">
        <v>1</v>
      </c>
      <c r="D1477" s="27" t="s">
        <v>110</v>
      </c>
      <c r="E1477" s="26">
        <v>256.7</v>
      </c>
      <c r="F1477" s="28" t="s">
        <v>618</v>
      </c>
      <c r="G1477" s="26">
        <f t="shared" si="36"/>
        <v>257</v>
      </c>
      <c r="H1477" t="s">
        <v>3488</v>
      </c>
    </row>
    <row r="1478" spans="1:8" ht="45" x14ac:dyDescent="0.25">
      <c r="A1478" s="21" t="s">
        <v>3490</v>
      </c>
      <c r="B1478" s="25" t="s">
        <v>3492</v>
      </c>
      <c r="C1478" s="26">
        <v>1</v>
      </c>
      <c r="D1478" s="27" t="s">
        <v>110</v>
      </c>
      <c r="E1478" s="26">
        <v>195.6</v>
      </c>
      <c r="F1478" s="28" t="s">
        <v>618</v>
      </c>
      <c r="G1478" s="26">
        <f t="shared" si="36"/>
        <v>196</v>
      </c>
      <c r="H1478" t="s">
        <v>3491</v>
      </c>
    </row>
    <row r="1479" spans="1:8" ht="75" x14ac:dyDescent="0.25">
      <c r="A1479" s="21" t="s">
        <v>3493</v>
      </c>
      <c r="B1479" s="25" t="s">
        <v>3495</v>
      </c>
      <c r="C1479" s="26"/>
      <c r="D1479" s="27"/>
      <c r="E1479" s="26"/>
      <c r="F1479" s="28"/>
      <c r="G1479" s="26"/>
      <c r="H1479" t="s">
        <v>3494</v>
      </c>
    </row>
    <row r="1480" spans="1:8" x14ac:dyDescent="0.25">
      <c r="A1480" s="21" t="s">
        <v>3496</v>
      </c>
      <c r="B1480" s="25" t="s">
        <v>3497</v>
      </c>
      <c r="C1480" s="26">
        <v>1</v>
      </c>
      <c r="D1480" s="27" t="s">
        <v>110</v>
      </c>
      <c r="E1480" s="26">
        <v>522.95000000000005</v>
      </c>
      <c r="F1480" s="28" t="s">
        <v>68</v>
      </c>
      <c r="G1480" s="26">
        <f>ROUND(C1480*E1480,0)</f>
        <v>523</v>
      </c>
      <c r="H1480" t="s">
        <v>3497</v>
      </c>
    </row>
    <row r="1481" spans="1:8" x14ac:dyDescent="0.25">
      <c r="A1481" s="21" t="s">
        <v>3498</v>
      </c>
      <c r="B1481" s="25" t="s">
        <v>3499</v>
      </c>
      <c r="C1481" s="26">
        <v>1</v>
      </c>
      <c r="D1481" s="27" t="s">
        <v>110</v>
      </c>
      <c r="E1481" s="26">
        <v>522.95000000000005</v>
      </c>
      <c r="F1481" s="28" t="s">
        <v>68</v>
      </c>
      <c r="G1481" s="26">
        <f>ROUND(C1481*E1481,0)</f>
        <v>523</v>
      </c>
      <c r="H1481" t="s">
        <v>3499</v>
      </c>
    </row>
    <row r="1482" spans="1:8" x14ac:dyDescent="0.25">
      <c r="A1482" s="21" t="s">
        <v>3500</v>
      </c>
      <c r="B1482" s="25" t="s">
        <v>3502</v>
      </c>
      <c r="C1482" s="26">
        <v>1</v>
      </c>
      <c r="D1482" s="27" t="s">
        <v>110</v>
      </c>
      <c r="E1482" s="26">
        <v>585.70000000000005</v>
      </c>
      <c r="F1482" s="28" t="s">
        <v>68</v>
      </c>
      <c r="G1482" s="26">
        <f>ROUND(C1482*E1482,0)</f>
        <v>586</v>
      </c>
      <c r="H1482" t="s">
        <v>3501</v>
      </c>
    </row>
    <row r="1483" spans="1:8" x14ac:dyDescent="0.25">
      <c r="A1483" s="21" t="s">
        <v>3503</v>
      </c>
      <c r="B1483" s="25" t="s">
        <v>3504</v>
      </c>
      <c r="C1483" s="26">
        <v>1</v>
      </c>
      <c r="D1483" s="27" t="s">
        <v>110</v>
      </c>
      <c r="E1483" s="26">
        <v>521.85</v>
      </c>
      <c r="F1483" s="28" t="s">
        <v>68</v>
      </c>
      <c r="G1483" s="26">
        <f>ROUND(C1483*E1483,0)</f>
        <v>522</v>
      </c>
      <c r="H1483" t="s">
        <v>3504</v>
      </c>
    </row>
    <row r="1484" spans="1:8" ht="105" x14ac:dyDescent="0.25">
      <c r="A1484" s="21" t="s">
        <v>3505</v>
      </c>
      <c r="B1484" s="25" t="s">
        <v>3507</v>
      </c>
      <c r="C1484" s="26"/>
      <c r="D1484" s="27"/>
      <c r="E1484" s="26"/>
      <c r="F1484" s="28"/>
      <c r="G1484" s="26"/>
      <c r="H1484" t="s">
        <v>3506</v>
      </c>
    </row>
    <row r="1485" spans="1:8" ht="45" x14ac:dyDescent="0.25">
      <c r="A1485" s="21" t="s">
        <v>3508</v>
      </c>
      <c r="B1485" s="25" t="s">
        <v>3510</v>
      </c>
      <c r="C1485" s="26">
        <v>1</v>
      </c>
      <c r="D1485" s="27" t="s">
        <v>110</v>
      </c>
      <c r="E1485" s="26">
        <v>428.5</v>
      </c>
      <c r="F1485" s="28" t="s">
        <v>618</v>
      </c>
      <c r="G1485" s="26">
        <f t="shared" ref="G1485:G1493" si="37">ROUND(C1485*E1485,0)</f>
        <v>429</v>
      </c>
      <c r="H1485" t="s">
        <v>3509</v>
      </c>
    </row>
    <row r="1486" spans="1:8" ht="45" x14ac:dyDescent="0.25">
      <c r="A1486" s="21" t="s">
        <v>3511</v>
      </c>
      <c r="B1486" s="25" t="s">
        <v>3513</v>
      </c>
      <c r="C1486" s="26">
        <v>1</v>
      </c>
      <c r="D1486" s="27" t="s">
        <v>110</v>
      </c>
      <c r="E1486" s="26">
        <v>345.05</v>
      </c>
      <c r="F1486" s="28" t="s">
        <v>618</v>
      </c>
      <c r="G1486" s="26">
        <f t="shared" si="37"/>
        <v>345</v>
      </c>
      <c r="H1486" t="s">
        <v>3512</v>
      </c>
    </row>
    <row r="1487" spans="1:8" ht="45" x14ac:dyDescent="0.25">
      <c r="A1487" s="21" t="s">
        <v>3514</v>
      </c>
      <c r="B1487" s="25" t="s">
        <v>3516</v>
      </c>
      <c r="C1487" s="26">
        <v>1</v>
      </c>
      <c r="D1487" s="27" t="s">
        <v>110</v>
      </c>
      <c r="E1487" s="26">
        <v>567.20000000000005</v>
      </c>
      <c r="F1487" s="28" t="s">
        <v>618</v>
      </c>
      <c r="G1487" s="26">
        <f t="shared" si="37"/>
        <v>567</v>
      </c>
      <c r="H1487" t="s">
        <v>3515</v>
      </c>
    </row>
    <row r="1488" spans="1:8" ht="45" x14ac:dyDescent="0.25">
      <c r="A1488" s="21" t="s">
        <v>3517</v>
      </c>
      <c r="B1488" s="25" t="s">
        <v>3519</v>
      </c>
      <c r="C1488" s="26">
        <v>1</v>
      </c>
      <c r="D1488" s="27" t="s">
        <v>110</v>
      </c>
      <c r="E1488" s="26">
        <v>627.29999999999995</v>
      </c>
      <c r="F1488" s="28" t="s">
        <v>618</v>
      </c>
      <c r="G1488" s="26">
        <f t="shared" si="37"/>
        <v>627</v>
      </c>
      <c r="H1488" t="s">
        <v>3518</v>
      </c>
    </row>
    <row r="1489" spans="1:8" ht="45" x14ac:dyDescent="0.25">
      <c r="A1489" s="21" t="s">
        <v>3520</v>
      </c>
      <c r="B1489" s="25" t="s">
        <v>3522</v>
      </c>
      <c r="C1489" s="26">
        <v>1</v>
      </c>
      <c r="D1489" s="27" t="s">
        <v>110</v>
      </c>
      <c r="E1489" s="26">
        <v>724.65</v>
      </c>
      <c r="F1489" s="28" t="s">
        <v>618</v>
      </c>
      <c r="G1489" s="26">
        <f t="shared" si="37"/>
        <v>725</v>
      </c>
      <c r="H1489" t="s">
        <v>3521</v>
      </c>
    </row>
    <row r="1490" spans="1:8" x14ac:dyDescent="0.25">
      <c r="A1490" s="21" t="s">
        <v>3523</v>
      </c>
      <c r="B1490" s="25" t="s">
        <v>3525</v>
      </c>
      <c r="C1490" s="26">
        <v>1</v>
      </c>
      <c r="D1490" s="27" t="s">
        <v>3526</v>
      </c>
      <c r="E1490" s="26">
        <v>303.7</v>
      </c>
      <c r="F1490" s="28" t="s">
        <v>3527</v>
      </c>
      <c r="G1490" s="26">
        <f t="shared" si="37"/>
        <v>304</v>
      </c>
      <c r="H1490" t="s">
        <v>3524</v>
      </c>
    </row>
    <row r="1491" spans="1:8" x14ac:dyDescent="0.25">
      <c r="A1491" s="21" t="s">
        <v>3528</v>
      </c>
      <c r="B1491" s="25" t="s">
        <v>3530</v>
      </c>
      <c r="C1491" s="26">
        <v>1</v>
      </c>
      <c r="D1491" s="27" t="s">
        <v>201</v>
      </c>
      <c r="E1491" s="26">
        <v>1013.85</v>
      </c>
      <c r="F1491" s="28" t="s">
        <v>202</v>
      </c>
      <c r="G1491" s="26">
        <f t="shared" si="37"/>
        <v>1014</v>
      </c>
      <c r="H1491" t="s">
        <v>3529</v>
      </c>
    </row>
    <row r="1492" spans="1:8" ht="45" x14ac:dyDescent="0.25">
      <c r="A1492" s="21" t="s">
        <v>3531</v>
      </c>
      <c r="B1492" s="25" t="s">
        <v>3533</v>
      </c>
      <c r="C1492" s="26">
        <v>1</v>
      </c>
      <c r="D1492" s="27" t="s">
        <v>110</v>
      </c>
      <c r="E1492" s="26">
        <v>560.04999999999995</v>
      </c>
      <c r="F1492" s="28" t="s">
        <v>618</v>
      </c>
      <c r="G1492" s="26">
        <f t="shared" si="37"/>
        <v>560</v>
      </c>
      <c r="H1492" t="s">
        <v>3532</v>
      </c>
    </row>
    <row r="1493" spans="1:8" ht="45" x14ac:dyDescent="0.25">
      <c r="A1493" s="21" t="s">
        <v>3534</v>
      </c>
      <c r="B1493" s="25" t="s">
        <v>3536</v>
      </c>
      <c r="C1493" s="26">
        <v>1</v>
      </c>
      <c r="D1493" s="27" t="s">
        <v>110</v>
      </c>
      <c r="E1493" s="26">
        <v>92.4</v>
      </c>
      <c r="F1493" s="28" t="s">
        <v>618</v>
      </c>
      <c r="G1493" s="26">
        <f t="shared" si="37"/>
        <v>92</v>
      </c>
      <c r="H1493" t="s">
        <v>3535</v>
      </c>
    </row>
    <row r="1494" spans="1:8" ht="90" x14ac:dyDescent="0.25">
      <c r="A1494" s="21" t="s">
        <v>3537</v>
      </c>
      <c r="B1494" s="25" t="s">
        <v>3539</v>
      </c>
      <c r="C1494" s="26"/>
      <c r="D1494" s="27"/>
      <c r="E1494" s="26"/>
      <c r="F1494" s="28"/>
      <c r="G1494" s="26"/>
      <c r="H1494" t="s">
        <v>3538</v>
      </c>
    </row>
    <row r="1495" spans="1:8" ht="30" x14ac:dyDescent="0.25">
      <c r="A1495" s="21" t="s">
        <v>3540</v>
      </c>
      <c r="B1495" s="25" t="s">
        <v>3542</v>
      </c>
      <c r="C1495" s="26">
        <v>1</v>
      </c>
      <c r="D1495" s="27" t="s">
        <v>15</v>
      </c>
      <c r="E1495" s="26">
        <v>166.2</v>
      </c>
      <c r="F1495" s="28" t="s">
        <v>16</v>
      </c>
      <c r="G1495" s="26">
        <f>ROUND(C1495*E1495,0)</f>
        <v>166</v>
      </c>
      <c r="H1495" t="s">
        <v>3541</v>
      </c>
    </row>
    <row r="1496" spans="1:8" ht="135" x14ac:dyDescent="0.25">
      <c r="A1496" s="21" t="s">
        <v>3543</v>
      </c>
      <c r="B1496" s="25" t="s">
        <v>3545</v>
      </c>
      <c r="C1496" s="26"/>
      <c r="D1496" s="27"/>
      <c r="E1496" s="26"/>
      <c r="F1496" s="28"/>
      <c r="G1496" s="26"/>
      <c r="H1496" t="s">
        <v>3544</v>
      </c>
    </row>
    <row r="1497" spans="1:8" ht="30" x14ac:dyDescent="0.25">
      <c r="A1497" s="21" t="s">
        <v>3546</v>
      </c>
      <c r="B1497" s="25" t="s">
        <v>3548</v>
      </c>
      <c r="C1497" s="26">
        <v>1</v>
      </c>
      <c r="D1497" s="27" t="s">
        <v>15</v>
      </c>
      <c r="E1497" s="26">
        <v>1050.2</v>
      </c>
      <c r="F1497" s="28" t="s">
        <v>16</v>
      </c>
      <c r="G1497" s="26">
        <f>ROUND(C1497*E1497,0)</f>
        <v>1050</v>
      </c>
      <c r="H1497" t="s">
        <v>3547</v>
      </c>
    </row>
    <row r="1498" spans="1:8" ht="150" x14ac:dyDescent="0.25">
      <c r="A1498" s="21" t="s">
        <v>3549</v>
      </c>
      <c r="B1498" s="25" t="s">
        <v>3551</v>
      </c>
      <c r="C1498" s="26"/>
      <c r="D1498" s="27"/>
      <c r="E1498" s="26"/>
      <c r="F1498" s="28"/>
      <c r="G1498" s="26"/>
      <c r="H1498" t="s">
        <v>3550</v>
      </c>
    </row>
    <row r="1499" spans="1:8" ht="45" x14ac:dyDescent="0.25">
      <c r="A1499" s="21" t="s">
        <v>3552</v>
      </c>
      <c r="B1499" s="25" t="s">
        <v>3554</v>
      </c>
      <c r="C1499" s="26">
        <v>1</v>
      </c>
      <c r="D1499" s="27" t="s">
        <v>15</v>
      </c>
      <c r="E1499" s="26">
        <v>1074.5</v>
      </c>
      <c r="F1499" s="28" t="s">
        <v>16</v>
      </c>
      <c r="G1499" s="26">
        <f>ROUND(C1499*E1499,0)</f>
        <v>1075</v>
      </c>
      <c r="H1499" t="s">
        <v>3553</v>
      </c>
    </row>
    <row r="1500" spans="1:8" ht="30" x14ac:dyDescent="0.25">
      <c r="A1500" s="21" t="s">
        <v>3555</v>
      </c>
      <c r="B1500" s="25" t="s">
        <v>3557</v>
      </c>
      <c r="C1500" s="26">
        <v>1</v>
      </c>
      <c r="D1500" s="27" t="s">
        <v>15</v>
      </c>
      <c r="E1500" s="26">
        <v>24.2</v>
      </c>
      <c r="F1500" s="28" t="s">
        <v>16</v>
      </c>
      <c r="G1500" s="26">
        <f>ROUND(C1500*E1500,0)</f>
        <v>24</v>
      </c>
      <c r="H1500" t="s">
        <v>3556</v>
      </c>
    </row>
    <row r="1501" spans="1:8" ht="90" x14ac:dyDescent="0.25">
      <c r="A1501" s="21" t="s">
        <v>3558</v>
      </c>
      <c r="B1501" s="25" t="s">
        <v>3560</v>
      </c>
      <c r="C1501" s="26"/>
      <c r="D1501" s="27"/>
      <c r="E1501" s="26"/>
      <c r="F1501" s="28"/>
      <c r="G1501" s="26"/>
      <c r="H1501" t="s">
        <v>3559</v>
      </c>
    </row>
    <row r="1502" spans="1:8" ht="30" x14ac:dyDescent="0.25">
      <c r="A1502" s="21" t="s">
        <v>3561</v>
      </c>
      <c r="B1502" s="25" t="s">
        <v>3562</v>
      </c>
      <c r="C1502" s="26">
        <v>1</v>
      </c>
      <c r="D1502" s="27" t="s">
        <v>15</v>
      </c>
      <c r="E1502" s="26">
        <v>607.4</v>
      </c>
      <c r="F1502" s="28" t="s">
        <v>16</v>
      </c>
      <c r="G1502" s="26">
        <f>ROUND(C1502*E1502,0)</f>
        <v>607</v>
      </c>
      <c r="H1502" t="s">
        <v>3562</v>
      </c>
    </row>
    <row r="1503" spans="1:8" ht="105" x14ac:dyDescent="0.25">
      <c r="A1503" s="21" t="s">
        <v>3563</v>
      </c>
      <c r="B1503" s="25" t="s">
        <v>3565</v>
      </c>
      <c r="C1503" s="26">
        <v>1</v>
      </c>
      <c r="D1503" s="27" t="s">
        <v>15</v>
      </c>
      <c r="E1503" s="26">
        <v>709.75</v>
      </c>
      <c r="F1503" s="28" t="s">
        <v>16</v>
      </c>
      <c r="G1503" s="26">
        <f>ROUND(C1503*E1503,0)</f>
        <v>710</v>
      </c>
      <c r="H1503" t="s">
        <v>3564</v>
      </c>
    </row>
    <row r="1504" spans="1:8" ht="75" x14ac:dyDescent="0.25">
      <c r="A1504" s="21" t="s">
        <v>3566</v>
      </c>
      <c r="B1504" s="25" t="s">
        <v>3568</v>
      </c>
      <c r="C1504" s="26"/>
      <c r="D1504" s="27"/>
      <c r="E1504" s="26"/>
      <c r="F1504" s="28"/>
      <c r="G1504" s="26"/>
      <c r="H1504" t="s">
        <v>3567</v>
      </c>
    </row>
    <row r="1505" spans="1:8" ht="45" x14ac:dyDescent="0.25">
      <c r="A1505" s="21" t="s">
        <v>3569</v>
      </c>
      <c r="B1505" s="25" t="s">
        <v>3571</v>
      </c>
      <c r="C1505" s="26">
        <v>1</v>
      </c>
      <c r="D1505" s="27" t="s">
        <v>110</v>
      </c>
      <c r="E1505" s="26">
        <v>305.14999999999998</v>
      </c>
      <c r="F1505" s="28" t="s">
        <v>618</v>
      </c>
      <c r="G1505" s="26">
        <f>ROUND(C1505*E1505,0)</f>
        <v>305</v>
      </c>
      <c r="H1505" t="s">
        <v>3570</v>
      </c>
    </row>
    <row r="1506" spans="1:8" ht="120" x14ac:dyDescent="0.25">
      <c r="A1506" s="21" t="s">
        <v>3572</v>
      </c>
      <c r="B1506" s="25" t="s">
        <v>3574</v>
      </c>
      <c r="C1506" s="26">
        <v>1</v>
      </c>
      <c r="D1506" s="27" t="s">
        <v>201</v>
      </c>
      <c r="E1506" s="26">
        <v>298.25</v>
      </c>
      <c r="F1506" s="28" t="s">
        <v>202</v>
      </c>
      <c r="G1506" s="26">
        <f>ROUND(C1506*E1506,0)</f>
        <v>298</v>
      </c>
      <c r="H1506" t="s">
        <v>3573</v>
      </c>
    </row>
    <row r="1507" spans="1:8" ht="105" x14ac:dyDescent="0.25">
      <c r="A1507" s="21" t="s">
        <v>3575</v>
      </c>
      <c r="B1507" s="25" t="s">
        <v>3577</v>
      </c>
      <c r="C1507" s="26"/>
      <c r="D1507" s="27"/>
      <c r="E1507" s="26"/>
      <c r="F1507" s="28"/>
      <c r="G1507" s="26"/>
      <c r="H1507" t="s">
        <v>3576</v>
      </c>
    </row>
    <row r="1508" spans="1:8" x14ac:dyDescent="0.25">
      <c r="A1508" s="21" t="s">
        <v>3578</v>
      </c>
      <c r="B1508" s="25" t="s">
        <v>3580</v>
      </c>
      <c r="C1508" s="26"/>
      <c r="D1508" s="27"/>
      <c r="E1508" s="26"/>
      <c r="F1508" s="28"/>
      <c r="G1508" s="26"/>
      <c r="H1508" t="s">
        <v>3579</v>
      </c>
    </row>
    <row r="1509" spans="1:8" ht="30" x14ac:dyDescent="0.25">
      <c r="A1509" s="21" t="s">
        <v>3581</v>
      </c>
      <c r="B1509" s="25" t="s">
        <v>3582</v>
      </c>
      <c r="C1509" s="26">
        <v>1</v>
      </c>
      <c r="D1509" s="27" t="s">
        <v>15</v>
      </c>
      <c r="E1509" s="26">
        <v>1138.2</v>
      </c>
      <c r="F1509" s="28" t="s">
        <v>16</v>
      </c>
      <c r="G1509" s="26">
        <f>ROUND(C1509*E1509,0)</f>
        <v>1138</v>
      </c>
      <c r="H1509" t="s">
        <v>3582</v>
      </c>
    </row>
    <row r="1510" spans="1:8" x14ac:dyDescent="0.25">
      <c r="A1510" s="21" t="s">
        <v>3583</v>
      </c>
      <c r="B1510" s="25" t="s">
        <v>3584</v>
      </c>
      <c r="C1510" s="26"/>
      <c r="D1510" s="27"/>
      <c r="E1510" s="26"/>
      <c r="F1510" s="28"/>
      <c r="G1510" s="26"/>
      <c r="H1510" t="s">
        <v>3584</v>
      </c>
    </row>
    <row r="1511" spans="1:8" ht="30" x14ac:dyDescent="0.25">
      <c r="A1511" s="21" t="s">
        <v>3585</v>
      </c>
      <c r="B1511" s="25" t="s">
        <v>3582</v>
      </c>
      <c r="C1511" s="26">
        <v>1</v>
      </c>
      <c r="D1511" s="27" t="s">
        <v>15</v>
      </c>
      <c r="E1511" s="26">
        <v>1106.9000000000001</v>
      </c>
      <c r="F1511" s="28" t="s">
        <v>16</v>
      </c>
      <c r="G1511" s="26">
        <f>ROUND(C1511*E1511,0)</f>
        <v>1107</v>
      </c>
      <c r="H1511" t="s">
        <v>3582</v>
      </c>
    </row>
    <row r="1512" spans="1:8" ht="45" x14ac:dyDescent="0.25">
      <c r="A1512" s="21" t="s">
        <v>3586</v>
      </c>
      <c r="B1512" s="25" t="s">
        <v>3588</v>
      </c>
      <c r="C1512" s="26"/>
      <c r="D1512" s="27"/>
      <c r="E1512" s="26"/>
      <c r="F1512" s="28"/>
      <c r="G1512" s="26"/>
      <c r="H1512" t="s">
        <v>3587</v>
      </c>
    </row>
    <row r="1513" spans="1:8" x14ac:dyDescent="0.25">
      <c r="A1513" s="21" t="s">
        <v>3589</v>
      </c>
      <c r="B1513" s="25" t="s">
        <v>3590</v>
      </c>
      <c r="C1513" s="26"/>
      <c r="D1513" s="27"/>
      <c r="E1513" s="26"/>
      <c r="F1513" s="28"/>
      <c r="G1513" s="26"/>
      <c r="H1513" t="s">
        <v>3590</v>
      </c>
    </row>
    <row r="1514" spans="1:8" ht="30" x14ac:dyDescent="0.25">
      <c r="A1514" s="21" t="s">
        <v>3591</v>
      </c>
      <c r="B1514" s="25" t="s">
        <v>1493</v>
      </c>
      <c r="C1514" s="26">
        <v>1</v>
      </c>
      <c r="D1514" s="27" t="s">
        <v>15</v>
      </c>
      <c r="E1514" s="26">
        <v>924.35</v>
      </c>
      <c r="F1514" s="28" t="s">
        <v>16</v>
      </c>
      <c r="G1514" s="26">
        <f>ROUND(C1514*E1514,0)</f>
        <v>924</v>
      </c>
      <c r="H1514" t="s">
        <v>1493</v>
      </c>
    </row>
    <row r="1515" spans="1:8" x14ac:dyDescent="0.25">
      <c r="A1515" s="21" t="s">
        <v>3592</v>
      </c>
      <c r="B1515" s="25" t="s">
        <v>3593</v>
      </c>
      <c r="C1515" s="26"/>
      <c r="D1515" s="27"/>
      <c r="E1515" s="26"/>
      <c r="F1515" s="28"/>
      <c r="G1515" s="26"/>
      <c r="H1515" t="s">
        <v>3593</v>
      </c>
    </row>
    <row r="1516" spans="1:8" ht="30" x14ac:dyDescent="0.25">
      <c r="A1516" s="21" t="s">
        <v>3594</v>
      </c>
      <c r="B1516" s="25" t="s">
        <v>1493</v>
      </c>
      <c r="C1516" s="26">
        <v>1</v>
      </c>
      <c r="D1516" s="27" t="s">
        <v>15</v>
      </c>
      <c r="E1516" s="26">
        <v>966.6</v>
      </c>
      <c r="F1516" s="28" t="s">
        <v>16</v>
      </c>
      <c r="G1516" s="26">
        <f>ROUND(C1516*E1516,0)</f>
        <v>967</v>
      </c>
      <c r="H1516" t="s">
        <v>1493</v>
      </c>
    </row>
    <row r="1517" spans="1:8" x14ac:dyDescent="0.25">
      <c r="A1517" s="21" t="s">
        <v>3595</v>
      </c>
      <c r="B1517" s="25" t="s">
        <v>3597</v>
      </c>
      <c r="C1517" s="26"/>
      <c r="D1517" s="27"/>
      <c r="E1517" s="26"/>
      <c r="F1517" s="28"/>
      <c r="G1517" s="26"/>
      <c r="H1517" t="s">
        <v>3596</v>
      </c>
    </row>
    <row r="1518" spans="1:8" ht="30" x14ac:dyDescent="0.25">
      <c r="A1518" s="21" t="s">
        <v>3598</v>
      </c>
      <c r="B1518" s="25" t="s">
        <v>1493</v>
      </c>
      <c r="C1518" s="26">
        <v>1</v>
      </c>
      <c r="D1518" s="27" t="s">
        <v>15</v>
      </c>
      <c r="E1518" s="26">
        <v>1121.55</v>
      </c>
      <c r="F1518" s="28" t="s">
        <v>16</v>
      </c>
      <c r="G1518" s="26">
        <f>ROUND(C1518*E1518,0)</f>
        <v>1122</v>
      </c>
      <c r="H1518" t="s">
        <v>1493</v>
      </c>
    </row>
    <row r="1519" spans="1:8" ht="75" x14ac:dyDescent="0.25">
      <c r="A1519" s="21" t="s">
        <v>3599</v>
      </c>
      <c r="B1519" s="25" t="s">
        <v>3601</v>
      </c>
      <c r="C1519" s="26"/>
      <c r="D1519" s="27"/>
      <c r="E1519" s="26"/>
      <c r="F1519" s="28"/>
      <c r="G1519" s="26"/>
      <c r="H1519" t="s">
        <v>3600</v>
      </c>
    </row>
    <row r="1520" spans="1:8" ht="30" x14ac:dyDescent="0.25">
      <c r="A1520" s="21" t="s">
        <v>3602</v>
      </c>
      <c r="B1520" s="25" t="s">
        <v>1493</v>
      </c>
      <c r="C1520" s="26">
        <v>1</v>
      </c>
      <c r="D1520" s="27" t="s">
        <v>15</v>
      </c>
      <c r="E1520" s="26">
        <v>1070.5999999999999</v>
      </c>
      <c r="F1520" s="28" t="s">
        <v>16</v>
      </c>
      <c r="G1520" s="26">
        <f>ROUND(C1520*E1520,0)</f>
        <v>1071</v>
      </c>
      <c r="H1520" t="s">
        <v>1493</v>
      </c>
    </row>
    <row r="1521" spans="1:8" ht="60" x14ac:dyDescent="0.25">
      <c r="A1521" s="21" t="s">
        <v>3603</v>
      </c>
      <c r="B1521" s="25" t="s">
        <v>3605</v>
      </c>
      <c r="C1521" s="26"/>
      <c r="D1521" s="27"/>
      <c r="E1521" s="26"/>
      <c r="F1521" s="28"/>
      <c r="G1521" s="26"/>
      <c r="H1521" t="s">
        <v>3604</v>
      </c>
    </row>
    <row r="1522" spans="1:8" ht="30" x14ac:dyDescent="0.25">
      <c r="A1522" s="21" t="s">
        <v>3606</v>
      </c>
      <c r="B1522" s="25" t="s">
        <v>3608</v>
      </c>
      <c r="C1522" s="26">
        <v>1</v>
      </c>
      <c r="D1522" s="27" t="s">
        <v>15</v>
      </c>
      <c r="E1522" s="26">
        <v>921.95</v>
      </c>
      <c r="F1522" s="28" t="s">
        <v>16</v>
      </c>
      <c r="G1522" s="26">
        <f>ROUND(C1522*E1522,0)</f>
        <v>922</v>
      </c>
      <c r="H1522" t="s">
        <v>3607</v>
      </c>
    </row>
    <row r="1523" spans="1:8" ht="30" x14ac:dyDescent="0.25">
      <c r="A1523" s="21" t="s">
        <v>3609</v>
      </c>
      <c r="B1523" s="25" t="s">
        <v>3610</v>
      </c>
      <c r="C1523" s="26">
        <v>1</v>
      </c>
      <c r="D1523" s="27" t="s">
        <v>15</v>
      </c>
      <c r="E1523" s="26">
        <v>890.65</v>
      </c>
      <c r="F1523" s="28" t="s">
        <v>16</v>
      </c>
      <c r="G1523" s="26">
        <f>ROUND(C1523*E1523,0)</f>
        <v>891</v>
      </c>
      <c r="H1523" t="s">
        <v>3610</v>
      </c>
    </row>
    <row r="1524" spans="1:8" ht="30" x14ac:dyDescent="0.25">
      <c r="A1524" s="21" t="s">
        <v>3611</v>
      </c>
      <c r="B1524" s="25" t="s">
        <v>3613</v>
      </c>
      <c r="C1524" s="26"/>
      <c r="D1524" s="27"/>
      <c r="E1524" s="26"/>
      <c r="F1524" s="28"/>
      <c r="G1524" s="26"/>
      <c r="H1524" t="s">
        <v>3612</v>
      </c>
    </row>
    <row r="1525" spans="1:8" ht="45" x14ac:dyDescent="0.25">
      <c r="A1525" s="21" t="s">
        <v>3614</v>
      </c>
      <c r="B1525" s="25" t="s">
        <v>3615</v>
      </c>
      <c r="C1525" s="26">
        <v>1</v>
      </c>
      <c r="D1525" s="27" t="s">
        <v>110</v>
      </c>
      <c r="E1525" s="26">
        <v>726.3</v>
      </c>
      <c r="F1525" s="28" t="s">
        <v>618</v>
      </c>
      <c r="G1525" s="26">
        <f>ROUND(C1525*E1525,0)</f>
        <v>726</v>
      </c>
      <c r="H1525" t="s">
        <v>3615</v>
      </c>
    </row>
    <row r="1526" spans="1:8" x14ac:dyDescent="0.25">
      <c r="A1526" s="21" t="s">
        <v>3616</v>
      </c>
      <c r="B1526" s="25" t="s">
        <v>3590</v>
      </c>
      <c r="C1526" s="26"/>
      <c r="D1526" s="27"/>
      <c r="E1526" s="26"/>
      <c r="F1526" s="28"/>
      <c r="G1526" s="26"/>
      <c r="H1526" t="s">
        <v>3590</v>
      </c>
    </row>
    <row r="1527" spans="1:8" ht="45" x14ac:dyDescent="0.25">
      <c r="A1527" s="21" t="s">
        <v>3617</v>
      </c>
      <c r="B1527" s="25" t="s">
        <v>1493</v>
      </c>
      <c r="C1527" s="26">
        <v>1</v>
      </c>
      <c r="D1527" s="27" t="s">
        <v>110</v>
      </c>
      <c r="E1527" s="26">
        <v>487</v>
      </c>
      <c r="F1527" s="28" t="s">
        <v>618</v>
      </c>
      <c r="G1527" s="26">
        <f>ROUND(C1527*E1527,0)</f>
        <v>487</v>
      </c>
      <c r="H1527" t="s">
        <v>1493</v>
      </c>
    </row>
    <row r="1528" spans="1:8" x14ac:dyDescent="0.25">
      <c r="A1528" s="21" t="s">
        <v>3618</v>
      </c>
      <c r="B1528" s="25" t="s">
        <v>3619</v>
      </c>
      <c r="C1528" s="26"/>
      <c r="D1528" s="27"/>
      <c r="E1528" s="26"/>
      <c r="F1528" s="28"/>
      <c r="G1528" s="26"/>
      <c r="H1528" t="s">
        <v>3593</v>
      </c>
    </row>
    <row r="1529" spans="1:8" ht="45" x14ac:dyDescent="0.25">
      <c r="A1529" s="21" t="s">
        <v>3620</v>
      </c>
      <c r="B1529" s="25" t="s">
        <v>1493</v>
      </c>
      <c r="C1529" s="26">
        <v>1</v>
      </c>
      <c r="D1529" s="27" t="s">
        <v>110</v>
      </c>
      <c r="E1529" s="26">
        <v>492.25</v>
      </c>
      <c r="F1529" s="28" t="s">
        <v>618</v>
      </c>
      <c r="G1529" s="26">
        <f>ROUND(C1529*E1529,0)</f>
        <v>492</v>
      </c>
      <c r="H1529" t="s">
        <v>1493</v>
      </c>
    </row>
    <row r="1530" spans="1:8" x14ac:dyDescent="0.25">
      <c r="A1530" s="21" t="s">
        <v>3621</v>
      </c>
      <c r="B1530" s="25" t="s">
        <v>3622</v>
      </c>
      <c r="C1530" s="26"/>
      <c r="D1530" s="27"/>
      <c r="E1530" s="26"/>
      <c r="F1530" s="28"/>
      <c r="G1530" s="26"/>
      <c r="H1530" t="s">
        <v>3596</v>
      </c>
    </row>
    <row r="1531" spans="1:8" ht="45" x14ac:dyDescent="0.25">
      <c r="A1531" s="21" t="s">
        <v>3623</v>
      </c>
      <c r="B1531" s="25" t="s">
        <v>1493</v>
      </c>
      <c r="C1531" s="26">
        <v>1</v>
      </c>
      <c r="D1531" s="27" t="s">
        <v>110</v>
      </c>
      <c r="E1531" s="26">
        <v>511.5</v>
      </c>
      <c r="F1531" s="28" t="s">
        <v>618</v>
      </c>
      <c r="G1531" s="26">
        <f>ROUND(C1531*E1531,0)</f>
        <v>512</v>
      </c>
      <c r="H1531" t="s">
        <v>1493</v>
      </c>
    </row>
    <row r="1532" spans="1:8" x14ac:dyDescent="0.25">
      <c r="A1532" s="21" t="s">
        <v>3624</v>
      </c>
      <c r="B1532" s="25" t="s">
        <v>3626</v>
      </c>
      <c r="C1532" s="26"/>
      <c r="D1532" s="27"/>
      <c r="E1532" s="26"/>
      <c r="F1532" s="28"/>
      <c r="G1532" s="26"/>
      <c r="H1532" t="s">
        <v>3625</v>
      </c>
    </row>
    <row r="1533" spans="1:8" ht="45" x14ac:dyDescent="0.25">
      <c r="A1533" s="21" t="s">
        <v>3627</v>
      </c>
      <c r="B1533" s="25" t="s">
        <v>3628</v>
      </c>
      <c r="C1533" s="26">
        <v>1</v>
      </c>
      <c r="D1533" s="27" t="s">
        <v>110</v>
      </c>
      <c r="E1533" s="26">
        <v>470.1</v>
      </c>
      <c r="F1533" s="28" t="s">
        <v>618</v>
      </c>
      <c r="G1533" s="26">
        <f>ROUND(C1533*E1533,0)</f>
        <v>470</v>
      </c>
      <c r="H1533" t="s">
        <v>3628</v>
      </c>
    </row>
    <row r="1534" spans="1:8" ht="45" x14ac:dyDescent="0.25">
      <c r="A1534" s="21" t="s">
        <v>3629</v>
      </c>
      <c r="B1534" s="25" t="s">
        <v>3630</v>
      </c>
      <c r="C1534" s="26">
        <v>1</v>
      </c>
      <c r="D1534" s="27" t="s">
        <v>110</v>
      </c>
      <c r="E1534" s="26">
        <v>485.7</v>
      </c>
      <c r="F1534" s="28" t="s">
        <v>618</v>
      </c>
      <c r="G1534" s="26">
        <f>ROUND(C1534*E1534,0)</f>
        <v>486</v>
      </c>
      <c r="H1534" t="s">
        <v>3630</v>
      </c>
    </row>
    <row r="1535" spans="1:8" ht="30" x14ac:dyDescent="0.25">
      <c r="A1535" s="21" t="s">
        <v>3631</v>
      </c>
      <c r="B1535" s="25" t="s">
        <v>3633</v>
      </c>
      <c r="C1535" s="26">
        <v>1</v>
      </c>
      <c r="D1535" s="27" t="s">
        <v>15</v>
      </c>
      <c r="E1535" s="26">
        <v>453.1</v>
      </c>
      <c r="F1535" s="28" t="s">
        <v>16</v>
      </c>
      <c r="G1535" s="26">
        <f>ROUND(C1535*E1535,0)</f>
        <v>453</v>
      </c>
      <c r="H1535" t="s">
        <v>3632</v>
      </c>
    </row>
    <row r="1536" spans="1:8" ht="90" x14ac:dyDescent="0.25">
      <c r="A1536" s="21" t="s">
        <v>3634</v>
      </c>
      <c r="B1536" s="25" t="s">
        <v>3636</v>
      </c>
      <c r="C1536" s="26"/>
      <c r="D1536" s="27"/>
      <c r="E1536" s="26"/>
      <c r="F1536" s="28"/>
      <c r="G1536" s="26"/>
      <c r="H1536" t="s">
        <v>3635</v>
      </c>
    </row>
    <row r="1537" spans="1:8" ht="30" x14ac:dyDescent="0.25">
      <c r="A1537" s="21" t="s">
        <v>3637</v>
      </c>
      <c r="B1537" s="25" t="s">
        <v>3639</v>
      </c>
      <c r="C1537" s="26">
        <v>1</v>
      </c>
      <c r="D1537" s="27" t="s">
        <v>15</v>
      </c>
      <c r="E1537" s="26">
        <v>1718.95</v>
      </c>
      <c r="F1537" s="28" t="s">
        <v>16</v>
      </c>
      <c r="G1537" s="26">
        <f t="shared" ref="G1537:G1542" si="38">ROUND(C1537*E1537,0)</f>
        <v>1719</v>
      </c>
      <c r="H1537" t="s">
        <v>3638</v>
      </c>
    </row>
    <row r="1538" spans="1:8" ht="30" x14ac:dyDescent="0.25">
      <c r="A1538" s="21" t="s">
        <v>3640</v>
      </c>
      <c r="B1538" s="25" t="s">
        <v>3642</v>
      </c>
      <c r="C1538" s="26">
        <v>1</v>
      </c>
      <c r="D1538" s="27" t="s">
        <v>15</v>
      </c>
      <c r="E1538" s="26">
        <v>2067.4499999999998</v>
      </c>
      <c r="F1538" s="28" t="s">
        <v>16</v>
      </c>
      <c r="G1538" s="26">
        <f t="shared" si="38"/>
        <v>2067</v>
      </c>
      <c r="H1538" t="s">
        <v>3641</v>
      </c>
    </row>
    <row r="1539" spans="1:8" ht="30" x14ac:dyDescent="0.25">
      <c r="A1539" s="21" t="s">
        <v>3643</v>
      </c>
      <c r="B1539" s="25" t="s">
        <v>3645</v>
      </c>
      <c r="C1539" s="26">
        <v>1</v>
      </c>
      <c r="D1539" s="27" t="s">
        <v>15</v>
      </c>
      <c r="E1539" s="26">
        <v>607.45000000000005</v>
      </c>
      <c r="F1539" s="28" t="s">
        <v>16</v>
      </c>
      <c r="G1539" s="26">
        <f t="shared" si="38"/>
        <v>607</v>
      </c>
      <c r="H1539" t="s">
        <v>3644</v>
      </c>
    </row>
    <row r="1540" spans="1:8" ht="45" x14ac:dyDescent="0.25">
      <c r="A1540" s="21" t="s">
        <v>3646</v>
      </c>
      <c r="B1540" s="25" t="s">
        <v>3648</v>
      </c>
      <c r="C1540" s="26">
        <v>1</v>
      </c>
      <c r="D1540" s="27" t="s">
        <v>429</v>
      </c>
      <c r="E1540" s="26">
        <v>265.7</v>
      </c>
      <c r="F1540" s="28" t="s">
        <v>3649</v>
      </c>
      <c r="G1540" s="26">
        <f t="shared" si="38"/>
        <v>266</v>
      </c>
      <c r="H1540" t="s">
        <v>3647</v>
      </c>
    </row>
    <row r="1541" spans="1:8" ht="120" x14ac:dyDescent="0.25">
      <c r="A1541" s="21" t="s">
        <v>3650</v>
      </c>
      <c r="B1541" s="25" t="s">
        <v>3652</v>
      </c>
      <c r="C1541" s="26">
        <v>1</v>
      </c>
      <c r="D1541" s="27" t="s">
        <v>15</v>
      </c>
      <c r="E1541" s="26">
        <v>703.05</v>
      </c>
      <c r="F1541" s="28" t="s">
        <v>16</v>
      </c>
      <c r="G1541" s="26">
        <f t="shared" si="38"/>
        <v>703</v>
      </c>
      <c r="H1541" t="s">
        <v>3651</v>
      </c>
    </row>
    <row r="1542" spans="1:8" ht="90" x14ac:dyDescent="0.25">
      <c r="A1542" s="21" t="s">
        <v>3653</v>
      </c>
      <c r="B1542" s="25" t="s">
        <v>3655</v>
      </c>
      <c r="C1542" s="26">
        <v>1</v>
      </c>
      <c r="D1542" s="27" t="s">
        <v>15</v>
      </c>
      <c r="E1542" s="26">
        <v>297.25</v>
      </c>
      <c r="F1542" s="28" t="s">
        <v>16</v>
      </c>
      <c r="G1542" s="26">
        <f t="shared" si="38"/>
        <v>297</v>
      </c>
      <c r="H1542" t="s">
        <v>3654</v>
      </c>
    </row>
    <row r="1543" spans="1:8" ht="60" x14ac:dyDescent="0.25">
      <c r="A1543" s="21" t="s">
        <v>3656</v>
      </c>
      <c r="B1543" s="25" t="s">
        <v>3658</v>
      </c>
      <c r="C1543" s="26"/>
      <c r="D1543" s="27"/>
      <c r="E1543" s="26"/>
      <c r="F1543" s="28"/>
      <c r="G1543" s="26"/>
      <c r="H1543" t="s">
        <v>3657</v>
      </c>
    </row>
    <row r="1544" spans="1:8" ht="30" x14ac:dyDescent="0.25">
      <c r="A1544" s="21" t="s">
        <v>3659</v>
      </c>
      <c r="B1544" s="25" t="s">
        <v>3661</v>
      </c>
      <c r="C1544" s="26">
        <v>1</v>
      </c>
      <c r="D1544" s="27" t="s">
        <v>15</v>
      </c>
      <c r="E1544" s="26">
        <v>321.75</v>
      </c>
      <c r="F1544" s="28" t="s">
        <v>16</v>
      </c>
      <c r="G1544" s="26">
        <f>ROUND(C1544*E1544,0)</f>
        <v>322</v>
      </c>
      <c r="H1544" t="s">
        <v>3660</v>
      </c>
    </row>
    <row r="1545" spans="1:8" ht="30" x14ac:dyDescent="0.25">
      <c r="A1545" s="21" t="s">
        <v>3662</v>
      </c>
      <c r="B1545" s="25" t="s">
        <v>3664</v>
      </c>
      <c r="C1545" s="26">
        <v>1</v>
      </c>
      <c r="D1545" s="27" t="s">
        <v>15</v>
      </c>
      <c r="E1545" s="26">
        <v>353.05</v>
      </c>
      <c r="F1545" s="28" t="s">
        <v>16</v>
      </c>
      <c r="G1545" s="26">
        <f>ROUND(C1545*E1545,0)</f>
        <v>353</v>
      </c>
      <c r="H1545" t="s">
        <v>3663</v>
      </c>
    </row>
    <row r="1546" spans="1:8" ht="45" x14ac:dyDescent="0.25">
      <c r="A1546" s="21" t="s">
        <v>3665</v>
      </c>
      <c r="B1546" s="25" t="s">
        <v>3667</v>
      </c>
      <c r="C1546" s="26"/>
      <c r="D1546" s="27"/>
      <c r="E1546" s="26"/>
      <c r="F1546" s="28"/>
      <c r="G1546" s="26"/>
      <c r="H1546" t="s">
        <v>3666</v>
      </c>
    </row>
    <row r="1547" spans="1:8" x14ac:dyDescent="0.25">
      <c r="A1547" s="21" t="s">
        <v>3668</v>
      </c>
      <c r="B1547" s="25" t="s">
        <v>3670</v>
      </c>
      <c r="C1547" s="26">
        <v>1</v>
      </c>
      <c r="D1547" s="27" t="s">
        <v>67</v>
      </c>
      <c r="E1547" s="26">
        <v>164.2</v>
      </c>
      <c r="F1547" s="28" t="s">
        <v>3671</v>
      </c>
      <c r="G1547" s="26">
        <f>ROUND(C1547*E1547,0)</f>
        <v>164</v>
      </c>
      <c r="H1547" t="s">
        <v>3669</v>
      </c>
    </row>
    <row r="1548" spans="1:8" ht="105" x14ac:dyDescent="0.25">
      <c r="A1548" s="21" t="s">
        <v>3672</v>
      </c>
      <c r="B1548" s="25" t="s">
        <v>3674</v>
      </c>
      <c r="C1548" s="26"/>
      <c r="D1548" s="27"/>
      <c r="E1548" s="26"/>
      <c r="F1548" s="28"/>
      <c r="G1548" s="26"/>
      <c r="H1548" t="s">
        <v>3673</v>
      </c>
    </row>
    <row r="1549" spans="1:8" x14ac:dyDescent="0.25">
      <c r="A1549" s="21" t="s">
        <v>3675</v>
      </c>
      <c r="B1549" s="25" t="s">
        <v>3677</v>
      </c>
      <c r="C1549" s="26">
        <v>1</v>
      </c>
      <c r="D1549" s="27" t="s">
        <v>67</v>
      </c>
      <c r="E1549" s="26">
        <v>362.85</v>
      </c>
      <c r="F1549" s="28" t="s">
        <v>3671</v>
      </c>
      <c r="G1549" s="26">
        <f>ROUND(C1549*E1549,0)</f>
        <v>363</v>
      </c>
      <c r="H1549" t="s">
        <v>3676</v>
      </c>
    </row>
    <row r="1550" spans="1:8" x14ac:dyDescent="0.25">
      <c r="A1550" s="21" t="s">
        <v>3678</v>
      </c>
      <c r="B1550" s="25" t="s">
        <v>3680</v>
      </c>
      <c r="C1550" s="26">
        <v>1</v>
      </c>
      <c r="D1550" s="27" t="s">
        <v>67</v>
      </c>
      <c r="E1550" s="26">
        <v>395.6</v>
      </c>
      <c r="F1550" s="28" t="s">
        <v>3671</v>
      </c>
      <c r="G1550" s="26">
        <f>ROUND(C1550*E1550,0)</f>
        <v>396</v>
      </c>
      <c r="H1550" t="s">
        <v>3679</v>
      </c>
    </row>
    <row r="1551" spans="1:8" ht="30" x14ac:dyDescent="0.25">
      <c r="A1551" s="21" t="s">
        <v>3681</v>
      </c>
      <c r="B1551" s="25" t="s">
        <v>3683</v>
      </c>
      <c r="C1551" s="26"/>
      <c r="D1551" s="27"/>
      <c r="E1551" s="26"/>
      <c r="F1551" s="28"/>
      <c r="G1551" s="26"/>
      <c r="H1551" t="s">
        <v>3682</v>
      </c>
    </row>
    <row r="1552" spans="1:8" x14ac:dyDescent="0.25">
      <c r="A1552" s="21" t="s">
        <v>3684</v>
      </c>
      <c r="B1552" s="25" t="s">
        <v>3686</v>
      </c>
      <c r="C1552" s="26">
        <v>1</v>
      </c>
      <c r="D1552" s="27" t="s">
        <v>67</v>
      </c>
      <c r="E1552" s="26">
        <v>580.5</v>
      </c>
      <c r="F1552" s="28" t="s">
        <v>3671</v>
      </c>
      <c r="G1552" s="26">
        <f>ROUND(C1552*E1552,0)</f>
        <v>581</v>
      </c>
      <c r="H1552" t="s">
        <v>3685</v>
      </c>
    </row>
    <row r="1553" spans="1:8" x14ac:dyDescent="0.25">
      <c r="A1553" s="21" t="s">
        <v>3687</v>
      </c>
      <c r="B1553" s="25" t="s">
        <v>3689</v>
      </c>
      <c r="C1553" s="26">
        <v>1</v>
      </c>
      <c r="D1553" s="27" t="s">
        <v>67</v>
      </c>
      <c r="E1553" s="26">
        <v>798</v>
      </c>
      <c r="F1553" s="28" t="s">
        <v>3671</v>
      </c>
      <c r="G1553" s="26">
        <f>ROUND(C1553*E1553,0)</f>
        <v>798</v>
      </c>
      <c r="H1553" t="s">
        <v>3688</v>
      </c>
    </row>
    <row r="1554" spans="1:8" ht="75" x14ac:dyDescent="0.25">
      <c r="A1554" s="21" t="s">
        <v>3690</v>
      </c>
      <c r="B1554" s="25" t="s">
        <v>3692</v>
      </c>
      <c r="C1554" s="26"/>
      <c r="D1554" s="27"/>
      <c r="E1554" s="26"/>
      <c r="F1554" s="28"/>
      <c r="G1554" s="26"/>
      <c r="H1554" t="s">
        <v>3691</v>
      </c>
    </row>
    <row r="1555" spans="1:8" x14ac:dyDescent="0.25">
      <c r="A1555" s="21" t="s">
        <v>3693</v>
      </c>
      <c r="B1555" s="25" t="s">
        <v>3694</v>
      </c>
      <c r="C1555" s="26"/>
      <c r="D1555" s="27"/>
      <c r="E1555" s="26"/>
      <c r="F1555" s="28"/>
      <c r="G1555" s="26"/>
      <c r="H1555" t="s">
        <v>3694</v>
      </c>
    </row>
    <row r="1556" spans="1:8" x14ac:dyDescent="0.25">
      <c r="A1556" s="21" t="s">
        <v>3695</v>
      </c>
      <c r="B1556" s="25" t="s">
        <v>3680</v>
      </c>
      <c r="C1556" s="26">
        <v>1</v>
      </c>
      <c r="D1556" s="27" t="s">
        <v>67</v>
      </c>
      <c r="E1556" s="26">
        <v>511.9</v>
      </c>
      <c r="F1556" s="28" t="s">
        <v>3671</v>
      </c>
      <c r="G1556" s="26">
        <f>ROUND(C1556*E1556,0)</f>
        <v>512</v>
      </c>
      <c r="H1556" t="s">
        <v>3680</v>
      </c>
    </row>
    <row r="1557" spans="1:8" ht="75" x14ac:dyDescent="0.25">
      <c r="A1557" s="21" t="s">
        <v>3696</v>
      </c>
      <c r="B1557" s="25" t="s">
        <v>3698</v>
      </c>
      <c r="C1557" s="26"/>
      <c r="D1557" s="27"/>
      <c r="E1557" s="26"/>
      <c r="F1557" s="28"/>
      <c r="G1557" s="26"/>
      <c r="H1557" t="s">
        <v>3697</v>
      </c>
    </row>
    <row r="1558" spans="1:8" x14ac:dyDescent="0.25">
      <c r="A1558" s="21"/>
      <c r="B1558" s="25" t="s">
        <v>3699</v>
      </c>
      <c r="C1558" s="26"/>
      <c r="D1558" s="27"/>
      <c r="E1558" s="26"/>
      <c r="F1558" s="28"/>
      <c r="G1558" s="26"/>
    </row>
    <row r="1559" spans="1:8" ht="45" x14ac:dyDescent="0.25">
      <c r="A1559" s="21" t="s">
        <v>3700</v>
      </c>
      <c r="B1559" s="25" t="s">
        <v>3702</v>
      </c>
      <c r="C1559" s="26">
        <v>1</v>
      </c>
      <c r="D1559" s="27" t="s">
        <v>110</v>
      </c>
      <c r="E1559" s="26">
        <v>248.8</v>
      </c>
      <c r="F1559" s="28" t="s">
        <v>618</v>
      </c>
      <c r="G1559" s="26">
        <f>ROUND(C1559*E1559,0)</f>
        <v>249</v>
      </c>
      <c r="H1559" t="s">
        <v>3701</v>
      </c>
    </row>
    <row r="1560" spans="1:8" ht="45" x14ac:dyDescent="0.25">
      <c r="A1560" s="21" t="s">
        <v>3703</v>
      </c>
      <c r="B1560" s="25" t="s">
        <v>3705</v>
      </c>
      <c r="C1560" s="26">
        <v>1</v>
      </c>
      <c r="D1560" s="27" t="s">
        <v>110</v>
      </c>
      <c r="E1560" s="26">
        <v>377.4</v>
      </c>
      <c r="F1560" s="28" t="s">
        <v>618</v>
      </c>
      <c r="G1560" s="26">
        <f>ROUND(C1560*E1560,0)</f>
        <v>377</v>
      </c>
      <c r="H1560" t="s">
        <v>3704</v>
      </c>
    </row>
    <row r="1561" spans="1:8" ht="90" x14ac:dyDescent="0.25">
      <c r="A1561" s="21" t="s">
        <v>3706</v>
      </c>
      <c r="B1561" s="25" t="s">
        <v>3708</v>
      </c>
      <c r="C1561" s="26"/>
      <c r="D1561" s="27"/>
      <c r="E1561" s="26"/>
      <c r="F1561" s="28"/>
      <c r="G1561" s="26"/>
      <c r="H1561" t="s">
        <v>3707</v>
      </c>
    </row>
    <row r="1562" spans="1:8" x14ac:dyDescent="0.25">
      <c r="A1562" s="21" t="s">
        <v>3709</v>
      </c>
      <c r="B1562" s="25" t="s">
        <v>3711</v>
      </c>
      <c r="C1562" s="26"/>
      <c r="D1562" s="27"/>
      <c r="E1562" s="26"/>
      <c r="F1562" s="28"/>
      <c r="G1562" s="26"/>
      <c r="H1562" t="s">
        <v>3710</v>
      </c>
    </row>
    <row r="1563" spans="1:8" x14ac:dyDescent="0.25">
      <c r="A1563" s="21" t="s">
        <v>3712</v>
      </c>
      <c r="B1563" s="25" t="s">
        <v>2824</v>
      </c>
      <c r="C1563" s="26">
        <v>1</v>
      </c>
      <c r="D1563" s="27" t="s">
        <v>67</v>
      </c>
      <c r="E1563" s="26">
        <v>91.7</v>
      </c>
      <c r="F1563" s="28" t="s">
        <v>3671</v>
      </c>
      <c r="G1563" s="26">
        <f>ROUND(C1563*E1563,0)</f>
        <v>92</v>
      </c>
      <c r="H1563" t="s">
        <v>2143</v>
      </c>
    </row>
    <row r="1564" spans="1:8" x14ac:dyDescent="0.25">
      <c r="A1564" s="21" t="s">
        <v>3713</v>
      </c>
      <c r="B1564" s="25" t="s">
        <v>3715</v>
      </c>
      <c r="C1564" s="26">
        <v>1</v>
      </c>
      <c r="D1564" s="27" t="s">
        <v>67</v>
      </c>
      <c r="E1564" s="26">
        <v>136.15</v>
      </c>
      <c r="F1564" s="28" t="s">
        <v>3671</v>
      </c>
      <c r="G1564" s="26">
        <f>ROUND(C1564*E1564,0)</f>
        <v>136</v>
      </c>
      <c r="H1564" t="s">
        <v>3714</v>
      </c>
    </row>
    <row r="1565" spans="1:8" x14ac:dyDescent="0.25">
      <c r="A1565" s="21" t="s">
        <v>3716</v>
      </c>
      <c r="B1565" s="25" t="s">
        <v>3718</v>
      </c>
      <c r="C1565" s="26"/>
      <c r="D1565" s="27"/>
      <c r="E1565" s="26"/>
      <c r="F1565" s="28"/>
      <c r="G1565" s="26"/>
      <c r="H1565" t="s">
        <v>3717</v>
      </c>
    </row>
    <row r="1566" spans="1:8" x14ac:dyDescent="0.25">
      <c r="A1566" s="21" t="s">
        <v>3719</v>
      </c>
      <c r="B1566" s="25" t="s">
        <v>2824</v>
      </c>
      <c r="C1566" s="26">
        <v>1</v>
      </c>
      <c r="D1566" s="27" t="s">
        <v>67</v>
      </c>
      <c r="E1566" s="26">
        <v>93.1</v>
      </c>
      <c r="F1566" s="28" t="s">
        <v>3671</v>
      </c>
      <c r="G1566" s="26">
        <f>ROUND(C1566*E1566,0)</f>
        <v>93</v>
      </c>
      <c r="H1566" t="s">
        <v>2143</v>
      </c>
    </row>
    <row r="1567" spans="1:8" x14ac:dyDescent="0.25">
      <c r="A1567" s="21" t="s">
        <v>3720</v>
      </c>
      <c r="B1567" s="25" t="s">
        <v>3715</v>
      </c>
      <c r="C1567" s="26">
        <v>1</v>
      </c>
      <c r="D1567" s="27" t="s">
        <v>67</v>
      </c>
      <c r="E1567" s="26">
        <v>127.6</v>
      </c>
      <c r="F1567" s="28" t="s">
        <v>3671</v>
      </c>
      <c r="G1567" s="26">
        <f>ROUND(C1567*E1567,0)</f>
        <v>128</v>
      </c>
      <c r="H1567" t="s">
        <v>3714</v>
      </c>
    </row>
    <row r="1568" spans="1:8" x14ac:dyDescent="0.25">
      <c r="A1568" s="21" t="s">
        <v>3721</v>
      </c>
      <c r="B1568" s="25" t="s">
        <v>3723</v>
      </c>
      <c r="C1568" s="26"/>
      <c r="D1568" s="27"/>
      <c r="E1568" s="26"/>
      <c r="F1568" s="28"/>
      <c r="G1568" s="26"/>
      <c r="H1568" t="s">
        <v>3722</v>
      </c>
    </row>
    <row r="1569" spans="1:8" x14ac:dyDescent="0.25">
      <c r="A1569" s="21" t="s">
        <v>3724</v>
      </c>
      <c r="B1569" s="25" t="s">
        <v>3726</v>
      </c>
      <c r="C1569" s="26">
        <v>1</v>
      </c>
      <c r="D1569" s="27" t="s">
        <v>67</v>
      </c>
      <c r="E1569" s="26">
        <v>164.2</v>
      </c>
      <c r="F1569" s="28" t="s">
        <v>3671</v>
      </c>
      <c r="G1569" s="26">
        <f>ROUND(C1569*E1569,0)</f>
        <v>164</v>
      </c>
      <c r="H1569" t="s">
        <v>3725</v>
      </c>
    </row>
    <row r="1570" spans="1:8" x14ac:dyDescent="0.25">
      <c r="A1570" s="21" t="s">
        <v>3727</v>
      </c>
      <c r="B1570" s="25" t="s">
        <v>3729</v>
      </c>
      <c r="C1570" s="26">
        <v>1</v>
      </c>
      <c r="D1570" s="27" t="s">
        <v>67</v>
      </c>
      <c r="E1570" s="26">
        <v>234.15</v>
      </c>
      <c r="F1570" s="28" t="s">
        <v>3671</v>
      </c>
      <c r="G1570" s="26">
        <f>ROUND(C1570*E1570,0)</f>
        <v>234</v>
      </c>
      <c r="H1570" t="s">
        <v>3728</v>
      </c>
    </row>
    <row r="1571" spans="1:8" x14ac:dyDescent="0.25">
      <c r="A1571" s="21" t="s">
        <v>3730</v>
      </c>
      <c r="B1571" s="25" t="s">
        <v>3732</v>
      </c>
      <c r="C1571" s="26"/>
      <c r="D1571" s="27"/>
      <c r="E1571" s="26"/>
      <c r="F1571" s="28"/>
      <c r="G1571" s="26"/>
      <c r="H1571" t="s">
        <v>3731</v>
      </c>
    </row>
    <row r="1572" spans="1:8" x14ac:dyDescent="0.25">
      <c r="A1572" s="21" t="s">
        <v>3733</v>
      </c>
      <c r="B1572" s="25" t="s">
        <v>3726</v>
      </c>
      <c r="C1572" s="26">
        <v>1</v>
      </c>
      <c r="D1572" s="27" t="s">
        <v>67</v>
      </c>
      <c r="E1572" s="26">
        <v>144.30000000000001</v>
      </c>
      <c r="F1572" s="28" t="s">
        <v>3671</v>
      </c>
      <c r="G1572" s="26">
        <f>ROUND(C1572*E1572,0)</f>
        <v>144</v>
      </c>
      <c r="H1572" t="s">
        <v>3725</v>
      </c>
    </row>
    <row r="1573" spans="1:8" x14ac:dyDescent="0.25">
      <c r="A1573" s="21" t="s">
        <v>3734</v>
      </c>
      <c r="B1573" s="25" t="s">
        <v>3729</v>
      </c>
      <c r="C1573" s="26">
        <v>1</v>
      </c>
      <c r="D1573" s="27" t="s">
        <v>67</v>
      </c>
      <c r="E1573" s="26">
        <v>221.35</v>
      </c>
      <c r="F1573" s="28" t="s">
        <v>3671</v>
      </c>
      <c r="G1573" s="26">
        <f>ROUND(C1573*E1573,0)</f>
        <v>221</v>
      </c>
      <c r="H1573" t="s">
        <v>3728</v>
      </c>
    </row>
    <row r="1574" spans="1:8" x14ac:dyDescent="0.25">
      <c r="A1574" s="21" t="s">
        <v>3735</v>
      </c>
      <c r="B1574" s="25" t="s">
        <v>3737</v>
      </c>
      <c r="C1574" s="26"/>
      <c r="D1574" s="27"/>
      <c r="E1574" s="26"/>
      <c r="F1574" s="28"/>
      <c r="G1574" s="26"/>
      <c r="H1574" t="s">
        <v>3736</v>
      </c>
    </row>
    <row r="1575" spans="1:8" x14ac:dyDescent="0.25">
      <c r="A1575" s="21" t="s">
        <v>3738</v>
      </c>
      <c r="B1575" s="25" t="s">
        <v>3740</v>
      </c>
      <c r="C1575" s="26">
        <v>1</v>
      </c>
      <c r="D1575" s="27" t="s">
        <v>67</v>
      </c>
      <c r="E1575" s="26">
        <v>105.9</v>
      </c>
      <c r="F1575" s="28" t="s">
        <v>3671</v>
      </c>
      <c r="G1575" s="26">
        <f>ROUND(C1575*E1575,0)</f>
        <v>106</v>
      </c>
      <c r="H1575" t="s">
        <v>3739</v>
      </c>
    </row>
    <row r="1576" spans="1:8" x14ac:dyDescent="0.25">
      <c r="A1576" s="21" t="s">
        <v>3741</v>
      </c>
      <c r="B1576" s="25" t="s">
        <v>3743</v>
      </c>
      <c r="C1576" s="26">
        <v>1</v>
      </c>
      <c r="D1576" s="27" t="s">
        <v>67</v>
      </c>
      <c r="E1576" s="26">
        <v>150.35</v>
      </c>
      <c r="F1576" s="28" t="s">
        <v>3671</v>
      </c>
      <c r="G1576" s="26">
        <f>ROUND(C1576*E1576,0)</f>
        <v>150</v>
      </c>
      <c r="H1576" t="s">
        <v>3742</v>
      </c>
    </row>
    <row r="1577" spans="1:8" x14ac:dyDescent="0.25">
      <c r="A1577" s="21" t="s">
        <v>3744</v>
      </c>
      <c r="B1577" s="25" t="s">
        <v>3746</v>
      </c>
      <c r="C1577" s="26"/>
      <c r="D1577" s="27"/>
      <c r="E1577" s="26"/>
      <c r="F1577" s="28"/>
      <c r="G1577" s="26"/>
      <c r="H1577" t="s">
        <v>3745</v>
      </c>
    </row>
    <row r="1578" spans="1:8" x14ac:dyDescent="0.25">
      <c r="A1578" s="21" t="s">
        <v>3747</v>
      </c>
      <c r="B1578" s="25" t="s">
        <v>3748</v>
      </c>
      <c r="C1578" s="26">
        <v>1</v>
      </c>
      <c r="D1578" s="27" t="s">
        <v>67</v>
      </c>
      <c r="E1578" s="26">
        <v>93.1</v>
      </c>
      <c r="F1578" s="28" t="s">
        <v>3671</v>
      </c>
      <c r="G1578" s="26">
        <f>ROUND(C1578*E1578,0)</f>
        <v>93</v>
      </c>
      <c r="H1578" t="s">
        <v>3748</v>
      </c>
    </row>
    <row r="1579" spans="1:8" x14ac:dyDescent="0.25">
      <c r="A1579" s="21" t="s">
        <v>3749</v>
      </c>
      <c r="B1579" s="25" t="s">
        <v>3751</v>
      </c>
      <c r="C1579" s="26">
        <v>1</v>
      </c>
      <c r="D1579" s="27" t="s">
        <v>67</v>
      </c>
      <c r="E1579" s="26">
        <v>131.85</v>
      </c>
      <c r="F1579" s="28" t="s">
        <v>3671</v>
      </c>
      <c r="G1579" s="26">
        <f>ROUND(C1579*E1579,0)</f>
        <v>132</v>
      </c>
      <c r="H1579" t="s">
        <v>3750</v>
      </c>
    </row>
    <row r="1580" spans="1:8" ht="105" x14ac:dyDescent="0.25">
      <c r="A1580" s="21" t="s">
        <v>3752</v>
      </c>
      <c r="B1580" s="25" t="s">
        <v>3754</v>
      </c>
      <c r="C1580" s="26"/>
      <c r="D1580" s="27"/>
      <c r="E1580" s="26"/>
      <c r="F1580" s="28"/>
      <c r="G1580" s="26"/>
      <c r="H1580" t="s">
        <v>3753</v>
      </c>
    </row>
    <row r="1581" spans="1:8" x14ac:dyDescent="0.25">
      <c r="A1581" s="21" t="s">
        <v>3755</v>
      </c>
      <c r="B1581" s="25" t="s">
        <v>2011</v>
      </c>
      <c r="C1581" s="26">
        <v>1</v>
      </c>
      <c r="D1581" s="27" t="s">
        <v>67</v>
      </c>
      <c r="E1581" s="26">
        <v>369.85</v>
      </c>
      <c r="F1581" s="28" t="s">
        <v>3671</v>
      </c>
      <c r="G1581" s="26">
        <f>ROUND(C1581*E1581,0)</f>
        <v>370</v>
      </c>
      <c r="H1581" t="s">
        <v>3756</v>
      </c>
    </row>
    <row r="1582" spans="1:8" x14ac:dyDescent="0.25">
      <c r="A1582" s="21" t="s">
        <v>3757</v>
      </c>
      <c r="B1582" s="25" t="s">
        <v>3759</v>
      </c>
      <c r="C1582" s="26">
        <v>1</v>
      </c>
      <c r="D1582" s="27" t="s">
        <v>67</v>
      </c>
      <c r="E1582" s="26">
        <v>371.3</v>
      </c>
      <c r="F1582" s="28" t="s">
        <v>3671</v>
      </c>
      <c r="G1582" s="26">
        <f>ROUND(C1582*E1582,0)</f>
        <v>371</v>
      </c>
      <c r="H1582" t="s">
        <v>3758</v>
      </c>
    </row>
    <row r="1583" spans="1:8" ht="45" x14ac:dyDescent="0.25">
      <c r="A1583" s="21" t="s">
        <v>3760</v>
      </c>
      <c r="B1583" s="25" t="s">
        <v>3762</v>
      </c>
      <c r="C1583" s="26">
        <v>1</v>
      </c>
      <c r="D1583" s="27" t="s">
        <v>67</v>
      </c>
      <c r="E1583" s="26">
        <v>54.7</v>
      </c>
      <c r="F1583" s="28" t="s">
        <v>3671</v>
      </c>
      <c r="G1583" s="26">
        <f>ROUND(C1583*E1583,0)</f>
        <v>55</v>
      </c>
      <c r="H1583" t="s">
        <v>3761</v>
      </c>
    </row>
    <row r="1584" spans="1:8" ht="285" x14ac:dyDescent="0.25">
      <c r="A1584" s="21" t="s">
        <v>3763</v>
      </c>
      <c r="B1584" s="25" t="s">
        <v>3765</v>
      </c>
      <c r="C1584" s="26"/>
      <c r="D1584" s="27"/>
      <c r="E1584" s="26"/>
      <c r="F1584" s="28"/>
      <c r="G1584" s="26"/>
      <c r="H1584" t="s">
        <v>3764</v>
      </c>
    </row>
    <row r="1585" spans="1:8" ht="375" x14ac:dyDescent="0.25">
      <c r="A1585" s="21"/>
      <c r="B1585" s="25" t="s">
        <v>3766</v>
      </c>
      <c r="C1585" s="26"/>
      <c r="D1585" s="27"/>
      <c r="E1585" s="26"/>
      <c r="F1585" s="28"/>
      <c r="G1585" s="26"/>
    </row>
    <row r="1586" spans="1:8" ht="45" x14ac:dyDescent="0.25">
      <c r="A1586" s="21" t="s">
        <v>3767</v>
      </c>
      <c r="B1586" s="25" t="s">
        <v>3769</v>
      </c>
      <c r="C1586" s="26">
        <v>1</v>
      </c>
      <c r="D1586" s="27" t="s">
        <v>15</v>
      </c>
      <c r="E1586" s="26">
        <v>1355.8</v>
      </c>
      <c r="F1586" s="28" t="s">
        <v>16</v>
      </c>
      <c r="G1586" s="26">
        <f>ROUND(C1586*E1586,0)</f>
        <v>1356</v>
      </c>
      <c r="H1586" t="s">
        <v>3768</v>
      </c>
    </row>
    <row r="1587" spans="1:8" ht="45" x14ac:dyDescent="0.25">
      <c r="A1587" s="21" t="s">
        <v>3770</v>
      </c>
      <c r="B1587" s="25" t="s">
        <v>3772</v>
      </c>
      <c r="C1587" s="26">
        <v>1</v>
      </c>
      <c r="D1587" s="27" t="s">
        <v>15</v>
      </c>
      <c r="E1587" s="26">
        <v>1520.1</v>
      </c>
      <c r="F1587" s="28" t="s">
        <v>16</v>
      </c>
      <c r="G1587" s="26">
        <f>ROUND(C1587*E1587,0)</f>
        <v>1520</v>
      </c>
      <c r="H1587" t="s">
        <v>3771</v>
      </c>
    </row>
    <row r="1588" spans="1:8" ht="30" x14ac:dyDescent="0.25">
      <c r="A1588" s="21" t="s">
        <v>3773</v>
      </c>
      <c r="B1588" s="25" t="s">
        <v>3774</v>
      </c>
      <c r="C1588" s="26">
        <v>1</v>
      </c>
      <c r="D1588" s="27" t="s">
        <v>15</v>
      </c>
      <c r="E1588" s="26">
        <v>1529.1</v>
      </c>
      <c r="F1588" s="28" t="s">
        <v>16</v>
      </c>
      <c r="G1588" s="26">
        <f>ROUND(C1588*E1588,0)</f>
        <v>1529</v>
      </c>
      <c r="H1588" t="s">
        <v>3774</v>
      </c>
    </row>
    <row r="1589" spans="1:8" ht="105" x14ac:dyDescent="0.25">
      <c r="A1589" s="21" t="s">
        <v>3775</v>
      </c>
      <c r="B1589" s="25" t="s">
        <v>3777</v>
      </c>
      <c r="C1589" s="26">
        <v>1</v>
      </c>
      <c r="D1589" s="27" t="s">
        <v>15</v>
      </c>
      <c r="E1589" s="26">
        <v>1744.15</v>
      </c>
      <c r="F1589" s="28" t="s">
        <v>16</v>
      </c>
      <c r="G1589" s="26">
        <f>ROUND(C1589*E1589,0)</f>
        <v>1744</v>
      </c>
      <c r="H1589" t="s">
        <v>3776</v>
      </c>
    </row>
    <row r="1590" spans="1:8" ht="60" x14ac:dyDescent="0.25">
      <c r="A1590" s="21" t="s">
        <v>3778</v>
      </c>
      <c r="B1590" s="25" t="s">
        <v>3780</v>
      </c>
      <c r="C1590" s="26">
        <v>1</v>
      </c>
      <c r="D1590" s="27" t="s">
        <v>201</v>
      </c>
      <c r="E1590" s="26">
        <v>84.55</v>
      </c>
      <c r="F1590" s="28" t="s">
        <v>202</v>
      </c>
      <c r="G1590" s="26">
        <f>ROUND(C1590*E1590,0)</f>
        <v>85</v>
      </c>
      <c r="H1590" t="s">
        <v>3779</v>
      </c>
    </row>
    <row r="1591" spans="1:8" ht="210" x14ac:dyDescent="0.25">
      <c r="A1591" s="21" t="s">
        <v>3781</v>
      </c>
      <c r="B1591" s="25" t="s">
        <v>3783</v>
      </c>
      <c r="C1591" s="26"/>
      <c r="D1591" s="27"/>
      <c r="E1591" s="26"/>
      <c r="F1591" s="28"/>
      <c r="G1591" s="26"/>
      <c r="H1591" t="s">
        <v>3782</v>
      </c>
    </row>
    <row r="1592" spans="1:8" ht="30" x14ac:dyDescent="0.25">
      <c r="A1592" s="21" t="s">
        <v>3784</v>
      </c>
      <c r="B1592" s="25" t="s">
        <v>3786</v>
      </c>
      <c r="C1592" s="26">
        <v>1</v>
      </c>
      <c r="D1592" s="27" t="s">
        <v>15</v>
      </c>
      <c r="E1592" s="26">
        <v>1401.35</v>
      </c>
      <c r="F1592" s="28" t="s">
        <v>16</v>
      </c>
      <c r="G1592" s="26">
        <f>ROUND(C1592*E1592,0)</f>
        <v>1401</v>
      </c>
      <c r="H1592" t="s">
        <v>3785</v>
      </c>
    </row>
    <row r="1593" spans="1:8" ht="30" x14ac:dyDescent="0.25">
      <c r="A1593" s="21" t="s">
        <v>3787</v>
      </c>
      <c r="B1593" s="25" t="s">
        <v>3789</v>
      </c>
      <c r="C1593" s="26">
        <v>1</v>
      </c>
      <c r="D1593" s="27" t="s">
        <v>15</v>
      </c>
      <c r="E1593" s="26">
        <v>1245.6500000000001</v>
      </c>
      <c r="F1593" s="28" t="s">
        <v>16</v>
      </c>
      <c r="G1593" s="26">
        <f>ROUND(C1593*E1593,0)</f>
        <v>1246</v>
      </c>
      <c r="H1593" t="s">
        <v>3788</v>
      </c>
    </row>
    <row r="1594" spans="1:8" ht="75" x14ac:dyDescent="0.25">
      <c r="A1594" s="21" t="s">
        <v>3790</v>
      </c>
      <c r="B1594" s="25" t="s">
        <v>3792</v>
      </c>
      <c r="C1594" s="26">
        <v>1</v>
      </c>
      <c r="D1594" s="27" t="s">
        <v>15</v>
      </c>
      <c r="E1594" s="26">
        <v>433.45</v>
      </c>
      <c r="F1594" s="28" t="s">
        <v>16</v>
      </c>
      <c r="G1594" s="26">
        <f>ROUND(C1594*E1594,0)</f>
        <v>433</v>
      </c>
      <c r="H1594" t="s">
        <v>3791</v>
      </c>
    </row>
    <row r="1595" spans="1:8" ht="60" x14ac:dyDescent="0.25">
      <c r="A1595" s="21" t="s">
        <v>3793</v>
      </c>
      <c r="B1595" s="25" t="s">
        <v>3795</v>
      </c>
      <c r="C1595" s="26">
        <v>1</v>
      </c>
      <c r="D1595" s="27" t="s">
        <v>15</v>
      </c>
      <c r="E1595" s="26">
        <v>96.9</v>
      </c>
      <c r="F1595" s="28" t="s">
        <v>16</v>
      </c>
      <c r="G1595" s="26">
        <f>ROUND(C1595*E1595,0)</f>
        <v>97</v>
      </c>
      <c r="H1595" t="s">
        <v>3794</v>
      </c>
    </row>
    <row r="1596" spans="1:8" ht="300" x14ac:dyDescent="0.25">
      <c r="A1596" s="21" t="s">
        <v>3796</v>
      </c>
      <c r="B1596" s="25" t="s">
        <v>3798</v>
      </c>
      <c r="C1596" s="26">
        <v>1</v>
      </c>
      <c r="D1596" s="27" t="s">
        <v>15</v>
      </c>
      <c r="E1596" s="26">
        <v>738.65</v>
      </c>
      <c r="F1596" s="28" t="s">
        <v>16</v>
      </c>
      <c r="G1596" s="26">
        <f>ROUND(C1596*E1596,0)</f>
        <v>739</v>
      </c>
      <c r="H1596" t="s">
        <v>3797</v>
      </c>
    </row>
    <row r="1597" spans="1:8" ht="135" x14ac:dyDescent="0.25">
      <c r="A1597" s="21" t="s">
        <v>3799</v>
      </c>
      <c r="B1597" s="25" t="s">
        <v>3801</v>
      </c>
      <c r="C1597" s="26"/>
      <c r="D1597" s="27"/>
      <c r="E1597" s="26"/>
      <c r="F1597" s="28"/>
      <c r="G1597" s="26"/>
      <c r="H1597" t="s">
        <v>3800</v>
      </c>
    </row>
    <row r="1598" spans="1:8" x14ac:dyDescent="0.25">
      <c r="A1598" s="21" t="s">
        <v>3802</v>
      </c>
      <c r="B1598" s="25" t="s">
        <v>3803</v>
      </c>
      <c r="C1598" s="26">
        <v>1</v>
      </c>
      <c r="D1598" s="27" t="s">
        <v>110</v>
      </c>
      <c r="E1598" s="26">
        <v>532.35</v>
      </c>
      <c r="F1598" s="28" t="s">
        <v>68</v>
      </c>
      <c r="G1598" s="26">
        <f t="shared" ref="G1598:G1603" si="39">ROUND(C1598*E1598,0)</f>
        <v>532</v>
      </c>
      <c r="H1598" t="s">
        <v>3803</v>
      </c>
    </row>
    <row r="1599" spans="1:8" x14ac:dyDescent="0.25">
      <c r="A1599" s="21" t="s">
        <v>3804</v>
      </c>
      <c r="B1599" s="25" t="s">
        <v>3805</v>
      </c>
      <c r="C1599" s="26">
        <v>1</v>
      </c>
      <c r="D1599" s="27" t="s">
        <v>110</v>
      </c>
      <c r="E1599" s="26">
        <v>485.6</v>
      </c>
      <c r="F1599" s="28" t="s">
        <v>68</v>
      </c>
      <c r="G1599" s="26">
        <f t="shared" si="39"/>
        <v>486</v>
      </c>
      <c r="H1599" t="s">
        <v>3805</v>
      </c>
    </row>
    <row r="1600" spans="1:8" x14ac:dyDescent="0.25">
      <c r="A1600" s="21" t="s">
        <v>3806</v>
      </c>
      <c r="B1600" s="25" t="s">
        <v>3516</v>
      </c>
      <c r="C1600" s="26">
        <v>1</v>
      </c>
      <c r="D1600" s="27" t="s">
        <v>110</v>
      </c>
      <c r="E1600" s="26">
        <v>546.1</v>
      </c>
      <c r="F1600" s="28" t="s">
        <v>68</v>
      </c>
      <c r="G1600" s="26">
        <f t="shared" si="39"/>
        <v>546</v>
      </c>
      <c r="H1600" t="s">
        <v>3516</v>
      </c>
    </row>
    <row r="1601" spans="1:8" x14ac:dyDescent="0.25">
      <c r="A1601" s="21" t="s">
        <v>3807</v>
      </c>
      <c r="B1601" s="25" t="s">
        <v>3808</v>
      </c>
      <c r="C1601" s="26">
        <v>1</v>
      </c>
      <c r="D1601" s="27" t="s">
        <v>110</v>
      </c>
      <c r="E1601" s="26">
        <v>451.5</v>
      </c>
      <c r="F1601" s="28" t="s">
        <v>68</v>
      </c>
      <c r="G1601" s="26">
        <f t="shared" si="39"/>
        <v>452</v>
      </c>
      <c r="H1601" t="s">
        <v>3808</v>
      </c>
    </row>
    <row r="1602" spans="1:8" x14ac:dyDescent="0.25">
      <c r="A1602" s="21" t="s">
        <v>3809</v>
      </c>
      <c r="B1602" s="25" t="s">
        <v>3810</v>
      </c>
      <c r="C1602" s="26">
        <v>1</v>
      </c>
      <c r="D1602" s="27" t="s">
        <v>110</v>
      </c>
      <c r="E1602" s="26">
        <v>496.75</v>
      </c>
      <c r="F1602" s="28" t="s">
        <v>68</v>
      </c>
      <c r="G1602" s="26">
        <f t="shared" si="39"/>
        <v>497</v>
      </c>
      <c r="H1602" t="s">
        <v>3810</v>
      </c>
    </row>
    <row r="1603" spans="1:8" x14ac:dyDescent="0.25">
      <c r="A1603" s="21" t="s">
        <v>3811</v>
      </c>
      <c r="B1603" s="25" t="s">
        <v>3812</v>
      </c>
      <c r="C1603" s="26">
        <v>1</v>
      </c>
      <c r="D1603" s="27" t="s">
        <v>110</v>
      </c>
      <c r="E1603" s="26">
        <v>1313.7</v>
      </c>
      <c r="F1603" s="28" t="s">
        <v>68</v>
      </c>
      <c r="G1603" s="26">
        <f t="shared" si="39"/>
        <v>1314</v>
      </c>
      <c r="H1603" t="s">
        <v>3812</v>
      </c>
    </row>
    <row r="1604" spans="1:8" ht="330" x14ac:dyDescent="0.25">
      <c r="A1604" s="21" t="s">
        <v>3813</v>
      </c>
      <c r="B1604" s="25" t="s">
        <v>3815</v>
      </c>
      <c r="C1604" s="26"/>
      <c r="D1604" s="27"/>
      <c r="E1604" s="26"/>
      <c r="F1604" s="28"/>
      <c r="G1604" s="26"/>
      <c r="H1604" t="s">
        <v>3814</v>
      </c>
    </row>
    <row r="1605" spans="1:8" ht="165" x14ac:dyDescent="0.25">
      <c r="A1605" s="21"/>
      <c r="B1605" s="25" t="s">
        <v>3816</v>
      </c>
      <c r="C1605" s="26"/>
      <c r="D1605" s="27"/>
      <c r="E1605" s="26"/>
      <c r="F1605" s="28"/>
      <c r="G1605" s="26"/>
    </row>
    <row r="1606" spans="1:8" ht="105" x14ac:dyDescent="0.25">
      <c r="A1606" s="21" t="s">
        <v>3817</v>
      </c>
      <c r="B1606" s="25" t="s">
        <v>3819</v>
      </c>
      <c r="C1606" s="26">
        <v>1</v>
      </c>
      <c r="D1606" s="27" t="s">
        <v>15</v>
      </c>
      <c r="E1606" s="26">
        <v>1902.95</v>
      </c>
      <c r="F1606" s="28" t="s">
        <v>16</v>
      </c>
      <c r="G1606" s="26">
        <f>ROUND(C1606*E1606,0)</f>
        <v>1903</v>
      </c>
      <c r="H1606" t="s">
        <v>3818</v>
      </c>
    </row>
    <row r="1607" spans="1:8" ht="165" x14ac:dyDescent="0.25">
      <c r="A1607" s="21" t="s">
        <v>3820</v>
      </c>
      <c r="B1607" s="25" t="s">
        <v>3822</v>
      </c>
      <c r="C1607" s="26">
        <v>1</v>
      </c>
      <c r="D1607" s="27" t="s">
        <v>15</v>
      </c>
      <c r="E1607" s="26">
        <v>2068.75</v>
      </c>
      <c r="F1607" s="28" t="s">
        <v>16</v>
      </c>
      <c r="G1607" s="26">
        <f>ROUND(C1607*E1607,0)</f>
        <v>2069</v>
      </c>
      <c r="H1607" t="s">
        <v>3821</v>
      </c>
    </row>
    <row r="1608" spans="1:8" ht="180" x14ac:dyDescent="0.25">
      <c r="A1608" s="21" t="s">
        <v>3823</v>
      </c>
      <c r="B1608" s="25" t="s">
        <v>3825</v>
      </c>
      <c r="C1608" s="26">
        <v>1</v>
      </c>
      <c r="D1608" s="27" t="s">
        <v>15</v>
      </c>
      <c r="E1608" s="26">
        <v>2215.15</v>
      </c>
      <c r="F1608" s="28" t="s">
        <v>16</v>
      </c>
      <c r="G1608" s="26">
        <f>ROUND(C1608*E1608,0)</f>
        <v>2215</v>
      </c>
      <c r="H1608" t="s">
        <v>3824</v>
      </c>
    </row>
    <row r="1609" spans="1:8" ht="135" x14ac:dyDescent="0.25">
      <c r="A1609" s="21" t="s">
        <v>3826</v>
      </c>
      <c r="B1609" s="25" t="s">
        <v>3828</v>
      </c>
      <c r="C1609" s="26">
        <v>1</v>
      </c>
      <c r="D1609" s="27" t="s">
        <v>15</v>
      </c>
      <c r="E1609" s="26">
        <v>1528</v>
      </c>
      <c r="F1609" s="28" t="s">
        <v>16</v>
      </c>
      <c r="G1609" s="26">
        <f>ROUND(C1609*E1609,0)</f>
        <v>1528</v>
      </c>
      <c r="H1609" t="s">
        <v>3827</v>
      </c>
    </row>
    <row r="1610" spans="1:8" ht="409.5" x14ac:dyDescent="0.25">
      <c r="A1610" s="21" t="s">
        <v>3829</v>
      </c>
      <c r="B1610" s="25" t="s">
        <v>3831</v>
      </c>
      <c r="C1610" s="26"/>
      <c r="D1610" s="27"/>
      <c r="E1610" s="26"/>
      <c r="F1610" s="28"/>
      <c r="G1610" s="26"/>
      <c r="H1610" t="s">
        <v>3830</v>
      </c>
    </row>
    <row r="1611" spans="1:8" ht="150" x14ac:dyDescent="0.25">
      <c r="A1611" s="21"/>
      <c r="B1611" s="25" t="s">
        <v>3832</v>
      </c>
      <c r="C1611" s="26"/>
      <c r="D1611" s="27"/>
      <c r="E1611" s="26"/>
      <c r="F1611" s="28"/>
      <c r="G1611" s="26"/>
    </row>
    <row r="1612" spans="1:8" ht="135" x14ac:dyDescent="0.25">
      <c r="A1612" s="21"/>
      <c r="B1612" s="25" t="s">
        <v>3833</v>
      </c>
      <c r="C1612" s="26">
        <v>1</v>
      </c>
      <c r="D1612" s="27" t="s">
        <v>15</v>
      </c>
      <c r="E1612" s="26">
        <v>2158.15</v>
      </c>
      <c r="F1612" s="28" t="s">
        <v>16</v>
      </c>
      <c r="G1612" s="26">
        <f>ROUND(C1612*E1612,0)</f>
        <v>2158</v>
      </c>
    </row>
    <row r="1613" spans="1:8" ht="330" x14ac:dyDescent="0.25">
      <c r="A1613" s="21" t="s">
        <v>3834</v>
      </c>
      <c r="B1613" s="25" t="s">
        <v>3836</v>
      </c>
      <c r="C1613" s="26"/>
      <c r="D1613" s="27"/>
      <c r="E1613" s="26"/>
      <c r="F1613" s="28"/>
      <c r="G1613" s="26"/>
      <c r="H1613" t="s">
        <v>3835</v>
      </c>
    </row>
    <row r="1614" spans="1:8" ht="105" x14ac:dyDescent="0.25">
      <c r="A1614" s="21" t="s">
        <v>3837</v>
      </c>
      <c r="B1614" s="25" t="s">
        <v>3839</v>
      </c>
      <c r="C1614" s="26">
        <v>1</v>
      </c>
      <c r="D1614" s="27" t="s">
        <v>15</v>
      </c>
      <c r="E1614" s="26">
        <v>2221.6999999999998</v>
      </c>
      <c r="F1614" s="28" t="s">
        <v>16</v>
      </c>
      <c r="G1614" s="26">
        <f>ROUND(C1614*E1614,0)</f>
        <v>2222</v>
      </c>
      <c r="H1614" t="s">
        <v>3838</v>
      </c>
    </row>
    <row r="1615" spans="1:8" ht="135" x14ac:dyDescent="0.25">
      <c r="A1615" s="21" t="s">
        <v>3840</v>
      </c>
      <c r="B1615" s="25" t="s">
        <v>3841</v>
      </c>
      <c r="C1615" s="26">
        <v>1</v>
      </c>
      <c r="D1615" s="27" t="s">
        <v>15</v>
      </c>
      <c r="E1615" s="26">
        <v>2354.65</v>
      </c>
      <c r="F1615" s="28" t="s">
        <v>16</v>
      </c>
      <c r="G1615" s="26">
        <f>ROUND(C1615*E1615,0)</f>
        <v>2355</v>
      </c>
      <c r="H1615" t="s">
        <v>105</v>
      </c>
    </row>
    <row r="1616" spans="1:8" ht="180" x14ac:dyDescent="0.25">
      <c r="A1616" s="21" t="s">
        <v>3842</v>
      </c>
      <c r="B1616" s="25" t="s">
        <v>3844</v>
      </c>
      <c r="C1616" s="26">
        <v>1</v>
      </c>
      <c r="D1616" s="27" t="s">
        <v>15</v>
      </c>
      <c r="E1616" s="26">
        <v>1703.95</v>
      </c>
      <c r="F1616" s="28" t="s">
        <v>16</v>
      </c>
      <c r="G1616" s="26">
        <f>ROUND(C1616*E1616,0)</f>
        <v>1704</v>
      </c>
      <c r="H1616" t="s">
        <v>3843</v>
      </c>
    </row>
    <row r="1617" spans="1:8" ht="210" x14ac:dyDescent="0.25">
      <c r="A1617" s="21" t="s">
        <v>3845</v>
      </c>
      <c r="B1617" s="25" t="s">
        <v>3847</v>
      </c>
      <c r="C1617" s="26">
        <v>1</v>
      </c>
      <c r="D1617" s="27" t="s">
        <v>15</v>
      </c>
      <c r="E1617" s="26">
        <v>1570</v>
      </c>
      <c r="F1617" s="28" t="s">
        <v>16</v>
      </c>
      <c r="G1617" s="26">
        <f>ROUND(C1617*E1617,0)</f>
        <v>1570</v>
      </c>
      <c r="H1617" t="s">
        <v>3846</v>
      </c>
    </row>
    <row r="1618" spans="1:8" ht="105" x14ac:dyDescent="0.25">
      <c r="A1618" s="21" t="s">
        <v>3848</v>
      </c>
      <c r="B1618" s="25" t="s">
        <v>3850</v>
      </c>
      <c r="C1618" s="26">
        <v>1</v>
      </c>
      <c r="D1618" s="27" t="s">
        <v>15</v>
      </c>
      <c r="E1618" s="26">
        <v>358.5</v>
      </c>
      <c r="F1618" s="28" t="s">
        <v>16</v>
      </c>
      <c r="G1618" s="26">
        <f>ROUND(C1618*E1618,0)</f>
        <v>359</v>
      </c>
      <c r="H1618" t="s">
        <v>3849</v>
      </c>
    </row>
    <row r="1619" spans="1:8" ht="330" x14ac:dyDescent="0.25">
      <c r="A1619" s="21" t="s">
        <v>3851</v>
      </c>
      <c r="B1619" s="25" t="s">
        <v>3853</v>
      </c>
      <c r="C1619" s="26"/>
      <c r="D1619" s="27"/>
      <c r="E1619" s="26"/>
      <c r="F1619" s="28"/>
      <c r="G1619" s="26"/>
      <c r="H1619" t="s">
        <v>3852</v>
      </c>
    </row>
    <row r="1620" spans="1:8" ht="165" x14ac:dyDescent="0.25">
      <c r="A1620" s="21"/>
      <c r="B1620" s="25" t="s">
        <v>3854</v>
      </c>
      <c r="C1620" s="26"/>
      <c r="D1620" s="27"/>
      <c r="E1620" s="26"/>
      <c r="F1620" s="28"/>
      <c r="G1620" s="26"/>
    </row>
    <row r="1621" spans="1:8" ht="180" x14ac:dyDescent="0.25">
      <c r="A1621" s="21" t="s">
        <v>3855</v>
      </c>
      <c r="B1621" s="25" t="s">
        <v>3857</v>
      </c>
      <c r="C1621" s="26">
        <v>1</v>
      </c>
      <c r="D1621" s="27" t="s">
        <v>15</v>
      </c>
      <c r="E1621" s="26">
        <v>1789.45</v>
      </c>
      <c r="F1621" s="28" t="s">
        <v>16</v>
      </c>
      <c r="G1621" s="26">
        <f>ROUND(C1621*E1621,0)</f>
        <v>1789</v>
      </c>
      <c r="H1621" t="s">
        <v>3856</v>
      </c>
    </row>
    <row r="1622" spans="1:8" ht="315" x14ac:dyDescent="0.25">
      <c r="A1622" s="21" t="s">
        <v>3858</v>
      </c>
      <c r="B1622" s="25" t="s">
        <v>3860</v>
      </c>
      <c r="C1622" s="26"/>
      <c r="D1622" s="27"/>
      <c r="E1622" s="26"/>
      <c r="F1622" s="28"/>
      <c r="G1622" s="26"/>
      <c r="H1622" t="s">
        <v>3859</v>
      </c>
    </row>
    <row r="1623" spans="1:8" ht="330" x14ac:dyDescent="0.25">
      <c r="A1623" s="21"/>
      <c r="B1623" s="25" t="s">
        <v>3861</v>
      </c>
      <c r="C1623" s="26"/>
      <c r="D1623" s="27"/>
      <c r="E1623" s="26"/>
      <c r="F1623" s="28"/>
      <c r="G1623" s="26"/>
    </row>
    <row r="1624" spans="1:8" ht="60" x14ac:dyDescent="0.25">
      <c r="A1624" s="21" t="s">
        <v>3862</v>
      </c>
      <c r="B1624" s="25" t="s">
        <v>3864</v>
      </c>
      <c r="C1624" s="26">
        <v>1</v>
      </c>
      <c r="D1624" s="27" t="s">
        <v>15</v>
      </c>
      <c r="E1624" s="26">
        <v>1572.3</v>
      </c>
      <c r="F1624" s="28" t="s">
        <v>16</v>
      </c>
      <c r="G1624" s="26">
        <f>ROUND(C1624*E1624,0)</f>
        <v>1572</v>
      </c>
      <c r="H1624" t="s">
        <v>3863</v>
      </c>
    </row>
    <row r="1625" spans="1:8" ht="120" x14ac:dyDescent="0.25">
      <c r="A1625" s="21" t="s">
        <v>3865</v>
      </c>
      <c r="B1625" s="25" t="s">
        <v>3867</v>
      </c>
      <c r="C1625" s="26">
        <v>1</v>
      </c>
      <c r="D1625" s="27" t="s">
        <v>15</v>
      </c>
      <c r="E1625" s="26">
        <v>667.05</v>
      </c>
      <c r="F1625" s="28" t="s">
        <v>16</v>
      </c>
      <c r="G1625" s="26">
        <f>ROUND(C1625*E1625,0)</f>
        <v>667</v>
      </c>
      <c r="H1625" t="s">
        <v>3866</v>
      </c>
    </row>
    <row r="1626" spans="1:8" ht="90" x14ac:dyDescent="0.25">
      <c r="A1626" s="21" t="s">
        <v>3868</v>
      </c>
      <c r="B1626" s="25" t="s">
        <v>3870</v>
      </c>
      <c r="C1626" s="26">
        <v>1</v>
      </c>
      <c r="D1626" s="27" t="s">
        <v>15</v>
      </c>
      <c r="E1626" s="26">
        <v>316.05</v>
      </c>
      <c r="F1626" s="28" t="s">
        <v>16</v>
      </c>
      <c r="G1626" s="26">
        <f>ROUND(C1626*E1626,0)</f>
        <v>316</v>
      </c>
      <c r="H1626" t="s">
        <v>3869</v>
      </c>
    </row>
    <row r="1627" spans="1:8" ht="105" x14ac:dyDescent="0.25">
      <c r="A1627" s="21" t="s">
        <v>3871</v>
      </c>
      <c r="B1627" s="25" t="s">
        <v>3873</v>
      </c>
      <c r="C1627" s="26">
        <v>1</v>
      </c>
      <c r="D1627" s="27" t="s">
        <v>15</v>
      </c>
      <c r="E1627" s="26">
        <v>322.5</v>
      </c>
      <c r="F1627" s="28" t="s">
        <v>16</v>
      </c>
      <c r="G1627" s="26">
        <f>ROUND(C1627*E1627,0)</f>
        <v>323</v>
      </c>
      <c r="H1627" t="s">
        <v>3872</v>
      </c>
    </row>
    <row r="1628" spans="1:8" ht="225" x14ac:dyDescent="0.25">
      <c r="A1628" s="21" t="s">
        <v>3874</v>
      </c>
      <c r="B1628" s="25" t="s">
        <v>3876</v>
      </c>
      <c r="C1628" s="26">
        <v>1</v>
      </c>
      <c r="D1628" s="27" t="s">
        <v>15</v>
      </c>
      <c r="E1628" s="26">
        <v>357.6</v>
      </c>
      <c r="F1628" s="28" t="s">
        <v>16</v>
      </c>
      <c r="G1628" s="26">
        <f>ROUND(C1628*E1628,0)</f>
        <v>358</v>
      </c>
      <c r="H1628" t="s">
        <v>3875</v>
      </c>
    </row>
    <row r="1629" spans="1:8" ht="210" x14ac:dyDescent="0.25">
      <c r="A1629" s="21" t="s">
        <v>3877</v>
      </c>
      <c r="B1629" s="25" t="s">
        <v>3878</v>
      </c>
      <c r="C1629" s="26"/>
      <c r="D1629" s="27"/>
      <c r="E1629" s="26"/>
      <c r="F1629" s="28"/>
      <c r="G1629" s="26"/>
      <c r="H1629" t="s">
        <v>3875</v>
      </c>
    </row>
    <row r="1630" spans="1:8" ht="60" x14ac:dyDescent="0.25">
      <c r="A1630" s="21" t="s">
        <v>3879</v>
      </c>
      <c r="B1630" s="25" t="s">
        <v>3880</v>
      </c>
      <c r="C1630" s="26">
        <v>1</v>
      </c>
      <c r="D1630" s="27" t="s">
        <v>15</v>
      </c>
      <c r="E1630" s="26">
        <v>1034.0999999999999</v>
      </c>
      <c r="F1630" s="28" t="s">
        <v>16</v>
      </c>
      <c r="G1630" s="26">
        <f t="shared" ref="G1630:G1638" si="40">ROUND(C1630*E1630,0)</f>
        <v>1034</v>
      </c>
      <c r="H1630" t="s">
        <v>3875</v>
      </c>
    </row>
    <row r="1631" spans="1:8" ht="45" x14ac:dyDescent="0.25">
      <c r="A1631" s="21" t="s">
        <v>3881</v>
      </c>
      <c r="B1631" s="25" t="s">
        <v>3882</v>
      </c>
      <c r="C1631" s="26">
        <v>1</v>
      </c>
      <c r="D1631" s="27" t="s">
        <v>15</v>
      </c>
      <c r="E1631" s="26">
        <v>1252.75</v>
      </c>
      <c r="F1631" s="28" t="s">
        <v>16</v>
      </c>
      <c r="G1631" s="26">
        <f t="shared" si="40"/>
        <v>1253</v>
      </c>
      <c r="H1631" t="s">
        <v>3882</v>
      </c>
    </row>
    <row r="1632" spans="1:8" ht="45" x14ac:dyDescent="0.25">
      <c r="A1632" s="21" t="s">
        <v>3883</v>
      </c>
      <c r="B1632" s="25" t="s">
        <v>3884</v>
      </c>
      <c r="C1632" s="26">
        <v>1</v>
      </c>
      <c r="D1632" s="27" t="s">
        <v>15</v>
      </c>
      <c r="E1632" s="26">
        <v>1572.8</v>
      </c>
      <c r="F1632" s="28" t="s">
        <v>16</v>
      </c>
      <c r="G1632" s="26">
        <f t="shared" si="40"/>
        <v>1573</v>
      </c>
      <c r="H1632" t="s">
        <v>3884</v>
      </c>
    </row>
    <row r="1633" spans="1:8" ht="60" x14ac:dyDescent="0.25">
      <c r="A1633" s="21" t="s">
        <v>3885</v>
      </c>
      <c r="B1633" s="25" t="s">
        <v>3886</v>
      </c>
      <c r="C1633" s="26">
        <v>1</v>
      </c>
      <c r="D1633" s="27" t="s">
        <v>15</v>
      </c>
      <c r="E1633" s="26">
        <v>1313.7</v>
      </c>
      <c r="F1633" s="28" t="s">
        <v>16</v>
      </c>
      <c r="G1633" s="26">
        <f t="shared" si="40"/>
        <v>1314</v>
      </c>
      <c r="H1633" t="s">
        <v>3886</v>
      </c>
    </row>
    <row r="1634" spans="1:8" ht="60" x14ac:dyDescent="0.25">
      <c r="A1634" s="21" t="s">
        <v>3887</v>
      </c>
      <c r="B1634" s="25" t="s">
        <v>3888</v>
      </c>
      <c r="C1634" s="26">
        <v>1</v>
      </c>
      <c r="D1634" s="27" t="s">
        <v>15</v>
      </c>
      <c r="E1634" s="26">
        <v>1616.45</v>
      </c>
      <c r="F1634" s="28" t="s">
        <v>16</v>
      </c>
      <c r="G1634" s="26">
        <f t="shared" si="40"/>
        <v>1616</v>
      </c>
      <c r="H1634" t="s">
        <v>3888</v>
      </c>
    </row>
    <row r="1635" spans="1:8" ht="60" x14ac:dyDescent="0.25">
      <c r="A1635" s="21" t="s">
        <v>3889</v>
      </c>
      <c r="B1635" s="25" t="s">
        <v>3890</v>
      </c>
      <c r="C1635" s="26">
        <v>1</v>
      </c>
      <c r="D1635" s="27" t="s">
        <v>15</v>
      </c>
      <c r="E1635" s="26">
        <v>2026.4</v>
      </c>
      <c r="F1635" s="28" t="s">
        <v>16</v>
      </c>
      <c r="G1635" s="26">
        <f t="shared" si="40"/>
        <v>2026</v>
      </c>
      <c r="H1635" t="s">
        <v>3890</v>
      </c>
    </row>
    <row r="1636" spans="1:8" ht="60" x14ac:dyDescent="0.25">
      <c r="A1636" s="21" t="s">
        <v>3891</v>
      </c>
      <c r="B1636" s="25" t="s">
        <v>3892</v>
      </c>
      <c r="C1636" s="26">
        <v>1</v>
      </c>
      <c r="D1636" s="27" t="s">
        <v>15</v>
      </c>
      <c r="E1636" s="26">
        <v>1012.15</v>
      </c>
      <c r="F1636" s="28" t="s">
        <v>16</v>
      </c>
      <c r="G1636" s="26">
        <f t="shared" si="40"/>
        <v>1012</v>
      </c>
      <c r="H1636" t="s">
        <v>3892</v>
      </c>
    </row>
    <row r="1637" spans="1:8" ht="60" x14ac:dyDescent="0.25">
      <c r="A1637" s="21" t="s">
        <v>3893</v>
      </c>
      <c r="B1637" s="25" t="s">
        <v>3894</v>
      </c>
      <c r="C1637" s="26">
        <v>1</v>
      </c>
      <c r="D1637" s="27" t="s">
        <v>15</v>
      </c>
      <c r="E1637" s="26">
        <v>1256.95</v>
      </c>
      <c r="F1637" s="28" t="s">
        <v>16</v>
      </c>
      <c r="G1637" s="26">
        <f t="shared" si="40"/>
        <v>1257</v>
      </c>
      <c r="H1637" t="s">
        <v>3894</v>
      </c>
    </row>
    <row r="1638" spans="1:8" ht="60" x14ac:dyDescent="0.25">
      <c r="A1638" s="21" t="s">
        <v>3895</v>
      </c>
      <c r="B1638" s="25" t="s">
        <v>3896</v>
      </c>
      <c r="C1638" s="26">
        <v>1</v>
      </c>
      <c r="D1638" s="27" t="s">
        <v>15</v>
      </c>
      <c r="E1638" s="26">
        <v>1596.45</v>
      </c>
      <c r="F1638" s="28" t="s">
        <v>16</v>
      </c>
      <c r="G1638" s="26">
        <f t="shared" si="40"/>
        <v>1596</v>
      </c>
      <c r="H1638" t="s">
        <v>3896</v>
      </c>
    </row>
    <row r="1639" spans="1:8" ht="210" x14ac:dyDescent="0.25">
      <c r="A1639" s="21" t="s">
        <v>3897</v>
      </c>
      <c r="B1639" s="25" t="s">
        <v>3899</v>
      </c>
      <c r="C1639" s="26"/>
      <c r="D1639" s="27"/>
      <c r="E1639" s="26"/>
      <c r="F1639" s="28"/>
      <c r="G1639" s="26"/>
      <c r="H1639" t="s">
        <v>3898</v>
      </c>
    </row>
    <row r="1640" spans="1:8" ht="60" x14ac:dyDescent="0.25">
      <c r="A1640" s="21" t="s">
        <v>3900</v>
      </c>
      <c r="B1640" s="25" t="s">
        <v>3901</v>
      </c>
      <c r="C1640" s="26">
        <v>1</v>
      </c>
      <c r="D1640" s="27" t="s">
        <v>15</v>
      </c>
      <c r="E1640" s="26">
        <v>1176.7</v>
      </c>
      <c r="F1640" s="28" t="s">
        <v>16</v>
      </c>
      <c r="G1640" s="26">
        <f t="shared" ref="G1640:G1647" si="41">ROUND(C1640*E1640,0)</f>
        <v>1177</v>
      </c>
      <c r="H1640" t="s">
        <v>3901</v>
      </c>
    </row>
    <row r="1641" spans="1:8" ht="60" x14ac:dyDescent="0.25">
      <c r="A1641" s="21" t="s">
        <v>3902</v>
      </c>
      <c r="B1641" s="25" t="s">
        <v>3903</v>
      </c>
      <c r="C1641" s="26">
        <v>1</v>
      </c>
      <c r="D1641" s="27" t="s">
        <v>15</v>
      </c>
      <c r="E1641" s="26">
        <v>1430.2</v>
      </c>
      <c r="F1641" s="28" t="s">
        <v>16</v>
      </c>
      <c r="G1641" s="26">
        <f t="shared" si="41"/>
        <v>1430</v>
      </c>
      <c r="H1641" t="s">
        <v>3903</v>
      </c>
    </row>
    <row r="1642" spans="1:8" ht="60" x14ac:dyDescent="0.25">
      <c r="A1642" s="21" t="s">
        <v>3904</v>
      </c>
      <c r="B1642" s="25" t="s">
        <v>3905</v>
      </c>
      <c r="C1642" s="26">
        <v>1</v>
      </c>
      <c r="D1642" s="27" t="s">
        <v>15</v>
      </c>
      <c r="E1642" s="26">
        <v>1797.75</v>
      </c>
      <c r="F1642" s="28" t="s">
        <v>16</v>
      </c>
      <c r="G1642" s="26">
        <f t="shared" si="41"/>
        <v>1798</v>
      </c>
      <c r="H1642" t="s">
        <v>3905</v>
      </c>
    </row>
    <row r="1643" spans="1:8" ht="75" x14ac:dyDescent="0.25">
      <c r="A1643" s="21" t="s">
        <v>3906</v>
      </c>
      <c r="B1643" s="25" t="s">
        <v>3907</v>
      </c>
      <c r="C1643" s="26">
        <v>1</v>
      </c>
      <c r="D1643" s="27" t="s">
        <v>15</v>
      </c>
      <c r="E1643" s="26">
        <v>1484</v>
      </c>
      <c r="F1643" s="28" t="s">
        <v>16</v>
      </c>
      <c r="G1643" s="26">
        <f t="shared" si="41"/>
        <v>1484</v>
      </c>
      <c r="H1643" t="s">
        <v>3907</v>
      </c>
    </row>
    <row r="1644" spans="1:8" ht="75" x14ac:dyDescent="0.25">
      <c r="A1644" s="21" t="s">
        <v>3908</v>
      </c>
      <c r="B1644" s="25" t="s">
        <v>3909</v>
      </c>
      <c r="C1644" s="26">
        <v>1</v>
      </c>
      <c r="D1644" s="27" t="s">
        <v>15</v>
      </c>
      <c r="E1644" s="26">
        <v>1865.6</v>
      </c>
      <c r="F1644" s="28" t="s">
        <v>16</v>
      </c>
      <c r="G1644" s="26">
        <f t="shared" si="41"/>
        <v>1866</v>
      </c>
      <c r="H1644" t="s">
        <v>3909</v>
      </c>
    </row>
    <row r="1645" spans="1:8" ht="75" x14ac:dyDescent="0.25">
      <c r="A1645" s="21" t="s">
        <v>3910</v>
      </c>
      <c r="B1645" s="25" t="s">
        <v>3911</v>
      </c>
      <c r="C1645" s="26">
        <v>1</v>
      </c>
      <c r="D1645" s="27" t="s">
        <v>15</v>
      </c>
      <c r="E1645" s="26">
        <v>2335.4499999999998</v>
      </c>
      <c r="F1645" s="28" t="s">
        <v>16</v>
      </c>
      <c r="G1645" s="26">
        <f t="shared" si="41"/>
        <v>2335</v>
      </c>
      <c r="H1645" t="s">
        <v>3911</v>
      </c>
    </row>
    <row r="1646" spans="1:8" ht="45" x14ac:dyDescent="0.25">
      <c r="A1646" s="21" t="s">
        <v>3912</v>
      </c>
      <c r="B1646" s="25" t="s">
        <v>3913</v>
      </c>
      <c r="C1646" s="26">
        <v>1</v>
      </c>
      <c r="D1646" s="27" t="s">
        <v>15</v>
      </c>
      <c r="E1646" s="26">
        <v>1221.1500000000001</v>
      </c>
      <c r="F1646" s="28" t="s">
        <v>16</v>
      </c>
      <c r="G1646" s="26">
        <f t="shared" si="41"/>
        <v>1221</v>
      </c>
      <c r="H1646" t="s">
        <v>3913</v>
      </c>
    </row>
    <row r="1647" spans="1:8" ht="45" x14ac:dyDescent="0.25">
      <c r="A1647" s="21" t="s">
        <v>3914</v>
      </c>
      <c r="B1647" s="25" t="s">
        <v>3915</v>
      </c>
      <c r="C1647" s="26">
        <v>1</v>
      </c>
      <c r="D1647" s="27" t="s">
        <v>15</v>
      </c>
      <c r="E1647" s="26">
        <v>1533</v>
      </c>
      <c r="F1647" s="28" t="s">
        <v>16</v>
      </c>
      <c r="G1647" s="26">
        <f t="shared" si="41"/>
        <v>1533</v>
      </c>
      <c r="H1647" t="s">
        <v>3915</v>
      </c>
    </row>
    <row r="1648" spans="1:8" ht="135" x14ac:dyDescent="0.25">
      <c r="A1648" s="21" t="s">
        <v>3916</v>
      </c>
      <c r="B1648" s="25" t="s">
        <v>3918</v>
      </c>
      <c r="C1648" s="26"/>
      <c r="D1648" s="27"/>
      <c r="E1648" s="26"/>
      <c r="F1648" s="28"/>
      <c r="G1648" s="26"/>
      <c r="H1648" t="s">
        <v>3917</v>
      </c>
    </row>
    <row r="1649" spans="1:8" ht="45" x14ac:dyDescent="0.25">
      <c r="A1649" s="21" t="s">
        <v>3919</v>
      </c>
      <c r="B1649" s="25" t="s">
        <v>3920</v>
      </c>
      <c r="C1649" s="26">
        <v>1</v>
      </c>
      <c r="D1649" s="27" t="s">
        <v>110</v>
      </c>
      <c r="E1649" s="26">
        <v>1066.2</v>
      </c>
      <c r="F1649" s="28" t="s">
        <v>618</v>
      </c>
      <c r="G1649" s="26">
        <f t="shared" ref="G1649:G1654" si="42">ROUND(C1649*E1649,0)</f>
        <v>1066</v>
      </c>
      <c r="H1649" t="s">
        <v>3920</v>
      </c>
    </row>
    <row r="1650" spans="1:8" ht="45" x14ac:dyDescent="0.25">
      <c r="A1650" s="21" t="s">
        <v>3921</v>
      </c>
      <c r="B1650" s="25" t="s">
        <v>3922</v>
      </c>
      <c r="C1650" s="26">
        <v>1</v>
      </c>
      <c r="D1650" s="27" t="s">
        <v>110</v>
      </c>
      <c r="E1650" s="26">
        <v>977.15</v>
      </c>
      <c r="F1650" s="28" t="s">
        <v>618</v>
      </c>
      <c r="G1650" s="26">
        <f t="shared" si="42"/>
        <v>977</v>
      </c>
      <c r="H1650" t="s">
        <v>3922</v>
      </c>
    </row>
    <row r="1651" spans="1:8" ht="45" x14ac:dyDescent="0.25">
      <c r="A1651" s="21" t="s">
        <v>3923</v>
      </c>
      <c r="B1651" s="25" t="s">
        <v>3924</v>
      </c>
      <c r="C1651" s="26">
        <v>1</v>
      </c>
      <c r="D1651" s="27" t="s">
        <v>110</v>
      </c>
      <c r="E1651" s="26">
        <v>1055.9000000000001</v>
      </c>
      <c r="F1651" s="28" t="s">
        <v>618</v>
      </c>
      <c r="G1651" s="26">
        <f t="shared" si="42"/>
        <v>1056</v>
      </c>
      <c r="H1651" t="s">
        <v>3924</v>
      </c>
    </row>
    <row r="1652" spans="1:8" ht="45" x14ac:dyDescent="0.25">
      <c r="A1652" s="21" t="s">
        <v>3925</v>
      </c>
      <c r="B1652" s="25" t="s">
        <v>3926</v>
      </c>
      <c r="C1652" s="26">
        <v>1</v>
      </c>
      <c r="D1652" s="27" t="s">
        <v>110</v>
      </c>
      <c r="E1652" s="26">
        <v>813.25</v>
      </c>
      <c r="F1652" s="28" t="s">
        <v>618</v>
      </c>
      <c r="G1652" s="26">
        <f t="shared" si="42"/>
        <v>813</v>
      </c>
      <c r="H1652" t="s">
        <v>3926</v>
      </c>
    </row>
    <row r="1653" spans="1:8" ht="45" x14ac:dyDescent="0.25">
      <c r="A1653" s="21" t="s">
        <v>3927</v>
      </c>
      <c r="B1653" s="25" t="s">
        <v>3928</v>
      </c>
      <c r="C1653" s="26">
        <v>1</v>
      </c>
      <c r="D1653" s="27" t="s">
        <v>110</v>
      </c>
      <c r="E1653" s="26">
        <v>914.7</v>
      </c>
      <c r="F1653" s="28" t="s">
        <v>618</v>
      </c>
      <c r="G1653" s="26">
        <f t="shared" si="42"/>
        <v>915</v>
      </c>
      <c r="H1653" t="s">
        <v>3928</v>
      </c>
    </row>
    <row r="1654" spans="1:8" ht="45" x14ac:dyDescent="0.25">
      <c r="A1654" s="21" t="s">
        <v>3929</v>
      </c>
      <c r="B1654" s="25" t="s">
        <v>3930</v>
      </c>
      <c r="C1654" s="26">
        <v>1</v>
      </c>
      <c r="D1654" s="27" t="s">
        <v>110</v>
      </c>
      <c r="E1654" s="26">
        <v>1808.65</v>
      </c>
      <c r="F1654" s="28" t="s">
        <v>618</v>
      </c>
      <c r="G1654" s="26">
        <f t="shared" si="42"/>
        <v>1809</v>
      </c>
      <c r="H1654" t="s">
        <v>3930</v>
      </c>
    </row>
    <row r="1655" spans="1:8" x14ac:dyDescent="0.25">
      <c r="A1655" s="21"/>
      <c r="B1655" s="45" t="s">
        <v>3931</v>
      </c>
      <c r="C1655" s="45"/>
      <c r="D1655" s="45"/>
      <c r="E1655" s="45"/>
      <c r="F1655" s="45"/>
      <c r="G1655" s="29">
        <f>SUM(G1453:G1654)</f>
        <v>118019</v>
      </c>
    </row>
    <row r="1656" spans="1:8" x14ac:dyDescent="0.25">
      <c r="A1656" s="46" t="s">
        <v>3932</v>
      </c>
      <c r="B1656" s="47"/>
      <c r="C1656" s="47"/>
      <c r="D1656" s="47"/>
      <c r="E1656" s="47"/>
      <c r="F1656" s="47"/>
      <c r="G1656" s="47"/>
    </row>
    <row r="1657" spans="1:8" x14ac:dyDescent="0.25">
      <c r="A1657" s="21" t="s">
        <v>3933</v>
      </c>
      <c r="B1657" s="25" t="s">
        <v>3935</v>
      </c>
      <c r="C1657" s="26"/>
      <c r="D1657" s="27"/>
      <c r="E1657" s="26"/>
      <c r="F1657" s="28"/>
      <c r="G1657" s="26"/>
      <c r="H1657" t="s">
        <v>3934</v>
      </c>
    </row>
    <row r="1658" spans="1:8" ht="30" x14ac:dyDescent="0.25">
      <c r="A1658" s="21" t="s">
        <v>3936</v>
      </c>
      <c r="B1658" s="25" t="s">
        <v>3938</v>
      </c>
      <c r="C1658" s="26">
        <v>1</v>
      </c>
      <c r="D1658" s="27" t="s">
        <v>15</v>
      </c>
      <c r="E1658" s="26">
        <v>347.05</v>
      </c>
      <c r="F1658" s="28" t="s">
        <v>16</v>
      </c>
      <c r="G1658" s="26">
        <f>ROUND(C1658*E1658,0)</f>
        <v>347</v>
      </c>
      <c r="H1658" t="s">
        <v>3937</v>
      </c>
    </row>
    <row r="1659" spans="1:8" ht="30" x14ac:dyDescent="0.25">
      <c r="A1659" s="21" t="s">
        <v>3939</v>
      </c>
      <c r="B1659" s="25" t="s">
        <v>3941</v>
      </c>
      <c r="C1659" s="26">
        <v>1</v>
      </c>
      <c r="D1659" s="27" t="s">
        <v>15</v>
      </c>
      <c r="E1659" s="26">
        <v>333.35</v>
      </c>
      <c r="F1659" s="28" t="s">
        <v>16</v>
      </c>
      <c r="G1659" s="26">
        <f>ROUND(C1659*E1659,0)</f>
        <v>333</v>
      </c>
      <c r="H1659" t="s">
        <v>3940</v>
      </c>
    </row>
    <row r="1660" spans="1:8" ht="30" x14ac:dyDescent="0.25">
      <c r="A1660" s="21" t="s">
        <v>3942</v>
      </c>
      <c r="B1660" s="25" t="s">
        <v>3944</v>
      </c>
      <c r="C1660" s="26"/>
      <c r="D1660" s="27"/>
      <c r="E1660" s="26"/>
      <c r="F1660" s="28"/>
      <c r="G1660" s="26"/>
      <c r="H1660" t="s">
        <v>3943</v>
      </c>
    </row>
    <row r="1661" spans="1:8" ht="30" x14ac:dyDescent="0.25">
      <c r="A1661" s="21" t="s">
        <v>3945</v>
      </c>
      <c r="B1661" s="25" t="s">
        <v>3938</v>
      </c>
      <c r="C1661" s="26">
        <v>1</v>
      </c>
      <c r="D1661" s="27" t="s">
        <v>15</v>
      </c>
      <c r="E1661" s="26">
        <v>399.45</v>
      </c>
      <c r="F1661" s="28" t="s">
        <v>16</v>
      </c>
      <c r="G1661" s="26">
        <f>ROUND(C1661*E1661,0)</f>
        <v>399</v>
      </c>
      <c r="H1661" t="s">
        <v>3937</v>
      </c>
    </row>
    <row r="1662" spans="1:8" ht="30" x14ac:dyDescent="0.25">
      <c r="A1662" s="21" t="s">
        <v>3946</v>
      </c>
      <c r="B1662" s="25" t="s">
        <v>3941</v>
      </c>
      <c r="C1662" s="26">
        <v>1</v>
      </c>
      <c r="D1662" s="27" t="s">
        <v>15</v>
      </c>
      <c r="E1662" s="26">
        <v>383</v>
      </c>
      <c r="F1662" s="28" t="s">
        <v>16</v>
      </c>
      <c r="G1662" s="26">
        <f>ROUND(C1662*E1662,0)</f>
        <v>383</v>
      </c>
      <c r="H1662" t="s">
        <v>3940</v>
      </c>
    </row>
    <row r="1663" spans="1:8" x14ac:dyDescent="0.25">
      <c r="A1663" s="21" t="s">
        <v>3947</v>
      </c>
      <c r="B1663" s="25" t="s">
        <v>3949</v>
      </c>
      <c r="C1663" s="26"/>
      <c r="D1663" s="27"/>
      <c r="E1663" s="26"/>
      <c r="F1663" s="28"/>
      <c r="G1663" s="26"/>
      <c r="H1663" t="s">
        <v>3948</v>
      </c>
    </row>
    <row r="1664" spans="1:8" ht="30" x14ac:dyDescent="0.25">
      <c r="A1664" s="21" t="s">
        <v>3950</v>
      </c>
      <c r="B1664" s="25" t="s">
        <v>3938</v>
      </c>
      <c r="C1664" s="26">
        <v>1</v>
      </c>
      <c r="D1664" s="27" t="s">
        <v>15</v>
      </c>
      <c r="E1664" s="26">
        <v>471.35</v>
      </c>
      <c r="F1664" s="28" t="s">
        <v>16</v>
      </c>
      <c r="G1664" s="26">
        <f>ROUND(C1664*E1664,0)</f>
        <v>471</v>
      </c>
      <c r="H1664" t="s">
        <v>3937</v>
      </c>
    </row>
    <row r="1665" spans="1:8" ht="30" x14ac:dyDescent="0.25">
      <c r="A1665" s="21" t="s">
        <v>3951</v>
      </c>
      <c r="B1665" s="25" t="s">
        <v>3941</v>
      </c>
      <c r="C1665" s="26">
        <v>1</v>
      </c>
      <c r="D1665" s="27" t="s">
        <v>15</v>
      </c>
      <c r="E1665" s="26">
        <v>450</v>
      </c>
      <c r="F1665" s="28" t="s">
        <v>16</v>
      </c>
      <c r="G1665" s="26">
        <f>ROUND(C1665*E1665,0)</f>
        <v>450</v>
      </c>
      <c r="H1665" t="s">
        <v>3940</v>
      </c>
    </row>
    <row r="1666" spans="1:8" x14ac:dyDescent="0.25">
      <c r="A1666" s="21" t="s">
        <v>3952</v>
      </c>
      <c r="B1666" s="25" t="s">
        <v>3935</v>
      </c>
      <c r="C1666" s="26"/>
      <c r="D1666" s="27"/>
      <c r="E1666" s="26"/>
      <c r="F1666" s="28"/>
      <c r="G1666" s="26"/>
      <c r="H1666" t="s">
        <v>3934</v>
      </c>
    </row>
    <row r="1667" spans="1:8" ht="30" x14ac:dyDescent="0.25">
      <c r="A1667" s="21" t="s">
        <v>3953</v>
      </c>
      <c r="B1667" s="25" t="s">
        <v>3955</v>
      </c>
      <c r="C1667" s="26">
        <v>1</v>
      </c>
      <c r="D1667" s="27" t="s">
        <v>15</v>
      </c>
      <c r="E1667" s="26">
        <v>357.35</v>
      </c>
      <c r="F1667" s="28" t="s">
        <v>16</v>
      </c>
      <c r="G1667" s="26">
        <f>ROUND(C1667*E1667,0)</f>
        <v>357</v>
      </c>
      <c r="H1667" t="s">
        <v>3954</v>
      </c>
    </row>
    <row r="1668" spans="1:8" ht="30" x14ac:dyDescent="0.25">
      <c r="A1668" s="21" t="s">
        <v>3956</v>
      </c>
      <c r="B1668" s="25" t="s">
        <v>3958</v>
      </c>
      <c r="C1668" s="26">
        <v>1</v>
      </c>
      <c r="D1668" s="27" t="s">
        <v>15</v>
      </c>
      <c r="E1668" s="26">
        <v>343.65</v>
      </c>
      <c r="F1668" s="28" t="s">
        <v>16</v>
      </c>
      <c r="G1668" s="26">
        <f>ROUND(C1668*E1668,0)</f>
        <v>344</v>
      </c>
      <c r="H1668" t="s">
        <v>3957</v>
      </c>
    </row>
    <row r="1669" spans="1:8" ht="30" x14ac:dyDescent="0.25">
      <c r="A1669" s="21" t="s">
        <v>3959</v>
      </c>
      <c r="B1669" s="25" t="s">
        <v>3960</v>
      </c>
      <c r="C1669" s="26"/>
      <c r="D1669" s="27"/>
      <c r="E1669" s="26"/>
      <c r="F1669" s="28"/>
      <c r="G1669" s="26"/>
      <c r="H1669" t="s">
        <v>3943</v>
      </c>
    </row>
    <row r="1670" spans="1:8" ht="30" x14ac:dyDescent="0.25">
      <c r="A1670" s="21" t="s">
        <v>3961</v>
      </c>
      <c r="B1670" s="25" t="s">
        <v>3955</v>
      </c>
      <c r="C1670" s="26">
        <v>1</v>
      </c>
      <c r="D1670" s="27" t="s">
        <v>15</v>
      </c>
      <c r="E1670" s="26">
        <v>411.75</v>
      </c>
      <c r="F1670" s="28" t="s">
        <v>16</v>
      </c>
      <c r="G1670" s="26">
        <f>ROUND(C1670*E1670,0)</f>
        <v>412</v>
      </c>
      <c r="H1670" t="s">
        <v>3962</v>
      </c>
    </row>
    <row r="1671" spans="1:8" ht="30" x14ac:dyDescent="0.25">
      <c r="A1671" s="21" t="s">
        <v>3963</v>
      </c>
      <c r="B1671" s="25" t="s">
        <v>3958</v>
      </c>
      <c r="C1671" s="26">
        <v>1</v>
      </c>
      <c r="D1671" s="27" t="s">
        <v>15</v>
      </c>
      <c r="E1671" s="26">
        <v>395.35</v>
      </c>
      <c r="F1671" s="28" t="s">
        <v>16</v>
      </c>
      <c r="G1671" s="26">
        <f>ROUND(C1671*E1671,0)</f>
        <v>395</v>
      </c>
      <c r="H1671" t="s">
        <v>3957</v>
      </c>
    </row>
    <row r="1672" spans="1:8" x14ac:dyDescent="0.25">
      <c r="A1672" s="21" t="s">
        <v>3964</v>
      </c>
      <c r="B1672" s="25" t="s">
        <v>3949</v>
      </c>
      <c r="C1672" s="26"/>
      <c r="D1672" s="27"/>
      <c r="E1672" s="26"/>
      <c r="F1672" s="28"/>
      <c r="G1672" s="26"/>
      <c r="H1672" t="s">
        <v>3948</v>
      </c>
    </row>
    <row r="1673" spans="1:8" ht="30" x14ac:dyDescent="0.25">
      <c r="A1673" s="21" t="s">
        <v>3965</v>
      </c>
      <c r="B1673" s="25" t="s">
        <v>3955</v>
      </c>
      <c r="C1673" s="26">
        <v>1</v>
      </c>
      <c r="D1673" s="27" t="s">
        <v>15</v>
      </c>
      <c r="E1673" s="26">
        <v>487.4</v>
      </c>
      <c r="F1673" s="28" t="s">
        <v>16</v>
      </c>
      <c r="G1673" s="26">
        <f>ROUND(C1673*E1673,0)</f>
        <v>487</v>
      </c>
      <c r="H1673" t="s">
        <v>3966</v>
      </c>
    </row>
    <row r="1674" spans="1:8" ht="30" x14ac:dyDescent="0.25">
      <c r="A1674" s="21" t="s">
        <v>3967</v>
      </c>
      <c r="B1674" s="25" t="s">
        <v>3958</v>
      </c>
      <c r="C1674" s="26">
        <v>1</v>
      </c>
      <c r="D1674" s="27" t="s">
        <v>15</v>
      </c>
      <c r="E1674" s="26">
        <v>466.05</v>
      </c>
      <c r="F1674" s="28" t="s">
        <v>16</v>
      </c>
      <c r="G1674" s="26">
        <f>ROUND(C1674*E1674,0)</f>
        <v>466</v>
      </c>
      <c r="H1674" t="s">
        <v>3968</v>
      </c>
    </row>
    <row r="1675" spans="1:8" ht="30" x14ac:dyDescent="0.25">
      <c r="A1675" s="21" t="s">
        <v>3969</v>
      </c>
      <c r="B1675" s="25" t="s">
        <v>3971</v>
      </c>
      <c r="C1675" s="26"/>
      <c r="D1675" s="27"/>
      <c r="E1675" s="26"/>
      <c r="F1675" s="28"/>
      <c r="G1675" s="26"/>
      <c r="H1675" t="s">
        <v>3970</v>
      </c>
    </row>
    <row r="1676" spans="1:8" ht="30" x14ac:dyDescent="0.25">
      <c r="A1676" s="21" t="s">
        <v>3972</v>
      </c>
      <c r="B1676" s="25" t="s">
        <v>3974</v>
      </c>
      <c r="C1676" s="26">
        <v>1</v>
      </c>
      <c r="D1676" s="27" t="s">
        <v>15</v>
      </c>
      <c r="E1676" s="26">
        <v>439.25</v>
      </c>
      <c r="F1676" s="28" t="s">
        <v>16</v>
      </c>
      <c r="G1676" s="26">
        <f>ROUND(C1676*E1676,0)</f>
        <v>439</v>
      </c>
      <c r="H1676" t="s">
        <v>3973</v>
      </c>
    </row>
    <row r="1677" spans="1:8" ht="30" x14ac:dyDescent="0.25">
      <c r="A1677" s="21" t="s">
        <v>3975</v>
      </c>
      <c r="B1677" s="25" t="s">
        <v>3938</v>
      </c>
      <c r="C1677" s="26">
        <v>1</v>
      </c>
      <c r="D1677" s="27" t="s">
        <v>15</v>
      </c>
      <c r="E1677" s="26">
        <v>425.55</v>
      </c>
      <c r="F1677" s="28" t="s">
        <v>16</v>
      </c>
      <c r="G1677" s="26">
        <f>ROUND(C1677*E1677,0)</f>
        <v>426</v>
      </c>
      <c r="H1677" t="s">
        <v>3937</v>
      </c>
    </row>
    <row r="1678" spans="1:8" ht="45" x14ac:dyDescent="0.25">
      <c r="A1678" s="21" t="s">
        <v>3976</v>
      </c>
      <c r="B1678" s="25" t="s">
        <v>3978</v>
      </c>
      <c r="C1678" s="26"/>
      <c r="D1678" s="27"/>
      <c r="E1678" s="26"/>
      <c r="F1678" s="28"/>
      <c r="G1678" s="26"/>
      <c r="H1678" t="s">
        <v>3977</v>
      </c>
    </row>
    <row r="1679" spans="1:8" ht="30" x14ac:dyDescent="0.25">
      <c r="A1679" s="21" t="s">
        <v>3979</v>
      </c>
      <c r="B1679" s="25" t="s">
        <v>3974</v>
      </c>
      <c r="C1679" s="26">
        <v>1</v>
      </c>
      <c r="D1679" s="27" t="s">
        <v>15</v>
      </c>
      <c r="E1679" s="26">
        <v>494.3</v>
      </c>
      <c r="F1679" s="28" t="s">
        <v>16</v>
      </c>
      <c r="G1679" s="26">
        <f>ROUND(C1679*E1679,0)</f>
        <v>494</v>
      </c>
      <c r="H1679" t="s">
        <v>3980</v>
      </c>
    </row>
    <row r="1680" spans="1:8" ht="30" x14ac:dyDescent="0.25">
      <c r="A1680" s="21" t="s">
        <v>3981</v>
      </c>
      <c r="B1680" s="25" t="s">
        <v>3938</v>
      </c>
      <c r="C1680" s="26">
        <v>1</v>
      </c>
      <c r="D1680" s="27" t="s">
        <v>15</v>
      </c>
      <c r="E1680" s="26">
        <v>477.9</v>
      </c>
      <c r="F1680" s="28" t="s">
        <v>16</v>
      </c>
      <c r="G1680" s="26">
        <f>ROUND(C1680*E1680,0)</f>
        <v>478</v>
      </c>
      <c r="H1680" t="s">
        <v>3982</v>
      </c>
    </row>
    <row r="1681" spans="1:8" ht="30" x14ac:dyDescent="0.25">
      <c r="A1681" s="21" t="s">
        <v>3983</v>
      </c>
      <c r="B1681" s="25" t="s">
        <v>3985</v>
      </c>
      <c r="C1681" s="26"/>
      <c r="D1681" s="27"/>
      <c r="E1681" s="26"/>
      <c r="F1681" s="28"/>
      <c r="G1681" s="26"/>
      <c r="H1681" t="s">
        <v>3984</v>
      </c>
    </row>
    <row r="1682" spans="1:8" ht="30" x14ac:dyDescent="0.25">
      <c r="A1682" s="21" t="s">
        <v>3986</v>
      </c>
      <c r="B1682" s="25" t="s">
        <v>3988</v>
      </c>
      <c r="C1682" s="26">
        <v>1</v>
      </c>
      <c r="D1682" s="27" t="s">
        <v>15</v>
      </c>
      <c r="E1682" s="26">
        <v>449.55</v>
      </c>
      <c r="F1682" s="28" t="s">
        <v>16</v>
      </c>
      <c r="G1682" s="26">
        <f t="shared" ref="G1682:G1689" si="43">ROUND(C1682*E1682,0)</f>
        <v>450</v>
      </c>
      <c r="H1682" t="s">
        <v>3987</v>
      </c>
    </row>
    <row r="1683" spans="1:8" ht="30" x14ac:dyDescent="0.25">
      <c r="A1683" s="21" t="s">
        <v>3989</v>
      </c>
      <c r="B1683" s="25" t="s">
        <v>3990</v>
      </c>
      <c r="C1683" s="26">
        <v>1</v>
      </c>
      <c r="D1683" s="27" t="s">
        <v>15</v>
      </c>
      <c r="E1683" s="26">
        <v>587.20000000000005</v>
      </c>
      <c r="F1683" s="28" t="s">
        <v>16</v>
      </c>
      <c r="G1683" s="26">
        <f t="shared" si="43"/>
        <v>587</v>
      </c>
      <c r="H1683" t="s">
        <v>3990</v>
      </c>
    </row>
    <row r="1684" spans="1:8" ht="60" x14ac:dyDescent="0.25">
      <c r="A1684" s="21" t="s">
        <v>3991</v>
      </c>
      <c r="B1684" s="25" t="s">
        <v>3993</v>
      </c>
      <c r="C1684" s="26">
        <v>1</v>
      </c>
      <c r="D1684" s="27" t="s">
        <v>15</v>
      </c>
      <c r="E1684" s="26">
        <v>506.6</v>
      </c>
      <c r="F1684" s="28" t="s">
        <v>16</v>
      </c>
      <c r="G1684" s="26">
        <f t="shared" si="43"/>
        <v>507</v>
      </c>
      <c r="H1684" t="s">
        <v>3992</v>
      </c>
    </row>
    <row r="1685" spans="1:8" ht="60" x14ac:dyDescent="0.25">
      <c r="A1685" s="21" t="s">
        <v>3994</v>
      </c>
      <c r="B1685" s="25" t="s">
        <v>3996</v>
      </c>
      <c r="C1685" s="26">
        <v>1</v>
      </c>
      <c r="D1685" s="27" t="s">
        <v>15</v>
      </c>
      <c r="E1685" s="26">
        <v>518.54999999999995</v>
      </c>
      <c r="F1685" s="28" t="s">
        <v>16</v>
      </c>
      <c r="G1685" s="26">
        <f t="shared" si="43"/>
        <v>519</v>
      </c>
      <c r="H1685" t="s">
        <v>3995</v>
      </c>
    </row>
    <row r="1686" spans="1:8" ht="75" x14ac:dyDescent="0.25">
      <c r="A1686" s="21" t="s">
        <v>3997</v>
      </c>
      <c r="B1686" s="25" t="s">
        <v>3999</v>
      </c>
      <c r="C1686" s="26">
        <v>1</v>
      </c>
      <c r="D1686" s="27" t="s">
        <v>15</v>
      </c>
      <c r="E1686" s="26">
        <v>537.45000000000005</v>
      </c>
      <c r="F1686" s="28" t="s">
        <v>16</v>
      </c>
      <c r="G1686" s="26">
        <f t="shared" si="43"/>
        <v>537</v>
      </c>
      <c r="H1686" t="s">
        <v>3998</v>
      </c>
    </row>
    <row r="1687" spans="1:8" ht="30" x14ac:dyDescent="0.25">
      <c r="A1687" s="21" t="s">
        <v>4000</v>
      </c>
      <c r="B1687" s="25" t="s">
        <v>4002</v>
      </c>
      <c r="C1687" s="26">
        <v>1</v>
      </c>
      <c r="D1687" s="27" t="s">
        <v>15</v>
      </c>
      <c r="E1687" s="26">
        <v>378.7</v>
      </c>
      <c r="F1687" s="28" t="s">
        <v>16</v>
      </c>
      <c r="G1687" s="26">
        <f t="shared" si="43"/>
        <v>379</v>
      </c>
      <c r="H1687" t="s">
        <v>4001</v>
      </c>
    </row>
    <row r="1688" spans="1:8" ht="45" x14ac:dyDescent="0.25">
      <c r="A1688" s="21" t="s">
        <v>4003</v>
      </c>
      <c r="B1688" s="25" t="s">
        <v>4005</v>
      </c>
      <c r="C1688" s="26">
        <v>1</v>
      </c>
      <c r="D1688" s="27" t="s">
        <v>15</v>
      </c>
      <c r="E1688" s="26">
        <v>437.2</v>
      </c>
      <c r="F1688" s="28" t="s">
        <v>16</v>
      </c>
      <c r="G1688" s="26">
        <f t="shared" si="43"/>
        <v>437</v>
      </c>
      <c r="H1688" t="s">
        <v>4004</v>
      </c>
    </row>
    <row r="1689" spans="1:8" ht="30" x14ac:dyDescent="0.25">
      <c r="A1689" s="21" t="s">
        <v>4006</v>
      </c>
      <c r="B1689" s="25" t="s">
        <v>4008</v>
      </c>
      <c r="C1689" s="26">
        <v>1</v>
      </c>
      <c r="D1689" s="27" t="s">
        <v>15</v>
      </c>
      <c r="E1689" s="26">
        <v>520.54999999999995</v>
      </c>
      <c r="F1689" s="28" t="s">
        <v>16</v>
      </c>
      <c r="G1689" s="26">
        <f t="shared" si="43"/>
        <v>521</v>
      </c>
      <c r="H1689" t="s">
        <v>4007</v>
      </c>
    </row>
    <row r="1690" spans="1:8" x14ac:dyDescent="0.25">
      <c r="A1690" s="21" t="s">
        <v>4009</v>
      </c>
      <c r="B1690" s="25" t="s">
        <v>4011</v>
      </c>
      <c r="C1690" s="26"/>
      <c r="D1690" s="27"/>
      <c r="E1690" s="26"/>
      <c r="F1690" s="28"/>
      <c r="G1690" s="26"/>
      <c r="H1690" t="s">
        <v>4010</v>
      </c>
    </row>
    <row r="1691" spans="1:8" ht="30" x14ac:dyDescent="0.25">
      <c r="A1691" s="21" t="s">
        <v>4012</v>
      </c>
      <c r="B1691" s="25" t="s">
        <v>3974</v>
      </c>
      <c r="C1691" s="26">
        <v>1</v>
      </c>
      <c r="D1691" s="27" t="s">
        <v>15</v>
      </c>
      <c r="E1691" s="26">
        <v>300.45</v>
      </c>
      <c r="F1691" s="28" t="s">
        <v>16</v>
      </c>
      <c r="G1691" s="26">
        <f>ROUND(C1691*E1691,0)</f>
        <v>300</v>
      </c>
      <c r="H1691" t="s">
        <v>4013</v>
      </c>
    </row>
    <row r="1692" spans="1:8" ht="60" x14ac:dyDescent="0.25">
      <c r="A1692" s="21" t="s">
        <v>4014</v>
      </c>
      <c r="B1692" s="25" t="s">
        <v>4016</v>
      </c>
      <c r="C1692" s="26">
        <v>1</v>
      </c>
      <c r="D1692" s="27" t="s">
        <v>15</v>
      </c>
      <c r="E1692" s="26">
        <v>396.65</v>
      </c>
      <c r="F1692" s="28" t="s">
        <v>16</v>
      </c>
      <c r="G1692" s="26">
        <f>ROUND(C1692*E1692,0)</f>
        <v>397</v>
      </c>
      <c r="H1692" t="s">
        <v>4015</v>
      </c>
    </row>
    <row r="1693" spans="1:8" ht="30" x14ac:dyDescent="0.25">
      <c r="A1693" s="21" t="s">
        <v>4017</v>
      </c>
      <c r="B1693" s="25" t="s">
        <v>4018</v>
      </c>
      <c r="C1693" s="26">
        <v>1</v>
      </c>
      <c r="D1693" s="27" t="s">
        <v>15</v>
      </c>
      <c r="E1693" s="26">
        <v>79.95</v>
      </c>
      <c r="F1693" s="28" t="s">
        <v>16</v>
      </c>
      <c r="G1693" s="26">
        <f>ROUND(C1693*E1693,0)</f>
        <v>80</v>
      </c>
      <c r="H1693" t="s">
        <v>4018</v>
      </c>
    </row>
    <row r="1694" spans="1:8" ht="135" x14ac:dyDescent="0.25">
      <c r="A1694" s="21" t="s">
        <v>4019</v>
      </c>
      <c r="B1694" s="25" t="s">
        <v>4021</v>
      </c>
      <c r="C1694" s="26"/>
      <c r="D1694" s="27"/>
      <c r="E1694" s="26"/>
      <c r="F1694" s="28"/>
      <c r="G1694" s="26"/>
      <c r="H1694" t="s">
        <v>4020</v>
      </c>
    </row>
    <row r="1695" spans="1:8" ht="30" x14ac:dyDescent="0.25">
      <c r="A1695" s="21" t="s">
        <v>4022</v>
      </c>
      <c r="B1695" s="25" t="s">
        <v>4024</v>
      </c>
      <c r="C1695" s="26">
        <v>1</v>
      </c>
      <c r="D1695" s="27" t="s">
        <v>15</v>
      </c>
      <c r="E1695" s="26">
        <v>886.6</v>
      </c>
      <c r="F1695" s="28" t="s">
        <v>16</v>
      </c>
      <c r="G1695" s="26">
        <f>ROUND(C1695*E1695,0)</f>
        <v>887</v>
      </c>
      <c r="H1695" t="s">
        <v>4023</v>
      </c>
    </row>
    <row r="1696" spans="1:8" ht="135" x14ac:dyDescent="0.25">
      <c r="A1696" s="21" t="s">
        <v>4025</v>
      </c>
      <c r="B1696" s="25" t="s">
        <v>4027</v>
      </c>
      <c r="C1696" s="26">
        <v>1</v>
      </c>
      <c r="D1696" s="27" t="s">
        <v>15</v>
      </c>
      <c r="E1696" s="26">
        <v>829.95</v>
      </c>
      <c r="F1696" s="28" t="s">
        <v>16</v>
      </c>
      <c r="G1696" s="26">
        <f>ROUND(C1696*E1696,0)</f>
        <v>830</v>
      </c>
      <c r="H1696" t="s">
        <v>4026</v>
      </c>
    </row>
    <row r="1697" spans="1:8" ht="75" x14ac:dyDescent="0.25">
      <c r="A1697" s="21" t="s">
        <v>4028</v>
      </c>
      <c r="B1697" s="25" t="s">
        <v>4030</v>
      </c>
      <c r="C1697" s="26">
        <v>1</v>
      </c>
      <c r="D1697" s="27" t="s">
        <v>429</v>
      </c>
      <c r="E1697" s="26">
        <v>22.1</v>
      </c>
      <c r="F1697" s="28" t="s">
        <v>4031</v>
      </c>
      <c r="G1697" s="26">
        <f>ROUND(C1697*E1697,0)</f>
        <v>22</v>
      </c>
      <c r="H1697" t="s">
        <v>4029</v>
      </c>
    </row>
    <row r="1698" spans="1:8" ht="45" x14ac:dyDescent="0.25">
      <c r="A1698" s="21" t="s">
        <v>4032</v>
      </c>
      <c r="B1698" s="25" t="s">
        <v>4034</v>
      </c>
      <c r="C1698" s="26">
        <v>1</v>
      </c>
      <c r="D1698" s="27" t="s">
        <v>15</v>
      </c>
      <c r="E1698" s="26">
        <v>87.1</v>
      </c>
      <c r="F1698" s="28" t="s">
        <v>16</v>
      </c>
      <c r="G1698" s="26">
        <f>ROUND(C1698*E1698,0)</f>
        <v>87</v>
      </c>
      <c r="H1698" t="s">
        <v>4033</v>
      </c>
    </row>
    <row r="1699" spans="1:8" ht="30" x14ac:dyDescent="0.25">
      <c r="A1699" s="21" t="s">
        <v>4035</v>
      </c>
      <c r="B1699" s="25" t="s">
        <v>4037</v>
      </c>
      <c r="C1699" s="26"/>
      <c r="D1699" s="27"/>
      <c r="E1699" s="26"/>
      <c r="F1699" s="28"/>
      <c r="G1699" s="26"/>
      <c r="H1699" t="s">
        <v>4036</v>
      </c>
    </row>
    <row r="1700" spans="1:8" ht="30" x14ac:dyDescent="0.25">
      <c r="A1700" s="21" t="s">
        <v>4038</v>
      </c>
      <c r="B1700" s="25" t="s">
        <v>4040</v>
      </c>
      <c r="C1700" s="26">
        <v>1</v>
      </c>
      <c r="D1700" s="27" t="s">
        <v>15</v>
      </c>
      <c r="E1700" s="26">
        <v>47.65</v>
      </c>
      <c r="F1700" s="28" t="s">
        <v>16</v>
      </c>
      <c r="G1700" s="26">
        <f>ROUND(C1700*E1700,0)</f>
        <v>48</v>
      </c>
      <c r="H1700" t="s">
        <v>4039</v>
      </c>
    </row>
    <row r="1701" spans="1:8" ht="30" x14ac:dyDescent="0.25">
      <c r="A1701" s="21" t="s">
        <v>4041</v>
      </c>
      <c r="B1701" s="25" t="s">
        <v>4043</v>
      </c>
      <c r="C1701" s="26">
        <v>1</v>
      </c>
      <c r="D1701" s="27" t="s">
        <v>15</v>
      </c>
      <c r="E1701" s="26">
        <v>72.3</v>
      </c>
      <c r="F1701" s="28" t="s">
        <v>16</v>
      </c>
      <c r="G1701" s="26">
        <f>ROUND(C1701*E1701,0)</f>
        <v>72</v>
      </c>
      <c r="H1701" t="s">
        <v>4042</v>
      </c>
    </row>
    <row r="1702" spans="1:8" ht="30" x14ac:dyDescent="0.25">
      <c r="A1702" s="21" t="s">
        <v>4044</v>
      </c>
      <c r="B1702" s="25" t="s">
        <v>4046</v>
      </c>
      <c r="C1702" s="26"/>
      <c r="D1702" s="27"/>
      <c r="E1702" s="26"/>
      <c r="F1702" s="28"/>
      <c r="G1702" s="26"/>
      <c r="H1702" t="s">
        <v>4045</v>
      </c>
    </row>
    <row r="1703" spans="1:8" ht="30" x14ac:dyDescent="0.25">
      <c r="A1703" s="21" t="s">
        <v>4047</v>
      </c>
      <c r="B1703" s="25" t="s">
        <v>4040</v>
      </c>
      <c r="C1703" s="26">
        <v>1</v>
      </c>
      <c r="D1703" s="27" t="s">
        <v>15</v>
      </c>
      <c r="E1703" s="26">
        <v>713.2</v>
      </c>
      <c r="F1703" s="28" t="s">
        <v>16</v>
      </c>
      <c r="G1703" s="26">
        <f>ROUND(C1703*E1703,0)</f>
        <v>713</v>
      </c>
      <c r="H1703" t="s">
        <v>4039</v>
      </c>
    </row>
    <row r="1704" spans="1:8" ht="30" x14ac:dyDescent="0.25">
      <c r="A1704" s="21" t="s">
        <v>4048</v>
      </c>
      <c r="B1704" s="25" t="s">
        <v>4043</v>
      </c>
      <c r="C1704" s="26">
        <v>1</v>
      </c>
      <c r="D1704" s="27" t="s">
        <v>15</v>
      </c>
      <c r="E1704" s="26">
        <v>1175.75</v>
      </c>
      <c r="F1704" s="28" t="s">
        <v>16</v>
      </c>
      <c r="G1704" s="26">
        <f>ROUND(C1704*E1704,0)</f>
        <v>1176</v>
      </c>
      <c r="H1704" t="s">
        <v>4042</v>
      </c>
    </row>
    <row r="1705" spans="1:8" x14ac:dyDescent="0.25">
      <c r="A1705" s="21" t="s">
        <v>4049</v>
      </c>
      <c r="B1705" s="25" t="s">
        <v>4051</v>
      </c>
      <c r="C1705" s="26"/>
      <c r="D1705" s="27"/>
      <c r="E1705" s="26"/>
      <c r="F1705" s="28"/>
      <c r="G1705" s="26"/>
      <c r="H1705" t="s">
        <v>4050</v>
      </c>
    </row>
    <row r="1706" spans="1:8" ht="30" x14ac:dyDescent="0.25">
      <c r="A1706" s="21" t="s">
        <v>4052</v>
      </c>
      <c r="B1706" s="25" t="s">
        <v>4054</v>
      </c>
      <c r="C1706" s="26">
        <v>1</v>
      </c>
      <c r="D1706" s="27" t="s">
        <v>15</v>
      </c>
      <c r="E1706" s="26">
        <v>177.6</v>
      </c>
      <c r="F1706" s="28" t="s">
        <v>16</v>
      </c>
      <c r="G1706" s="26">
        <f>ROUND(C1706*E1706,0)</f>
        <v>178</v>
      </c>
      <c r="H1706" t="s">
        <v>4053</v>
      </c>
    </row>
    <row r="1707" spans="1:8" ht="30" x14ac:dyDescent="0.25">
      <c r="A1707" s="21" t="s">
        <v>4055</v>
      </c>
      <c r="B1707" s="25" t="s">
        <v>4057</v>
      </c>
      <c r="C1707" s="26">
        <v>1</v>
      </c>
      <c r="D1707" s="27" t="s">
        <v>15</v>
      </c>
      <c r="E1707" s="26">
        <v>192.3</v>
      </c>
      <c r="F1707" s="28" t="s">
        <v>16</v>
      </c>
      <c r="G1707" s="26">
        <f>ROUND(C1707*E1707,0)</f>
        <v>192</v>
      </c>
      <c r="H1707" t="s">
        <v>4056</v>
      </c>
    </row>
    <row r="1708" spans="1:8" ht="30" x14ac:dyDescent="0.25">
      <c r="A1708" s="21" t="s">
        <v>4058</v>
      </c>
      <c r="B1708" s="25" t="s">
        <v>4060</v>
      </c>
      <c r="C1708" s="26">
        <v>1</v>
      </c>
      <c r="D1708" s="27" t="s">
        <v>15</v>
      </c>
      <c r="E1708" s="26">
        <v>117.65</v>
      </c>
      <c r="F1708" s="28" t="s">
        <v>16</v>
      </c>
      <c r="G1708" s="26">
        <f>ROUND(C1708*E1708,0)</f>
        <v>118</v>
      </c>
      <c r="H1708" t="s">
        <v>4059</v>
      </c>
    </row>
    <row r="1709" spans="1:8" ht="45" x14ac:dyDescent="0.25">
      <c r="A1709" s="21" t="s">
        <v>4061</v>
      </c>
      <c r="B1709" s="25" t="s">
        <v>4063</v>
      </c>
      <c r="C1709" s="26">
        <v>1</v>
      </c>
      <c r="D1709" s="27" t="s">
        <v>15</v>
      </c>
      <c r="E1709" s="26">
        <v>262.7</v>
      </c>
      <c r="F1709" s="28" t="s">
        <v>16</v>
      </c>
      <c r="G1709" s="26">
        <f>ROUND(C1709*E1709,0)</f>
        <v>263</v>
      </c>
      <c r="H1709" t="s">
        <v>4062</v>
      </c>
    </row>
    <row r="1710" spans="1:8" ht="30" x14ac:dyDescent="0.25">
      <c r="A1710" s="21" t="s">
        <v>4064</v>
      </c>
      <c r="B1710" s="25" t="s">
        <v>4066</v>
      </c>
      <c r="C1710" s="26">
        <v>1</v>
      </c>
      <c r="D1710" s="27" t="s">
        <v>15</v>
      </c>
      <c r="E1710" s="26">
        <v>113.9</v>
      </c>
      <c r="F1710" s="28" t="s">
        <v>16</v>
      </c>
      <c r="G1710" s="26">
        <f>ROUND(C1710*E1710,0)</f>
        <v>114</v>
      </c>
      <c r="H1710" t="s">
        <v>4065</v>
      </c>
    </row>
    <row r="1711" spans="1:8" ht="30" x14ac:dyDescent="0.25">
      <c r="A1711" s="21" t="s">
        <v>4067</v>
      </c>
      <c r="B1711" s="25" t="s">
        <v>4069</v>
      </c>
      <c r="C1711" s="26"/>
      <c r="D1711" s="27"/>
      <c r="E1711" s="26"/>
      <c r="F1711" s="28"/>
      <c r="G1711" s="26"/>
      <c r="H1711" t="s">
        <v>4068</v>
      </c>
    </row>
    <row r="1712" spans="1:8" ht="30" x14ac:dyDescent="0.25">
      <c r="A1712" s="21" t="s">
        <v>4070</v>
      </c>
      <c r="B1712" s="25" t="s">
        <v>4072</v>
      </c>
      <c r="C1712" s="26">
        <v>1</v>
      </c>
      <c r="D1712" s="27" t="s">
        <v>429</v>
      </c>
      <c r="E1712" s="26">
        <v>7.5</v>
      </c>
      <c r="F1712" s="28" t="s">
        <v>4073</v>
      </c>
      <c r="G1712" s="26">
        <f>ROUND(C1712*E1712,0)</f>
        <v>8</v>
      </c>
      <c r="H1712" t="s">
        <v>4071</v>
      </c>
    </row>
    <row r="1713" spans="1:8" ht="30" x14ac:dyDescent="0.25">
      <c r="A1713" s="21" t="s">
        <v>4074</v>
      </c>
      <c r="B1713" s="25" t="s">
        <v>4076</v>
      </c>
      <c r="C1713" s="26">
        <v>1</v>
      </c>
      <c r="D1713" s="27" t="s">
        <v>429</v>
      </c>
      <c r="E1713" s="26">
        <v>8.1999999999999993</v>
      </c>
      <c r="F1713" s="28" t="s">
        <v>4073</v>
      </c>
      <c r="G1713" s="26">
        <f>ROUND(C1713*E1713,0)</f>
        <v>8</v>
      </c>
      <c r="H1713" t="s">
        <v>4075</v>
      </c>
    </row>
    <row r="1714" spans="1:8" ht="30" x14ac:dyDescent="0.25">
      <c r="A1714" s="21" t="s">
        <v>4077</v>
      </c>
      <c r="B1714" s="25" t="s">
        <v>4079</v>
      </c>
      <c r="C1714" s="26">
        <v>1</v>
      </c>
      <c r="D1714" s="27" t="s">
        <v>429</v>
      </c>
      <c r="E1714" s="26">
        <v>9.35</v>
      </c>
      <c r="F1714" s="28" t="s">
        <v>4073</v>
      </c>
      <c r="G1714" s="26">
        <f>ROUND(C1714*E1714,0)</f>
        <v>9</v>
      </c>
      <c r="H1714" t="s">
        <v>4078</v>
      </c>
    </row>
    <row r="1715" spans="1:8" ht="30" x14ac:dyDescent="0.25">
      <c r="A1715" s="21" t="s">
        <v>4080</v>
      </c>
      <c r="B1715" s="25" t="s">
        <v>4082</v>
      </c>
      <c r="C1715" s="26">
        <v>1</v>
      </c>
      <c r="D1715" s="27" t="s">
        <v>429</v>
      </c>
      <c r="E1715" s="26">
        <v>16.100000000000001</v>
      </c>
      <c r="F1715" s="28" t="s">
        <v>4073</v>
      </c>
      <c r="G1715" s="26">
        <f>ROUND(C1715*E1715,0)</f>
        <v>16</v>
      </c>
      <c r="H1715" t="s">
        <v>4081</v>
      </c>
    </row>
    <row r="1716" spans="1:8" ht="30" x14ac:dyDescent="0.25">
      <c r="A1716" s="21" t="s">
        <v>4083</v>
      </c>
      <c r="B1716" s="25" t="s">
        <v>4085</v>
      </c>
      <c r="C1716" s="26"/>
      <c r="D1716" s="27"/>
      <c r="E1716" s="26"/>
      <c r="F1716" s="28"/>
      <c r="G1716" s="26"/>
      <c r="H1716" t="s">
        <v>4084</v>
      </c>
    </row>
    <row r="1717" spans="1:8" ht="30" x14ac:dyDescent="0.25">
      <c r="A1717" s="21" t="s">
        <v>4086</v>
      </c>
      <c r="B1717" s="25" t="s">
        <v>4072</v>
      </c>
      <c r="C1717" s="26">
        <v>1</v>
      </c>
      <c r="D1717" s="27" t="s">
        <v>429</v>
      </c>
      <c r="E1717" s="26">
        <v>9.0500000000000007</v>
      </c>
      <c r="F1717" s="28" t="s">
        <v>4073</v>
      </c>
      <c r="G1717" s="26">
        <f>ROUND(C1717*E1717,0)</f>
        <v>9</v>
      </c>
      <c r="H1717" t="s">
        <v>4071</v>
      </c>
    </row>
    <row r="1718" spans="1:8" ht="30" x14ac:dyDescent="0.25">
      <c r="A1718" s="21" t="s">
        <v>4087</v>
      </c>
      <c r="B1718" s="25" t="s">
        <v>4076</v>
      </c>
      <c r="C1718" s="26">
        <v>1</v>
      </c>
      <c r="D1718" s="27" t="s">
        <v>429</v>
      </c>
      <c r="E1718" s="26">
        <v>10</v>
      </c>
      <c r="F1718" s="28" t="s">
        <v>4073</v>
      </c>
      <c r="G1718" s="26">
        <f>ROUND(C1718*E1718,0)</f>
        <v>10</v>
      </c>
      <c r="H1718" t="s">
        <v>4075</v>
      </c>
    </row>
    <row r="1719" spans="1:8" ht="30" x14ac:dyDescent="0.25">
      <c r="A1719" s="21" t="s">
        <v>4088</v>
      </c>
      <c r="B1719" s="25" t="s">
        <v>4079</v>
      </c>
      <c r="C1719" s="26">
        <v>1</v>
      </c>
      <c r="D1719" s="27" t="s">
        <v>429</v>
      </c>
      <c r="E1719" s="26">
        <v>11.4</v>
      </c>
      <c r="F1719" s="28" t="s">
        <v>4073</v>
      </c>
      <c r="G1719" s="26">
        <f>ROUND(C1719*E1719,0)</f>
        <v>11</v>
      </c>
      <c r="H1719" t="s">
        <v>4078</v>
      </c>
    </row>
    <row r="1720" spans="1:8" ht="30" x14ac:dyDescent="0.25">
      <c r="A1720" s="21" t="s">
        <v>4089</v>
      </c>
      <c r="B1720" s="25" t="s">
        <v>4082</v>
      </c>
      <c r="C1720" s="26">
        <v>1</v>
      </c>
      <c r="D1720" s="27" t="s">
        <v>429</v>
      </c>
      <c r="E1720" s="26">
        <v>21.4</v>
      </c>
      <c r="F1720" s="28" t="s">
        <v>4073</v>
      </c>
      <c r="G1720" s="26">
        <f>ROUND(C1720*E1720,0)</f>
        <v>21</v>
      </c>
      <c r="H1720" t="s">
        <v>4081</v>
      </c>
    </row>
    <row r="1721" spans="1:8" ht="75" x14ac:dyDescent="0.25">
      <c r="A1721" s="21" t="s">
        <v>4090</v>
      </c>
      <c r="B1721" s="25" t="s">
        <v>4092</v>
      </c>
      <c r="C1721" s="26">
        <v>1</v>
      </c>
      <c r="D1721" s="27" t="s">
        <v>429</v>
      </c>
      <c r="E1721" s="26">
        <v>21.45</v>
      </c>
      <c r="F1721" s="28" t="s">
        <v>4073</v>
      </c>
      <c r="G1721" s="26">
        <f>ROUND(C1721*E1721,0)</f>
        <v>21</v>
      </c>
      <c r="H1721" t="s">
        <v>4091</v>
      </c>
    </row>
    <row r="1722" spans="1:8" ht="30" x14ac:dyDescent="0.25">
      <c r="A1722" s="21" t="s">
        <v>4093</v>
      </c>
      <c r="B1722" s="25" t="s">
        <v>4095</v>
      </c>
      <c r="C1722" s="26"/>
      <c r="D1722" s="27"/>
      <c r="E1722" s="26"/>
      <c r="F1722" s="28"/>
      <c r="G1722" s="26"/>
      <c r="H1722" t="s">
        <v>4094</v>
      </c>
    </row>
    <row r="1723" spans="1:8" ht="30" x14ac:dyDescent="0.25">
      <c r="A1723" s="21" t="s">
        <v>4096</v>
      </c>
      <c r="B1723" s="25" t="s">
        <v>4098</v>
      </c>
      <c r="C1723" s="26">
        <v>1</v>
      </c>
      <c r="D1723" s="27" t="s">
        <v>15</v>
      </c>
      <c r="E1723" s="26">
        <v>257.35000000000002</v>
      </c>
      <c r="F1723" s="28" t="s">
        <v>16</v>
      </c>
      <c r="G1723" s="26">
        <f>ROUND(C1723*E1723,0)</f>
        <v>257</v>
      </c>
      <c r="H1723" t="s">
        <v>4097</v>
      </c>
    </row>
    <row r="1724" spans="1:8" ht="30" x14ac:dyDescent="0.25">
      <c r="A1724" s="21" t="s">
        <v>4099</v>
      </c>
      <c r="B1724" s="25" t="s">
        <v>4101</v>
      </c>
      <c r="C1724" s="26">
        <v>1</v>
      </c>
      <c r="D1724" s="27" t="s">
        <v>15</v>
      </c>
      <c r="E1724" s="26">
        <v>419.9</v>
      </c>
      <c r="F1724" s="28" t="s">
        <v>16</v>
      </c>
      <c r="G1724" s="26">
        <f>ROUND(C1724*E1724,0)</f>
        <v>420</v>
      </c>
      <c r="H1724" t="s">
        <v>4100</v>
      </c>
    </row>
    <row r="1725" spans="1:8" ht="30" x14ac:dyDescent="0.25">
      <c r="A1725" s="21" t="s">
        <v>4102</v>
      </c>
      <c r="B1725" s="25" t="s">
        <v>4104</v>
      </c>
      <c r="C1725" s="26"/>
      <c r="D1725" s="27"/>
      <c r="E1725" s="26"/>
      <c r="F1725" s="28"/>
      <c r="G1725" s="26"/>
      <c r="H1725" t="s">
        <v>4103</v>
      </c>
    </row>
    <row r="1726" spans="1:8" ht="30" x14ac:dyDescent="0.25">
      <c r="A1726" s="21" t="s">
        <v>4105</v>
      </c>
      <c r="B1726" s="25" t="s">
        <v>4098</v>
      </c>
      <c r="C1726" s="26">
        <v>1</v>
      </c>
      <c r="D1726" s="27" t="s">
        <v>15</v>
      </c>
      <c r="E1726" s="26">
        <v>350.2</v>
      </c>
      <c r="F1726" s="28" t="s">
        <v>16</v>
      </c>
      <c r="G1726" s="26">
        <f>ROUND(C1726*E1726,0)</f>
        <v>350</v>
      </c>
      <c r="H1726" t="s">
        <v>4097</v>
      </c>
    </row>
    <row r="1727" spans="1:8" ht="30" x14ac:dyDescent="0.25">
      <c r="A1727" s="21" t="s">
        <v>4106</v>
      </c>
      <c r="B1727" s="25" t="s">
        <v>4108</v>
      </c>
      <c r="C1727" s="26"/>
      <c r="D1727" s="27"/>
      <c r="E1727" s="26"/>
      <c r="F1727" s="28"/>
      <c r="G1727" s="26"/>
      <c r="H1727" t="s">
        <v>4107</v>
      </c>
    </row>
    <row r="1728" spans="1:8" ht="30" x14ac:dyDescent="0.25">
      <c r="A1728" s="21" t="s">
        <v>4109</v>
      </c>
      <c r="B1728" s="25" t="s">
        <v>4111</v>
      </c>
      <c r="C1728" s="26">
        <v>1</v>
      </c>
      <c r="D1728" s="27" t="s">
        <v>15</v>
      </c>
      <c r="E1728" s="26">
        <v>385.4</v>
      </c>
      <c r="F1728" s="28" t="s">
        <v>16</v>
      </c>
      <c r="G1728" s="26">
        <f>ROUND(C1728*E1728,0)</f>
        <v>385</v>
      </c>
      <c r="H1728" t="s">
        <v>4110</v>
      </c>
    </row>
    <row r="1729" spans="1:8" ht="30" x14ac:dyDescent="0.25">
      <c r="A1729" s="21" t="s">
        <v>4112</v>
      </c>
      <c r="B1729" s="25" t="s">
        <v>4101</v>
      </c>
      <c r="C1729" s="26">
        <v>1</v>
      </c>
      <c r="D1729" s="27" t="s">
        <v>15</v>
      </c>
      <c r="E1729" s="26">
        <v>701.05</v>
      </c>
      <c r="F1729" s="28" t="s">
        <v>16</v>
      </c>
      <c r="G1729" s="26">
        <f>ROUND(C1729*E1729,0)</f>
        <v>701</v>
      </c>
      <c r="H1729" t="s">
        <v>4100</v>
      </c>
    </row>
    <row r="1730" spans="1:8" ht="45" x14ac:dyDescent="0.25">
      <c r="A1730" s="21" t="s">
        <v>4113</v>
      </c>
      <c r="B1730" s="25" t="s">
        <v>4115</v>
      </c>
      <c r="C1730" s="26">
        <v>1</v>
      </c>
      <c r="D1730" s="27" t="s">
        <v>15</v>
      </c>
      <c r="E1730" s="26">
        <v>716.95</v>
      </c>
      <c r="F1730" s="28" t="s">
        <v>16</v>
      </c>
      <c r="G1730" s="26">
        <f>ROUND(C1730*E1730,0)</f>
        <v>717</v>
      </c>
      <c r="H1730" t="s">
        <v>4114</v>
      </c>
    </row>
    <row r="1731" spans="1:8" ht="30" x14ac:dyDescent="0.25">
      <c r="A1731" s="21" t="s">
        <v>4116</v>
      </c>
      <c r="B1731" s="25" t="s">
        <v>4118</v>
      </c>
      <c r="C1731" s="26"/>
      <c r="D1731" s="27"/>
      <c r="E1731" s="26"/>
      <c r="F1731" s="28"/>
      <c r="G1731" s="26"/>
      <c r="H1731" t="s">
        <v>4117</v>
      </c>
    </row>
    <row r="1732" spans="1:8" ht="30" x14ac:dyDescent="0.25">
      <c r="A1732" s="21" t="s">
        <v>4119</v>
      </c>
      <c r="B1732" s="25" t="s">
        <v>4111</v>
      </c>
      <c r="C1732" s="26">
        <v>1</v>
      </c>
      <c r="D1732" s="27" t="s">
        <v>15</v>
      </c>
      <c r="E1732" s="26">
        <v>214.2</v>
      </c>
      <c r="F1732" s="28" t="s">
        <v>16</v>
      </c>
      <c r="G1732" s="26">
        <f>ROUND(C1732*E1732,0)</f>
        <v>214</v>
      </c>
      <c r="H1732" t="s">
        <v>4110</v>
      </c>
    </row>
    <row r="1733" spans="1:8" ht="45" x14ac:dyDescent="0.25">
      <c r="A1733" s="21" t="s">
        <v>4120</v>
      </c>
      <c r="B1733" s="25" t="s">
        <v>4122</v>
      </c>
      <c r="C1733" s="26">
        <v>1</v>
      </c>
      <c r="D1733" s="27" t="s">
        <v>15</v>
      </c>
      <c r="E1733" s="26">
        <v>8.65</v>
      </c>
      <c r="F1733" s="28" t="s">
        <v>16</v>
      </c>
      <c r="G1733" s="26">
        <f>ROUND(C1733*E1733,0)</f>
        <v>9</v>
      </c>
      <c r="H1733" t="s">
        <v>4121</v>
      </c>
    </row>
    <row r="1734" spans="1:8" x14ac:dyDescent="0.25">
      <c r="A1734" s="21" t="s">
        <v>4123</v>
      </c>
      <c r="B1734" s="25" t="s">
        <v>4125</v>
      </c>
      <c r="C1734" s="26"/>
      <c r="D1734" s="27"/>
      <c r="E1734" s="26"/>
      <c r="F1734" s="28"/>
      <c r="G1734" s="26"/>
      <c r="H1734" t="s">
        <v>4124</v>
      </c>
    </row>
    <row r="1735" spans="1:8" ht="30" x14ac:dyDescent="0.25">
      <c r="A1735" s="21" t="s">
        <v>4126</v>
      </c>
      <c r="B1735" s="25" t="s">
        <v>4128</v>
      </c>
      <c r="C1735" s="26">
        <v>1</v>
      </c>
      <c r="D1735" s="27" t="s">
        <v>15</v>
      </c>
      <c r="E1735" s="26">
        <v>39.049999999999997</v>
      </c>
      <c r="F1735" s="28" t="s">
        <v>16</v>
      </c>
      <c r="G1735" s="26">
        <f>ROUND(C1735*E1735,0)</f>
        <v>39</v>
      </c>
      <c r="H1735" t="s">
        <v>4127</v>
      </c>
    </row>
    <row r="1736" spans="1:8" ht="30" x14ac:dyDescent="0.25">
      <c r="A1736" s="21" t="s">
        <v>4129</v>
      </c>
      <c r="B1736" s="25" t="s">
        <v>4131</v>
      </c>
      <c r="C1736" s="26">
        <v>1</v>
      </c>
      <c r="D1736" s="27" t="s">
        <v>15</v>
      </c>
      <c r="E1736" s="26">
        <v>15.75</v>
      </c>
      <c r="F1736" s="28" t="s">
        <v>16</v>
      </c>
      <c r="G1736" s="26">
        <f>ROUND(C1736*E1736,0)</f>
        <v>16</v>
      </c>
      <c r="H1736" t="s">
        <v>4130</v>
      </c>
    </row>
    <row r="1737" spans="1:8" ht="30" x14ac:dyDescent="0.25">
      <c r="A1737" s="21" t="s">
        <v>4132</v>
      </c>
      <c r="B1737" s="25" t="s">
        <v>4134</v>
      </c>
      <c r="C1737" s="26"/>
      <c r="D1737" s="27"/>
      <c r="E1737" s="26"/>
      <c r="F1737" s="28"/>
      <c r="G1737" s="26"/>
      <c r="H1737" t="s">
        <v>4133</v>
      </c>
    </row>
    <row r="1738" spans="1:8" ht="30" x14ac:dyDescent="0.25">
      <c r="A1738" s="21" t="s">
        <v>4135</v>
      </c>
      <c r="B1738" s="25" t="s">
        <v>4137</v>
      </c>
      <c r="C1738" s="26">
        <v>1</v>
      </c>
      <c r="D1738" s="27" t="s">
        <v>15</v>
      </c>
      <c r="E1738" s="26">
        <v>53.3</v>
      </c>
      <c r="F1738" s="28" t="s">
        <v>16</v>
      </c>
      <c r="G1738" s="26">
        <f>ROUND(C1738*E1738,0)</f>
        <v>53</v>
      </c>
      <c r="H1738" t="s">
        <v>4136</v>
      </c>
    </row>
    <row r="1739" spans="1:8" ht="30" x14ac:dyDescent="0.25">
      <c r="A1739" s="21" t="s">
        <v>4138</v>
      </c>
      <c r="B1739" s="25" t="s">
        <v>4140</v>
      </c>
      <c r="C1739" s="26">
        <v>1</v>
      </c>
      <c r="D1739" s="27" t="s">
        <v>15</v>
      </c>
      <c r="E1739" s="26">
        <v>52.75</v>
      </c>
      <c r="F1739" s="28" t="s">
        <v>16</v>
      </c>
      <c r="G1739" s="26">
        <f>ROUND(C1739*E1739,0)</f>
        <v>53</v>
      </c>
      <c r="H1739" t="s">
        <v>4139</v>
      </c>
    </row>
    <row r="1740" spans="1:8" ht="60" x14ac:dyDescent="0.25">
      <c r="A1740" s="21" t="s">
        <v>4141</v>
      </c>
      <c r="B1740" s="25" t="s">
        <v>4142</v>
      </c>
      <c r="C1740" s="26"/>
      <c r="D1740" s="27"/>
      <c r="E1740" s="26"/>
      <c r="F1740" s="28"/>
      <c r="G1740" s="26"/>
      <c r="H1740" t="s">
        <v>4142</v>
      </c>
    </row>
    <row r="1741" spans="1:8" ht="45" x14ac:dyDescent="0.25">
      <c r="A1741" s="21" t="s">
        <v>4143</v>
      </c>
      <c r="B1741" s="25" t="s">
        <v>4145</v>
      </c>
      <c r="C1741" s="26">
        <v>1</v>
      </c>
      <c r="D1741" s="27" t="s">
        <v>15</v>
      </c>
      <c r="E1741" s="26">
        <v>185.65</v>
      </c>
      <c r="F1741" s="28" t="s">
        <v>16</v>
      </c>
      <c r="G1741" s="26">
        <f>ROUND(C1741*E1741,0)</f>
        <v>186</v>
      </c>
      <c r="H1741" t="s">
        <v>4144</v>
      </c>
    </row>
    <row r="1742" spans="1:8" ht="30" x14ac:dyDescent="0.25">
      <c r="A1742" s="21" t="s">
        <v>4146</v>
      </c>
      <c r="B1742" s="25" t="s">
        <v>4148</v>
      </c>
      <c r="C1742" s="26"/>
      <c r="D1742" s="27"/>
      <c r="E1742" s="26"/>
      <c r="F1742" s="28"/>
      <c r="G1742" s="26"/>
      <c r="H1742" t="s">
        <v>4147</v>
      </c>
    </row>
    <row r="1743" spans="1:8" ht="30" x14ac:dyDescent="0.25">
      <c r="A1743" s="21" t="s">
        <v>4149</v>
      </c>
      <c r="B1743" s="25" t="s">
        <v>4151</v>
      </c>
      <c r="C1743" s="26">
        <v>1</v>
      </c>
      <c r="D1743" s="27" t="s">
        <v>15</v>
      </c>
      <c r="E1743" s="26">
        <v>116.9</v>
      </c>
      <c r="F1743" s="28" t="s">
        <v>16</v>
      </c>
      <c r="G1743" s="26">
        <f>ROUND(C1743*E1743,0)</f>
        <v>117</v>
      </c>
      <c r="H1743" t="s">
        <v>4150</v>
      </c>
    </row>
    <row r="1744" spans="1:8" ht="30" x14ac:dyDescent="0.25">
      <c r="A1744" s="21" t="s">
        <v>4152</v>
      </c>
      <c r="B1744" s="25" t="s">
        <v>4154</v>
      </c>
      <c r="C1744" s="26"/>
      <c r="D1744" s="27"/>
      <c r="E1744" s="26"/>
      <c r="F1744" s="28"/>
      <c r="G1744" s="26"/>
      <c r="H1744" t="s">
        <v>4153</v>
      </c>
    </row>
    <row r="1745" spans="1:8" ht="45" x14ac:dyDescent="0.25">
      <c r="A1745" s="21" t="s">
        <v>4155</v>
      </c>
      <c r="B1745" s="25" t="s">
        <v>4157</v>
      </c>
      <c r="C1745" s="26">
        <v>1</v>
      </c>
      <c r="D1745" s="27" t="s">
        <v>15</v>
      </c>
      <c r="E1745" s="26">
        <v>223.6</v>
      </c>
      <c r="F1745" s="28" t="s">
        <v>16</v>
      </c>
      <c r="G1745" s="26">
        <f>ROUND(C1745*E1745,0)</f>
        <v>224</v>
      </c>
      <c r="H1745" t="s">
        <v>4156</v>
      </c>
    </row>
    <row r="1746" spans="1:8" ht="30" x14ac:dyDescent="0.25">
      <c r="A1746" s="21" t="s">
        <v>4158</v>
      </c>
      <c r="B1746" s="25" t="s">
        <v>4160</v>
      </c>
      <c r="C1746" s="26"/>
      <c r="D1746" s="27"/>
      <c r="E1746" s="26"/>
      <c r="F1746" s="28"/>
      <c r="G1746" s="26"/>
      <c r="H1746" t="s">
        <v>4159</v>
      </c>
    </row>
    <row r="1747" spans="1:8" ht="45" x14ac:dyDescent="0.25">
      <c r="A1747" s="21" t="s">
        <v>4161</v>
      </c>
      <c r="B1747" s="25" t="s">
        <v>4163</v>
      </c>
      <c r="C1747" s="26">
        <v>1</v>
      </c>
      <c r="D1747" s="27" t="s">
        <v>15</v>
      </c>
      <c r="E1747" s="26">
        <v>160.6</v>
      </c>
      <c r="F1747" s="28" t="s">
        <v>16</v>
      </c>
      <c r="G1747" s="26">
        <f>ROUND(C1747*E1747,0)</f>
        <v>161</v>
      </c>
      <c r="H1747" t="s">
        <v>4162</v>
      </c>
    </row>
    <row r="1748" spans="1:8" ht="45" x14ac:dyDescent="0.25">
      <c r="A1748" s="21" t="s">
        <v>4164</v>
      </c>
      <c r="B1748" s="25" t="s">
        <v>4166</v>
      </c>
      <c r="C1748" s="26"/>
      <c r="D1748" s="27"/>
      <c r="E1748" s="26"/>
      <c r="F1748" s="28"/>
      <c r="G1748" s="26"/>
      <c r="H1748" t="s">
        <v>4165</v>
      </c>
    </row>
    <row r="1749" spans="1:8" ht="45" x14ac:dyDescent="0.25">
      <c r="A1749" s="21" t="s">
        <v>4167</v>
      </c>
      <c r="B1749" s="25" t="s">
        <v>4169</v>
      </c>
      <c r="C1749" s="26">
        <v>1</v>
      </c>
      <c r="D1749" s="27" t="s">
        <v>15</v>
      </c>
      <c r="E1749" s="26">
        <v>171.1</v>
      </c>
      <c r="F1749" s="28" t="s">
        <v>16</v>
      </c>
      <c r="G1749" s="26">
        <f>ROUND(C1749*E1749,0)</f>
        <v>171</v>
      </c>
      <c r="H1749" t="s">
        <v>4168</v>
      </c>
    </row>
    <row r="1750" spans="1:8" ht="45" x14ac:dyDescent="0.25">
      <c r="A1750" s="21" t="s">
        <v>4170</v>
      </c>
      <c r="B1750" s="25" t="s">
        <v>4172</v>
      </c>
      <c r="C1750" s="26"/>
      <c r="D1750" s="27"/>
      <c r="E1750" s="26"/>
      <c r="F1750" s="28"/>
      <c r="G1750" s="26"/>
      <c r="H1750" t="s">
        <v>4171</v>
      </c>
    </row>
    <row r="1751" spans="1:8" ht="45" x14ac:dyDescent="0.25">
      <c r="A1751" s="21" t="s">
        <v>4173</v>
      </c>
      <c r="B1751" s="25" t="s">
        <v>4175</v>
      </c>
      <c r="C1751" s="26">
        <v>1</v>
      </c>
      <c r="D1751" s="27" t="s">
        <v>15</v>
      </c>
      <c r="E1751" s="26">
        <v>193.7</v>
      </c>
      <c r="F1751" s="28" t="s">
        <v>16</v>
      </c>
      <c r="G1751" s="26">
        <f>ROUND(C1751*E1751,0)</f>
        <v>194</v>
      </c>
      <c r="H1751" t="s">
        <v>4174</v>
      </c>
    </row>
    <row r="1752" spans="1:8" ht="75" x14ac:dyDescent="0.25">
      <c r="A1752" s="21" t="s">
        <v>4176</v>
      </c>
      <c r="B1752" s="25" t="s">
        <v>4178</v>
      </c>
      <c r="C1752" s="26">
        <v>1</v>
      </c>
      <c r="D1752" s="27" t="s">
        <v>15</v>
      </c>
      <c r="E1752" s="26">
        <v>176.25</v>
      </c>
      <c r="F1752" s="28" t="s">
        <v>16</v>
      </c>
      <c r="G1752" s="26">
        <f>ROUND(C1752*E1752,0)</f>
        <v>176</v>
      </c>
      <c r="H1752" t="s">
        <v>4177</v>
      </c>
    </row>
    <row r="1753" spans="1:8" ht="75" x14ac:dyDescent="0.25">
      <c r="A1753" s="21" t="s">
        <v>4179</v>
      </c>
      <c r="B1753" s="25" t="s">
        <v>4181</v>
      </c>
      <c r="C1753" s="26">
        <v>1</v>
      </c>
      <c r="D1753" s="27" t="s">
        <v>15</v>
      </c>
      <c r="E1753" s="26">
        <v>170.7</v>
      </c>
      <c r="F1753" s="28" t="s">
        <v>16</v>
      </c>
      <c r="G1753" s="26">
        <f>ROUND(C1753*E1753,0)</f>
        <v>171</v>
      </c>
      <c r="H1753" t="s">
        <v>4180</v>
      </c>
    </row>
    <row r="1754" spans="1:8" ht="90" x14ac:dyDescent="0.25">
      <c r="A1754" s="21" t="s">
        <v>4182</v>
      </c>
      <c r="B1754" s="25" t="s">
        <v>4183</v>
      </c>
      <c r="C1754" s="26"/>
      <c r="D1754" s="27"/>
      <c r="E1754" s="26"/>
      <c r="F1754" s="28"/>
      <c r="G1754" s="26"/>
      <c r="H1754" t="s">
        <v>4183</v>
      </c>
    </row>
    <row r="1755" spans="1:8" ht="45" x14ac:dyDescent="0.25">
      <c r="A1755" s="21" t="s">
        <v>4184</v>
      </c>
      <c r="B1755" s="25" t="s">
        <v>4185</v>
      </c>
      <c r="C1755" s="26">
        <v>1</v>
      </c>
      <c r="D1755" s="27" t="s">
        <v>15</v>
      </c>
      <c r="E1755" s="26">
        <v>181.25</v>
      </c>
      <c r="F1755" s="28" t="s">
        <v>16</v>
      </c>
      <c r="G1755" s="26">
        <f>ROUND(C1755*E1755,0)</f>
        <v>181</v>
      </c>
      <c r="H1755" t="s">
        <v>4168</v>
      </c>
    </row>
    <row r="1756" spans="1:8" x14ac:dyDescent="0.25">
      <c r="A1756" s="21" t="s">
        <v>4186</v>
      </c>
      <c r="B1756" s="25" t="s">
        <v>4187</v>
      </c>
      <c r="C1756" s="26"/>
      <c r="D1756" s="27"/>
      <c r="E1756" s="26"/>
      <c r="F1756" s="28"/>
      <c r="G1756" s="26"/>
      <c r="H1756" t="s">
        <v>4187</v>
      </c>
    </row>
    <row r="1757" spans="1:8" ht="45" x14ac:dyDescent="0.25">
      <c r="A1757" s="21" t="s">
        <v>4188</v>
      </c>
      <c r="B1757" s="25" t="s">
        <v>4190</v>
      </c>
      <c r="C1757" s="26">
        <v>1</v>
      </c>
      <c r="D1757" s="27" t="s">
        <v>15</v>
      </c>
      <c r="E1757" s="26">
        <v>74.650000000000006</v>
      </c>
      <c r="F1757" s="28" t="s">
        <v>16</v>
      </c>
      <c r="G1757" s="26">
        <f>ROUND(C1757*E1757,0)</f>
        <v>75</v>
      </c>
      <c r="H1757" t="s">
        <v>4189</v>
      </c>
    </row>
    <row r="1758" spans="1:8" ht="45" x14ac:dyDescent="0.25">
      <c r="A1758" s="21" t="s">
        <v>4191</v>
      </c>
      <c r="B1758" s="25" t="s">
        <v>4193</v>
      </c>
      <c r="C1758" s="26">
        <v>1</v>
      </c>
      <c r="D1758" s="27" t="s">
        <v>15</v>
      </c>
      <c r="E1758" s="26">
        <v>67.400000000000006</v>
      </c>
      <c r="F1758" s="28" t="s">
        <v>16</v>
      </c>
      <c r="G1758" s="26">
        <f>ROUND(C1758*E1758,0)</f>
        <v>67</v>
      </c>
      <c r="H1758" t="s">
        <v>4192</v>
      </c>
    </row>
    <row r="1759" spans="1:8" ht="45" x14ac:dyDescent="0.25">
      <c r="A1759" s="21" t="s">
        <v>4194</v>
      </c>
      <c r="B1759" s="25" t="s">
        <v>4196</v>
      </c>
      <c r="C1759" s="26">
        <v>1</v>
      </c>
      <c r="D1759" s="27" t="s">
        <v>15</v>
      </c>
      <c r="E1759" s="26">
        <v>36.1</v>
      </c>
      <c r="F1759" s="28" t="s">
        <v>16</v>
      </c>
      <c r="G1759" s="26">
        <f>ROUND(C1759*E1759,0)</f>
        <v>36</v>
      </c>
      <c r="H1759" t="s">
        <v>4195</v>
      </c>
    </row>
    <row r="1760" spans="1:8" ht="60" x14ac:dyDescent="0.25">
      <c r="A1760" s="21" t="s">
        <v>4197</v>
      </c>
      <c r="B1760" s="25" t="s">
        <v>4199</v>
      </c>
      <c r="C1760" s="26"/>
      <c r="D1760" s="27"/>
      <c r="E1760" s="26"/>
      <c r="F1760" s="28"/>
      <c r="G1760" s="26"/>
      <c r="H1760" t="s">
        <v>4198</v>
      </c>
    </row>
    <row r="1761" spans="1:8" ht="30" x14ac:dyDescent="0.25">
      <c r="A1761" s="21" t="s">
        <v>4200</v>
      </c>
      <c r="B1761" s="25" t="s">
        <v>4201</v>
      </c>
      <c r="C1761" s="26">
        <v>1</v>
      </c>
      <c r="D1761" s="27" t="s">
        <v>15</v>
      </c>
      <c r="E1761" s="26">
        <v>101.7</v>
      </c>
      <c r="F1761" s="28" t="s">
        <v>16</v>
      </c>
      <c r="G1761" s="26">
        <f>ROUND(C1761*E1761,0)</f>
        <v>102</v>
      </c>
      <c r="H1761" t="s">
        <v>4201</v>
      </c>
    </row>
    <row r="1762" spans="1:8" ht="30" x14ac:dyDescent="0.25">
      <c r="A1762" s="21" t="s">
        <v>4202</v>
      </c>
      <c r="B1762" s="25" t="s">
        <v>4203</v>
      </c>
      <c r="C1762" s="26">
        <v>1</v>
      </c>
      <c r="D1762" s="27" t="s">
        <v>15</v>
      </c>
      <c r="E1762" s="26">
        <v>161.69999999999999</v>
      </c>
      <c r="F1762" s="28" t="s">
        <v>16</v>
      </c>
      <c r="G1762" s="26">
        <f>ROUND(C1762*E1762,0)</f>
        <v>162</v>
      </c>
      <c r="H1762" t="s">
        <v>4203</v>
      </c>
    </row>
    <row r="1763" spans="1:8" ht="75" x14ac:dyDescent="0.25">
      <c r="A1763" s="21" t="s">
        <v>4204</v>
      </c>
      <c r="B1763" s="25" t="s">
        <v>4206</v>
      </c>
      <c r="C1763" s="26"/>
      <c r="D1763" s="27"/>
      <c r="E1763" s="26"/>
      <c r="F1763" s="28"/>
      <c r="G1763" s="26"/>
      <c r="H1763" t="s">
        <v>4205</v>
      </c>
    </row>
    <row r="1764" spans="1:8" ht="30" x14ac:dyDescent="0.25">
      <c r="A1764" s="21" t="s">
        <v>4207</v>
      </c>
      <c r="B1764" s="25" t="s">
        <v>4209</v>
      </c>
      <c r="C1764" s="26">
        <v>1</v>
      </c>
      <c r="D1764" s="27" t="s">
        <v>15</v>
      </c>
      <c r="E1764" s="26">
        <v>241.75</v>
      </c>
      <c r="F1764" s="28" t="s">
        <v>16</v>
      </c>
      <c r="G1764" s="26">
        <f>ROUND(C1764*E1764,0)</f>
        <v>242</v>
      </c>
      <c r="H1764" t="s">
        <v>4208</v>
      </c>
    </row>
    <row r="1765" spans="1:8" ht="30" x14ac:dyDescent="0.25">
      <c r="A1765" s="21" t="s">
        <v>4210</v>
      </c>
      <c r="B1765" s="25" t="s">
        <v>4212</v>
      </c>
      <c r="C1765" s="26">
        <v>1</v>
      </c>
      <c r="D1765" s="27" t="s">
        <v>15</v>
      </c>
      <c r="E1765" s="26">
        <v>235.15</v>
      </c>
      <c r="F1765" s="28" t="s">
        <v>16</v>
      </c>
      <c r="G1765" s="26">
        <f>ROUND(C1765*E1765,0)</f>
        <v>235</v>
      </c>
      <c r="H1765" t="s">
        <v>4211</v>
      </c>
    </row>
    <row r="1766" spans="1:8" ht="45" x14ac:dyDescent="0.25">
      <c r="A1766" s="21" t="s">
        <v>4213</v>
      </c>
      <c r="B1766" s="25" t="s">
        <v>4215</v>
      </c>
      <c r="C1766" s="26"/>
      <c r="D1766" s="27"/>
      <c r="E1766" s="26"/>
      <c r="F1766" s="28"/>
      <c r="G1766" s="26"/>
      <c r="H1766" t="s">
        <v>4214</v>
      </c>
    </row>
    <row r="1767" spans="1:8" ht="45" x14ac:dyDescent="0.25">
      <c r="A1767" s="21" t="s">
        <v>4216</v>
      </c>
      <c r="B1767" s="25" t="s">
        <v>4218</v>
      </c>
      <c r="C1767" s="26">
        <v>1</v>
      </c>
      <c r="D1767" s="27" t="s">
        <v>15</v>
      </c>
      <c r="E1767" s="26">
        <v>180.85</v>
      </c>
      <c r="F1767" s="28" t="s">
        <v>16</v>
      </c>
      <c r="G1767" s="26">
        <f>ROUND(C1767*E1767,0)</f>
        <v>181</v>
      </c>
      <c r="H1767" t="s">
        <v>4217</v>
      </c>
    </row>
    <row r="1768" spans="1:8" ht="30" x14ac:dyDescent="0.25">
      <c r="A1768" s="21" t="s">
        <v>4219</v>
      </c>
      <c r="B1768" s="25" t="s">
        <v>4221</v>
      </c>
      <c r="C1768" s="26"/>
      <c r="D1768" s="27"/>
      <c r="E1768" s="26"/>
      <c r="F1768" s="28"/>
      <c r="G1768" s="26"/>
      <c r="H1768" t="s">
        <v>4220</v>
      </c>
    </row>
    <row r="1769" spans="1:8" ht="30" x14ac:dyDescent="0.25">
      <c r="A1769" s="21" t="s">
        <v>4222</v>
      </c>
      <c r="B1769" s="25" t="s">
        <v>4224</v>
      </c>
      <c r="C1769" s="26">
        <v>1</v>
      </c>
      <c r="D1769" s="27" t="s">
        <v>15</v>
      </c>
      <c r="E1769" s="26">
        <v>63.35</v>
      </c>
      <c r="F1769" s="28" t="s">
        <v>16</v>
      </c>
      <c r="G1769" s="26">
        <f>ROUND(C1769*E1769,0)</f>
        <v>63</v>
      </c>
      <c r="H1769" t="s">
        <v>4223</v>
      </c>
    </row>
    <row r="1770" spans="1:8" ht="60" x14ac:dyDescent="0.25">
      <c r="A1770" s="21" t="s">
        <v>4225</v>
      </c>
      <c r="B1770" s="25" t="s">
        <v>4227</v>
      </c>
      <c r="C1770" s="26">
        <v>1</v>
      </c>
      <c r="D1770" s="27" t="s">
        <v>15</v>
      </c>
      <c r="E1770" s="26">
        <v>63.05</v>
      </c>
      <c r="F1770" s="28" t="s">
        <v>16</v>
      </c>
      <c r="G1770" s="26">
        <f>ROUND(C1770*E1770,0)</f>
        <v>63</v>
      </c>
      <c r="H1770" t="s">
        <v>4226</v>
      </c>
    </row>
    <row r="1771" spans="1:8" ht="90" x14ac:dyDescent="0.25">
      <c r="A1771" s="21" t="s">
        <v>4228</v>
      </c>
      <c r="B1771" s="25" t="s">
        <v>4230</v>
      </c>
      <c r="C1771" s="26"/>
      <c r="D1771" s="27"/>
      <c r="E1771" s="26"/>
      <c r="F1771" s="28"/>
      <c r="G1771" s="26"/>
      <c r="H1771" t="s">
        <v>4229</v>
      </c>
    </row>
    <row r="1772" spans="1:8" x14ac:dyDescent="0.25">
      <c r="A1772" s="21" t="s">
        <v>4231</v>
      </c>
      <c r="B1772" s="25" t="s">
        <v>4233</v>
      </c>
      <c r="C1772" s="26">
        <v>1</v>
      </c>
      <c r="D1772" s="27" t="s">
        <v>110</v>
      </c>
      <c r="E1772" s="26">
        <v>76.349999999999994</v>
      </c>
      <c r="F1772" s="28" t="s">
        <v>68</v>
      </c>
      <c r="G1772" s="26">
        <f>ROUND(C1772*E1772,0)</f>
        <v>76</v>
      </c>
      <c r="H1772" t="s">
        <v>4232</v>
      </c>
    </row>
    <row r="1773" spans="1:8" x14ac:dyDescent="0.25">
      <c r="A1773" s="21" t="s">
        <v>4234</v>
      </c>
      <c r="B1773" s="25" t="s">
        <v>4236</v>
      </c>
      <c r="C1773" s="26">
        <v>1</v>
      </c>
      <c r="D1773" s="27" t="s">
        <v>110</v>
      </c>
      <c r="E1773" s="26">
        <v>113.8</v>
      </c>
      <c r="F1773" s="28" t="s">
        <v>68</v>
      </c>
      <c r="G1773" s="26">
        <f>ROUND(C1773*E1773,0)</f>
        <v>114</v>
      </c>
      <c r="H1773" t="s">
        <v>4235</v>
      </c>
    </row>
    <row r="1774" spans="1:8" ht="75" x14ac:dyDescent="0.25">
      <c r="A1774" s="21" t="s">
        <v>4237</v>
      </c>
      <c r="B1774" s="25" t="s">
        <v>4239</v>
      </c>
      <c r="C1774" s="26"/>
      <c r="D1774" s="27"/>
      <c r="E1774" s="26"/>
      <c r="F1774" s="28"/>
      <c r="G1774" s="26"/>
      <c r="H1774" t="s">
        <v>4238</v>
      </c>
    </row>
    <row r="1775" spans="1:8" x14ac:dyDescent="0.25">
      <c r="A1775" s="21" t="s">
        <v>4240</v>
      </c>
      <c r="B1775" s="25" t="s">
        <v>4233</v>
      </c>
      <c r="C1775" s="26">
        <v>1</v>
      </c>
      <c r="D1775" s="27" t="s">
        <v>110</v>
      </c>
      <c r="E1775" s="26">
        <v>82</v>
      </c>
      <c r="F1775" s="28" t="s">
        <v>68</v>
      </c>
      <c r="G1775" s="26">
        <f>ROUND(C1775*E1775,0)</f>
        <v>82</v>
      </c>
      <c r="H1775" t="s">
        <v>4241</v>
      </c>
    </row>
    <row r="1776" spans="1:8" x14ac:dyDescent="0.25">
      <c r="A1776" s="21" t="s">
        <v>4242</v>
      </c>
      <c r="B1776" s="25" t="s">
        <v>4236</v>
      </c>
      <c r="C1776" s="26">
        <v>1</v>
      </c>
      <c r="D1776" s="27" t="s">
        <v>110</v>
      </c>
      <c r="E1776" s="26">
        <v>122.15</v>
      </c>
      <c r="F1776" s="28" t="s">
        <v>68</v>
      </c>
      <c r="G1776" s="26">
        <f>ROUND(C1776*E1776,0)</f>
        <v>122</v>
      </c>
      <c r="H1776" t="s">
        <v>4243</v>
      </c>
    </row>
    <row r="1777" spans="1:8" ht="30" x14ac:dyDescent="0.25">
      <c r="A1777" s="21" t="s">
        <v>4244</v>
      </c>
      <c r="B1777" s="25" t="s">
        <v>4246</v>
      </c>
      <c r="C1777" s="26"/>
      <c r="D1777" s="27"/>
      <c r="E1777" s="26"/>
      <c r="F1777" s="28"/>
      <c r="G1777" s="26"/>
      <c r="H1777" t="s">
        <v>4245</v>
      </c>
    </row>
    <row r="1778" spans="1:8" ht="30" x14ac:dyDescent="0.25">
      <c r="A1778" s="21" t="s">
        <v>4247</v>
      </c>
      <c r="B1778" s="25" t="s">
        <v>4156</v>
      </c>
      <c r="C1778" s="26">
        <v>1</v>
      </c>
      <c r="D1778" s="27" t="s">
        <v>15</v>
      </c>
      <c r="E1778" s="26">
        <v>54.4</v>
      </c>
      <c r="F1778" s="28" t="s">
        <v>16</v>
      </c>
      <c r="G1778" s="26">
        <f>ROUND(C1778*E1778,0)</f>
        <v>54</v>
      </c>
      <c r="H1778" t="s">
        <v>4248</v>
      </c>
    </row>
    <row r="1779" spans="1:8" ht="75" x14ac:dyDescent="0.25">
      <c r="A1779" s="21" t="s">
        <v>4249</v>
      </c>
      <c r="B1779" s="25" t="s">
        <v>4251</v>
      </c>
      <c r="C1779" s="26">
        <v>1</v>
      </c>
      <c r="D1779" s="27" t="s">
        <v>15</v>
      </c>
      <c r="E1779" s="26">
        <v>334.5</v>
      </c>
      <c r="F1779" s="28" t="s">
        <v>16</v>
      </c>
      <c r="G1779" s="26">
        <f>ROUND(C1779*E1779,0)</f>
        <v>335</v>
      </c>
      <c r="H1779" t="s">
        <v>4250</v>
      </c>
    </row>
    <row r="1780" spans="1:8" ht="45" x14ac:dyDescent="0.25">
      <c r="A1780" s="21" t="s">
        <v>4252</v>
      </c>
      <c r="B1780" s="25" t="s">
        <v>4254</v>
      </c>
      <c r="C1780" s="26">
        <v>1</v>
      </c>
      <c r="D1780" s="27" t="s">
        <v>15</v>
      </c>
      <c r="E1780" s="26">
        <v>66.900000000000006</v>
      </c>
      <c r="F1780" s="28" t="s">
        <v>16</v>
      </c>
      <c r="G1780" s="26">
        <f>ROUND(C1780*E1780,0)</f>
        <v>67</v>
      </c>
      <c r="H1780" t="s">
        <v>4253</v>
      </c>
    </row>
    <row r="1781" spans="1:8" ht="30" x14ac:dyDescent="0.25">
      <c r="A1781" s="21" t="s">
        <v>4255</v>
      </c>
      <c r="B1781" s="25" t="s">
        <v>4257</v>
      </c>
      <c r="C1781" s="26"/>
      <c r="D1781" s="27"/>
      <c r="E1781" s="26"/>
      <c r="F1781" s="28"/>
      <c r="G1781" s="26"/>
      <c r="H1781" t="s">
        <v>4256</v>
      </c>
    </row>
    <row r="1782" spans="1:8" ht="30" x14ac:dyDescent="0.25">
      <c r="A1782" s="21" t="s">
        <v>4258</v>
      </c>
      <c r="B1782" s="25" t="s">
        <v>4260</v>
      </c>
      <c r="C1782" s="26">
        <v>1</v>
      </c>
      <c r="D1782" s="27" t="s">
        <v>15</v>
      </c>
      <c r="E1782" s="26">
        <v>155.9</v>
      </c>
      <c r="F1782" s="28" t="s">
        <v>16</v>
      </c>
      <c r="G1782" s="26">
        <f>ROUND(C1782*E1782,0)</f>
        <v>156</v>
      </c>
      <c r="H1782" t="s">
        <v>4259</v>
      </c>
    </row>
    <row r="1783" spans="1:8" ht="45" x14ac:dyDescent="0.25">
      <c r="A1783" s="21" t="s">
        <v>4261</v>
      </c>
      <c r="B1783" s="25" t="s">
        <v>4262</v>
      </c>
      <c r="C1783" s="26"/>
      <c r="D1783" s="27"/>
      <c r="E1783" s="26"/>
      <c r="F1783" s="28"/>
      <c r="G1783" s="26"/>
      <c r="H1783" t="s">
        <v>4256</v>
      </c>
    </row>
    <row r="1784" spans="1:8" ht="45" x14ac:dyDescent="0.25">
      <c r="A1784" s="21" t="s">
        <v>4263</v>
      </c>
      <c r="B1784" s="25" t="s">
        <v>4265</v>
      </c>
      <c r="C1784" s="26">
        <v>1</v>
      </c>
      <c r="D1784" s="27" t="s">
        <v>15</v>
      </c>
      <c r="E1784" s="26">
        <v>226.25</v>
      </c>
      <c r="F1784" s="28" t="s">
        <v>16</v>
      </c>
      <c r="G1784" s="26">
        <f>ROUND(C1784*E1784,0)</f>
        <v>226</v>
      </c>
      <c r="H1784" t="s">
        <v>4264</v>
      </c>
    </row>
    <row r="1785" spans="1:8" ht="30" x14ac:dyDescent="0.25">
      <c r="A1785" s="21" t="s">
        <v>4266</v>
      </c>
      <c r="B1785" s="25" t="s">
        <v>4268</v>
      </c>
      <c r="C1785" s="26"/>
      <c r="D1785" s="27"/>
      <c r="E1785" s="26"/>
      <c r="F1785" s="28"/>
      <c r="G1785" s="26"/>
      <c r="H1785" t="s">
        <v>4267</v>
      </c>
    </row>
    <row r="1786" spans="1:8" ht="30" x14ac:dyDescent="0.25">
      <c r="A1786" s="21" t="s">
        <v>4269</v>
      </c>
      <c r="B1786" s="25" t="s">
        <v>4270</v>
      </c>
      <c r="C1786" s="26">
        <v>1</v>
      </c>
      <c r="D1786" s="27" t="s">
        <v>15</v>
      </c>
      <c r="E1786" s="26">
        <v>146.80000000000001</v>
      </c>
      <c r="F1786" s="28" t="s">
        <v>16</v>
      </c>
      <c r="G1786" s="26">
        <f>ROUND(C1786*E1786,0)</f>
        <v>147</v>
      </c>
      <c r="H1786" t="s">
        <v>4259</v>
      </c>
    </row>
    <row r="1787" spans="1:8" ht="45" x14ac:dyDescent="0.25">
      <c r="A1787" s="21" t="s">
        <v>4271</v>
      </c>
      <c r="B1787" s="25" t="s">
        <v>4273</v>
      </c>
      <c r="C1787" s="26"/>
      <c r="D1787" s="27"/>
      <c r="E1787" s="26"/>
      <c r="F1787" s="28"/>
      <c r="G1787" s="26"/>
      <c r="H1787" t="s">
        <v>4272</v>
      </c>
    </row>
    <row r="1788" spans="1:8" ht="30" x14ac:dyDescent="0.25">
      <c r="A1788" s="21" t="s">
        <v>4274</v>
      </c>
      <c r="B1788" s="25" t="s">
        <v>4260</v>
      </c>
      <c r="C1788" s="26">
        <v>1</v>
      </c>
      <c r="D1788" s="27" t="s">
        <v>15</v>
      </c>
      <c r="E1788" s="26">
        <v>163.35</v>
      </c>
      <c r="F1788" s="28" t="s">
        <v>16</v>
      </c>
      <c r="G1788" s="26">
        <f>ROUND(C1788*E1788,0)</f>
        <v>163</v>
      </c>
      <c r="H1788" t="s">
        <v>4259</v>
      </c>
    </row>
    <row r="1789" spans="1:8" ht="45" x14ac:dyDescent="0.25">
      <c r="A1789" s="21" t="s">
        <v>4275</v>
      </c>
      <c r="B1789" s="25" t="s">
        <v>4277</v>
      </c>
      <c r="C1789" s="26"/>
      <c r="D1789" s="27"/>
      <c r="E1789" s="26"/>
      <c r="F1789" s="28"/>
      <c r="G1789" s="26"/>
      <c r="H1789" t="s">
        <v>4276</v>
      </c>
    </row>
    <row r="1790" spans="1:8" ht="30" x14ac:dyDescent="0.25">
      <c r="A1790" s="21" t="s">
        <v>4278</v>
      </c>
      <c r="B1790" s="25" t="s">
        <v>4260</v>
      </c>
      <c r="C1790" s="26">
        <v>1</v>
      </c>
      <c r="D1790" s="27" t="s">
        <v>15</v>
      </c>
      <c r="E1790" s="26">
        <v>140.25</v>
      </c>
      <c r="F1790" s="28" t="s">
        <v>16</v>
      </c>
      <c r="G1790" s="26">
        <f>ROUND(C1790*E1790,0)</f>
        <v>140</v>
      </c>
      <c r="H1790" t="s">
        <v>4260</v>
      </c>
    </row>
    <row r="1791" spans="1:8" ht="30" x14ac:dyDescent="0.25">
      <c r="A1791" s="21" t="s">
        <v>4279</v>
      </c>
      <c r="B1791" s="25" t="s">
        <v>4281</v>
      </c>
      <c r="C1791" s="26"/>
      <c r="D1791" s="27"/>
      <c r="E1791" s="26"/>
      <c r="F1791" s="28"/>
      <c r="G1791" s="26"/>
      <c r="H1791" t="s">
        <v>4280</v>
      </c>
    </row>
    <row r="1792" spans="1:8" ht="30" x14ac:dyDescent="0.25">
      <c r="A1792" s="21" t="s">
        <v>4282</v>
      </c>
      <c r="B1792" s="25" t="s">
        <v>4284</v>
      </c>
      <c r="C1792" s="26">
        <v>1</v>
      </c>
      <c r="D1792" s="27" t="s">
        <v>15</v>
      </c>
      <c r="E1792" s="26">
        <v>233.8</v>
      </c>
      <c r="F1792" s="28" t="s">
        <v>16</v>
      </c>
      <c r="G1792" s="26">
        <f>ROUND(C1792*E1792,0)</f>
        <v>234</v>
      </c>
      <c r="H1792" t="s">
        <v>4283</v>
      </c>
    </row>
    <row r="1793" spans="1:8" ht="30" x14ac:dyDescent="0.25">
      <c r="A1793" s="21" t="s">
        <v>4285</v>
      </c>
      <c r="B1793" s="25" t="s">
        <v>4287</v>
      </c>
      <c r="C1793" s="26">
        <v>1</v>
      </c>
      <c r="D1793" s="27" t="s">
        <v>15</v>
      </c>
      <c r="E1793" s="26">
        <v>236.9</v>
      </c>
      <c r="F1793" s="28" t="s">
        <v>16</v>
      </c>
      <c r="G1793" s="26">
        <f>ROUND(C1793*E1793,0)</f>
        <v>237</v>
      </c>
      <c r="H1793" t="s">
        <v>4286</v>
      </c>
    </row>
    <row r="1794" spans="1:8" x14ac:dyDescent="0.25">
      <c r="A1794" s="21" t="s">
        <v>4288</v>
      </c>
      <c r="B1794" s="25" t="s">
        <v>4290</v>
      </c>
      <c r="C1794" s="26"/>
      <c r="D1794" s="27"/>
      <c r="E1794" s="26"/>
      <c r="F1794" s="28"/>
      <c r="G1794" s="26"/>
      <c r="H1794" t="s">
        <v>4289</v>
      </c>
    </row>
    <row r="1795" spans="1:8" ht="30" x14ac:dyDescent="0.25">
      <c r="A1795" s="21" t="s">
        <v>4291</v>
      </c>
      <c r="B1795" s="25" t="s">
        <v>4293</v>
      </c>
      <c r="C1795" s="26">
        <v>1</v>
      </c>
      <c r="D1795" s="27" t="s">
        <v>15</v>
      </c>
      <c r="E1795" s="26">
        <v>446.25</v>
      </c>
      <c r="F1795" s="28" t="s">
        <v>16</v>
      </c>
      <c r="G1795" s="26">
        <f>ROUND(C1795*E1795,0)</f>
        <v>446</v>
      </c>
      <c r="H1795" t="s">
        <v>4292</v>
      </c>
    </row>
    <row r="1796" spans="1:8" ht="30" x14ac:dyDescent="0.25">
      <c r="A1796" s="21" t="s">
        <v>4294</v>
      </c>
      <c r="B1796" s="25" t="s">
        <v>4296</v>
      </c>
      <c r="C1796" s="26"/>
      <c r="D1796" s="27"/>
      <c r="E1796" s="26"/>
      <c r="F1796" s="28"/>
      <c r="G1796" s="26"/>
      <c r="H1796" t="s">
        <v>4295</v>
      </c>
    </row>
    <row r="1797" spans="1:8" ht="30" x14ac:dyDescent="0.25">
      <c r="A1797" s="21" t="s">
        <v>4297</v>
      </c>
      <c r="B1797" s="25" t="s">
        <v>4299</v>
      </c>
      <c r="C1797" s="26">
        <v>1</v>
      </c>
      <c r="D1797" s="27" t="s">
        <v>15</v>
      </c>
      <c r="E1797" s="26">
        <v>197.65</v>
      </c>
      <c r="F1797" s="28" t="s">
        <v>16</v>
      </c>
      <c r="G1797" s="26">
        <f>ROUND(C1797*E1797,0)</f>
        <v>198</v>
      </c>
      <c r="H1797" t="s">
        <v>4298</v>
      </c>
    </row>
    <row r="1798" spans="1:8" ht="45" x14ac:dyDescent="0.25">
      <c r="A1798" s="21" t="s">
        <v>4300</v>
      </c>
      <c r="B1798" s="25" t="s">
        <v>4302</v>
      </c>
      <c r="C1798" s="26">
        <v>1</v>
      </c>
      <c r="D1798" s="27" t="s">
        <v>15</v>
      </c>
      <c r="E1798" s="26">
        <v>96.1</v>
      </c>
      <c r="F1798" s="28" t="s">
        <v>16</v>
      </c>
      <c r="G1798" s="26">
        <f>ROUND(C1798*E1798,0)</f>
        <v>96</v>
      </c>
      <c r="H1798" t="s">
        <v>4301</v>
      </c>
    </row>
    <row r="1799" spans="1:8" ht="45" x14ac:dyDescent="0.25">
      <c r="A1799" s="21" t="s">
        <v>4303</v>
      </c>
      <c r="B1799" s="25" t="s">
        <v>4305</v>
      </c>
      <c r="C1799" s="26">
        <v>1</v>
      </c>
      <c r="D1799" s="27" t="s">
        <v>429</v>
      </c>
      <c r="E1799" s="26">
        <v>6.15</v>
      </c>
      <c r="F1799" s="28" t="s">
        <v>4306</v>
      </c>
      <c r="G1799" s="26">
        <f>ROUND(C1799*E1799,0)</f>
        <v>6</v>
      </c>
      <c r="H1799" t="s">
        <v>4304</v>
      </c>
    </row>
    <row r="1800" spans="1:8" ht="225" x14ac:dyDescent="0.25">
      <c r="A1800" s="21" t="s">
        <v>4307</v>
      </c>
      <c r="B1800" s="25" t="s">
        <v>4309</v>
      </c>
      <c r="C1800" s="26">
        <v>1</v>
      </c>
      <c r="D1800" s="27" t="s">
        <v>15</v>
      </c>
      <c r="E1800" s="26">
        <v>1162.25</v>
      </c>
      <c r="F1800" s="28" t="s">
        <v>16</v>
      </c>
      <c r="G1800" s="26">
        <f>ROUND(C1800*E1800,0)</f>
        <v>1162</v>
      </c>
      <c r="H1800" t="s">
        <v>4308</v>
      </c>
    </row>
    <row r="1801" spans="1:8" ht="120" x14ac:dyDescent="0.25">
      <c r="A1801" s="21" t="s">
        <v>4310</v>
      </c>
      <c r="B1801" s="25" t="s">
        <v>4312</v>
      </c>
      <c r="C1801" s="26"/>
      <c r="D1801" s="27"/>
      <c r="E1801" s="26"/>
      <c r="F1801" s="28"/>
      <c r="G1801" s="26"/>
      <c r="H1801" t="s">
        <v>4311</v>
      </c>
    </row>
    <row r="1802" spans="1:8" x14ac:dyDescent="0.25">
      <c r="A1802" s="21" t="s">
        <v>4313</v>
      </c>
      <c r="B1802" s="25" t="s">
        <v>4315</v>
      </c>
      <c r="C1802" s="26">
        <v>1</v>
      </c>
      <c r="D1802" s="27" t="s">
        <v>110</v>
      </c>
      <c r="E1802" s="26">
        <v>75.150000000000006</v>
      </c>
      <c r="F1802" s="28" t="s">
        <v>68</v>
      </c>
      <c r="G1802" s="26">
        <f t="shared" ref="G1802:G1810" si="44">ROUND(C1802*E1802,0)</f>
        <v>75</v>
      </c>
      <c r="H1802" t="s">
        <v>4314</v>
      </c>
    </row>
    <row r="1803" spans="1:8" x14ac:dyDescent="0.25">
      <c r="A1803" s="21" t="s">
        <v>4316</v>
      </c>
      <c r="B1803" s="25" t="s">
        <v>4318</v>
      </c>
      <c r="C1803" s="26">
        <v>1</v>
      </c>
      <c r="D1803" s="27" t="s">
        <v>110</v>
      </c>
      <c r="E1803" s="26">
        <v>75.8</v>
      </c>
      <c r="F1803" s="28" t="s">
        <v>68</v>
      </c>
      <c r="G1803" s="26">
        <f t="shared" si="44"/>
        <v>76</v>
      </c>
      <c r="H1803" t="s">
        <v>4317</v>
      </c>
    </row>
    <row r="1804" spans="1:8" ht="45" x14ac:dyDescent="0.25">
      <c r="A1804" s="21" t="s">
        <v>4319</v>
      </c>
      <c r="B1804" s="25" t="s">
        <v>4321</v>
      </c>
      <c r="C1804" s="26">
        <v>1</v>
      </c>
      <c r="D1804" s="27" t="s">
        <v>15</v>
      </c>
      <c r="E1804" s="26">
        <v>165.85</v>
      </c>
      <c r="F1804" s="28" t="s">
        <v>16</v>
      </c>
      <c r="G1804" s="26">
        <f t="shared" si="44"/>
        <v>166</v>
      </c>
      <c r="H1804" t="s">
        <v>4320</v>
      </c>
    </row>
    <row r="1805" spans="1:8" ht="30" x14ac:dyDescent="0.25">
      <c r="A1805" s="21" t="s">
        <v>4322</v>
      </c>
      <c r="B1805" s="25" t="s">
        <v>4324</v>
      </c>
      <c r="C1805" s="26">
        <v>1</v>
      </c>
      <c r="D1805" s="27" t="s">
        <v>15</v>
      </c>
      <c r="E1805" s="26">
        <v>133.55000000000001</v>
      </c>
      <c r="F1805" s="28" t="s">
        <v>16</v>
      </c>
      <c r="G1805" s="26">
        <f t="shared" si="44"/>
        <v>134</v>
      </c>
      <c r="H1805" t="s">
        <v>4323</v>
      </c>
    </row>
    <row r="1806" spans="1:8" ht="135" x14ac:dyDescent="0.25">
      <c r="A1806" s="21" t="s">
        <v>4325</v>
      </c>
      <c r="B1806" s="25" t="s">
        <v>4327</v>
      </c>
      <c r="C1806" s="26">
        <v>1</v>
      </c>
      <c r="D1806" s="27" t="s">
        <v>110</v>
      </c>
      <c r="E1806" s="26">
        <v>100.6</v>
      </c>
      <c r="F1806" s="28" t="s">
        <v>68</v>
      </c>
      <c r="G1806" s="26">
        <f t="shared" si="44"/>
        <v>101</v>
      </c>
      <c r="H1806" t="s">
        <v>4326</v>
      </c>
    </row>
    <row r="1807" spans="1:8" ht="45" x14ac:dyDescent="0.25">
      <c r="A1807" s="21" t="s">
        <v>4328</v>
      </c>
      <c r="B1807" s="25" t="s">
        <v>4330</v>
      </c>
      <c r="C1807" s="26">
        <v>1</v>
      </c>
      <c r="D1807" s="27" t="s">
        <v>15</v>
      </c>
      <c r="E1807" s="26">
        <v>76.05</v>
      </c>
      <c r="F1807" s="28" t="s">
        <v>16</v>
      </c>
      <c r="G1807" s="26">
        <f t="shared" si="44"/>
        <v>76</v>
      </c>
      <c r="H1807" t="s">
        <v>4329</v>
      </c>
    </row>
    <row r="1808" spans="1:8" ht="135" x14ac:dyDescent="0.25">
      <c r="A1808" s="21" t="s">
        <v>4331</v>
      </c>
      <c r="B1808" s="25" t="s">
        <v>4333</v>
      </c>
      <c r="C1808" s="26">
        <v>1</v>
      </c>
      <c r="D1808" s="27" t="s">
        <v>15</v>
      </c>
      <c r="E1808" s="26">
        <v>468.9</v>
      </c>
      <c r="F1808" s="28" t="s">
        <v>16</v>
      </c>
      <c r="G1808" s="26">
        <f t="shared" si="44"/>
        <v>469</v>
      </c>
      <c r="H1808" t="s">
        <v>4332</v>
      </c>
    </row>
    <row r="1809" spans="1:8" ht="105" x14ac:dyDescent="0.25">
      <c r="A1809" s="21" t="s">
        <v>4334</v>
      </c>
      <c r="B1809" s="25" t="s">
        <v>4336</v>
      </c>
      <c r="C1809" s="26">
        <v>1</v>
      </c>
      <c r="D1809" s="27" t="s">
        <v>429</v>
      </c>
      <c r="E1809" s="26">
        <v>78.349999999999994</v>
      </c>
      <c r="F1809" s="28" t="s">
        <v>4337</v>
      </c>
      <c r="G1809" s="26">
        <f t="shared" si="44"/>
        <v>78</v>
      </c>
      <c r="H1809" t="s">
        <v>4335</v>
      </c>
    </row>
    <row r="1810" spans="1:8" ht="75" x14ac:dyDescent="0.25">
      <c r="A1810" s="21" t="s">
        <v>4338</v>
      </c>
      <c r="B1810" s="25" t="s">
        <v>4339</v>
      </c>
      <c r="C1810" s="26">
        <v>1</v>
      </c>
      <c r="D1810" s="27" t="s">
        <v>15</v>
      </c>
      <c r="E1810" s="26">
        <v>156.05000000000001</v>
      </c>
      <c r="F1810" s="28" t="s">
        <v>16</v>
      </c>
      <c r="G1810" s="26">
        <f t="shared" si="44"/>
        <v>156</v>
      </c>
      <c r="H1810" t="s">
        <v>4339</v>
      </c>
    </row>
    <row r="1811" spans="1:8" ht="75" x14ac:dyDescent="0.25">
      <c r="A1811" s="21" t="s">
        <v>4340</v>
      </c>
      <c r="B1811" s="25" t="s">
        <v>4341</v>
      </c>
      <c r="C1811" s="26"/>
      <c r="D1811" s="27"/>
      <c r="E1811" s="26"/>
      <c r="F1811" s="28"/>
      <c r="G1811" s="26"/>
      <c r="H1811" t="s">
        <v>4341</v>
      </c>
    </row>
    <row r="1812" spans="1:8" ht="30" x14ac:dyDescent="0.25">
      <c r="A1812" s="21" t="s">
        <v>4342</v>
      </c>
      <c r="B1812" s="25" t="s">
        <v>4343</v>
      </c>
      <c r="C1812" s="26">
        <v>1</v>
      </c>
      <c r="D1812" s="27" t="s">
        <v>15</v>
      </c>
      <c r="E1812" s="26">
        <v>62.7</v>
      </c>
      <c r="F1812" s="28" t="s">
        <v>16</v>
      </c>
      <c r="G1812" s="26">
        <f>ROUND(C1812*E1812,0)</f>
        <v>63</v>
      </c>
      <c r="H1812" t="s">
        <v>4343</v>
      </c>
    </row>
    <row r="1813" spans="1:8" ht="90" x14ac:dyDescent="0.25">
      <c r="A1813" s="21" t="s">
        <v>4344</v>
      </c>
      <c r="B1813" s="25" t="s">
        <v>4345</v>
      </c>
      <c r="C1813" s="26"/>
      <c r="D1813" s="27"/>
      <c r="E1813" s="26"/>
      <c r="F1813" s="28"/>
      <c r="G1813" s="26"/>
      <c r="H1813" t="s">
        <v>4345</v>
      </c>
    </row>
    <row r="1814" spans="1:8" ht="30" x14ac:dyDescent="0.25">
      <c r="A1814" s="21" t="s">
        <v>4346</v>
      </c>
      <c r="B1814" s="25" t="s">
        <v>4347</v>
      </c>
      <c r="C1814" s="26">
        <v>1</v>
      </c>
      <c r="D1814" s="27" t="s">
        <v>15</v>
      </c>
      <c r="E1814" s="26">
        <v>92</v>
      </c>
      <c r="F1814" s="28" t="s">
        <v>16</v>
      </c>
      <c r="G1814" s="26">
        <f>ROUND(C1814*E1814,0)</f>
        <v>92</v>
      </c>
      <c r="H1814" t="s">
        <v>4347</v>
      </c>
    </row>
    <row r="1815" spans="1:8" ht="30" x14ac:dyDescent="0.25">
      <c r="A1815" s="21" t="s">
        <v>4348</v>
      </c>
      <c r="B1815" s="25" t="s">
        <v>4349</v>
      </c>
      <c r="C1815" s="26">
        <v>1</v>
      </c>
      <c r="D1815" s="27" t="s">
        <v>15</v>
      </c>
      <c r="E1815" s="26">
        <v>137.44999999999999</v>
      </c>
      <c r="F1815" s="28" t="s">
        <v>16</v>
      </c>
      <c r="G1815" s="26">
        <f>ROUND(C1815*E1815,0)</f>
        <v>137</v>
      </c>
      <c r="H1815" t="s">
        <v>4349</v>
      </c>
    </row>
    <row r="1816" spans="1:8" ht="90" x14ac:dyDescent="0.25">
      <c r="A1816" s="21" t="s">
        <v>4350</v>
      </c>
      <c r="B1816" s="25" t="s">
        <v>4351</v>
      </c>
      <c r="C1816" s="26"/>
      <c r="D1816" s="27"/>
      <c r="E1816" s="26"/>
      <c r="F1816" s="28"/>
      <c r="G1816" s="26"/>
      <c r="H1816" t="s">
        <v>4351</v>
      </c>
    </row>
    <row r="1817" spans="1:8" ht="30" x14ac:dyDescent="0.25">
      <c r="A1817" s="21" t="s">
        <v>4352</v>
      </c>
      <c r="B1817" s="25" t="s">
        <v>4347</v>
      </c>
      <c r="C1817" s="26">
        <v>1</v>
      </c>
      <c r="D1817" s="27" t="s">
        <v>15</v>
      </c>
      <c r="E1817" s="26">
        <v>95.45</v>
      </c>
      <c r="F1817" s="28" t="s">
        <v>16</v>
      </c>
      <c r="G1817" s="26">
        <f>ROUND(C1817*E1817,0)</f>
        <v>95</v>
      </c>
      <c r="H1817" t="s">
        <v>4347</v>
      </c>
    </row>
    <row r="1818" spans="1:8" ht="30" x14ac:dyDescent="0.25">
      <c r="A1818" s="21" t="s">
        <v>4353</v>
      </c>
      <c r="B1818" s="25" t="s">
        <v>4349</v>
      </c>
      <c r="C1818" s="26">
        <v>1</v>
      </c>
      <c r="D1818" s="27" t="s">
        <v>15</v>
      </c>
      <c r="E1818" s="26">
        <v>142.80000000000001</v>
      </c>
      <c r="F1818" s="28" t="s">
        <v>16</v>
      </c>
      <c r="G1818" s="26">
        <f>ROUND(C1818*E1818,0)</f>
        <v>143</v>
      </c>
      <c r="H1818" t="s">
        <v>4349</v>
      </c>
    </row>
    <row r="1819" spans="1:8" ht="45" x14ac:dyDescent="0.25">
      <c r="A1819" s="21" t="s">
        <v>4354</v>
      </c>
      <c r="B1819" s="25" t="s">
        <v>4355</v>
      </c>
      <c r="C1819" s="26"/>
      <c r="D1819" s="27"/>
      <c r="E1819" s="26"/>
      <c r="F1819" s="28"/>
      <c r="G1819" s="26"/>
      <c r="H1819" t="s">
        <v>4355</v>
      </c>
    </row>
    <row r="1820" spans="1:8" ht="45" x14ac:dyDescent="0.25">
      <c r="A1820" s="21" t="s">
        <v>4356</v>
      </c>
      <c r="B1820" s="25" t="s">
        <v>4357</v>
      </c>
      <c r="C1820" s="26">
        <v>1</v>
      </c>
      <c r="D1820" s="27" t="s">
        <v>15</v>
      </c>
      <c r="E1820" s="26">
        <v>70.349999999999994</v>
      </c>
      <c r="F1820" s="28" t="s">
        <v>16</v>
      </c>
      <c r="G1820" s="26">
        <f>ROUND(C1820*E1820,0)</f>
        <v>70</v>
      </c>
      <c r="H1820" t="s">
        <v>4357</v>
      </c>
    </row>
    <row r="1821" spans="1:8" ht="45" x14ac:dyDescent="0.25">
      <c r="A1821" s="21" t="s">
        <v>4358</v>
      </c>
      <c r="B1821" s="25" t="s">
        <v>4359</v>
      </c>
      <c r="C1821" s="26">
        <v>1</v>
      </c>
      <c r="D1821" s="27" t="s">
        <v>15</v>
      </c>
      <c r="E1821" s="26">
        <v>73.95</v>
      </c>
      <c r="F1821" s="28" t="s">
        <v>16</v>
      </c>
      <c r="G1821" s="26">
        <f>ROUND(C1821*E1821,0)</f>
        <v>74</v>
      </c>
      <c r="H1821" t="s">
        <v>4359</v>
      </c>
    </row>
    <row r="1822" spans="1:8" ht="60" x14ac:dyDescent="0.25">
      <c r="A1822" s="21" t="s">
        <v>4360</v>
      </c>
      <c r="B1822" s="25" t="s">
        <v>4362</v>
      </c>
      <c r="C1822" s="26">
        <v>1</v>
      </c>
      <c r="D1822" s="27" t="s">
        <v>15</v>
      </c>
      <c r="E1822" s="26">
        <v>269.14999999999998</v>
      </c>
      <c r="F1822" s="28" t="s">
        <v>16</v>
      </c>
      <c r="G1822" s="26">
        <f>ROUND(C1822*E1822,0)</f>
        <v>269</v>
      </c>
      <c r="H1822" t="s">
        <v>4361</v>
      </c>
    </row>
    <row r="1823" spans="1:8" x14ac:dyDescent="0.25">
      <c r="A1823" s="21" t="s">
        <v>4363</v>
      </c>
      <c r="B1823" s="25" t="s">
        <v>4364</v>
      </c>
      <c r="C1823" s="26"/>
      <c r="D1823" s="27"/>
      <c r="E1823" s="26"/>
      <c r="F1823" s="28"/>
      <c r="G1823" s="26"/>
      <c r="H1823" t="s">
        <v>4364</v>
      </c>
    </row>
    <row r="1824" spans="1:8" ht="30" x14ac:dyDescent="0.25">
      <c r="A1824" s="21" t="s">
        <v>4365</v>
      </c>
      <c r="B1824" s="25" t="s">
        <v>4366</v>
      </c>
      <c r="C1824" s="26">
        <v>1</v>
      </c>
      <c r="D1824" s="27" t="s">
        <v>15</v>
      </c>
      <c r="E1824" s="26">
        <v>22.85</v>
      </c>
      <c r="F1824" s="28" t="s">
        <v>16</v>
      </c>
      <c r="G1824" s="26">
        <f>ROUND(C1824*E1824,0)</f>
        <v>23</v>
      </c>
      <c r="H1824" t="s">
        <v>4366</v>
      </c>
    </row>
    <row r="1825" spans="1:8" ht="30" x14ac:dyDescent="0.25">
      <c r="A1825" s="21" t="s">
        <v>4367</v>
      </c>
      <c r="B1825" s="25" t="s">
        <v>4368</v>
      </c>
      <c r="C1825" s="26">
        <v>1</v>
      </c>
      <c r="D1825" s="27" t="s">
        <v>15</v>
      </c>
      <c r="E1825" s="26">
        <v>13.9</v>
      </c>
      <c r="F1825" s="28" t="s">
        <v>16</v>
      </c>
      <c r="G1825" s="26">
        <f>ROUND(C1825*E1825,0)</f>
        <v>14</v>
      </c>
      <c r="H1825" t="s">
        <v>4368</v>
      </c>
    </row>
    <row r="1826" spans="1:8" ht="60" x14ac:dyDescent="0.25">
      <c r="A1826" s="21" t="s">
        <v>4369</v>
      </c>
      <c r="B1826" s="25" t="s">
        <v>4371</v>
      </c>
      <c r="C1826" s="26">
        <v>1</v>
      </c>
      <c r="D1826" s="27" t="s">
        <v>15</v>
      </c>
      <c r="E1826" s="26">
        <v>19.75</v>
      </c>
      <c r="F1826" s="28" t="s">
        <v>16</v>
      </c>
      <c r="G1826" s="26">
        <f>ROUND(C1826*E1826,0)</f>
        <v>20</v>
      </c>
      <c r="H1826" t="s">
        <v>4370</v>
      </c>
    </row>
    <row r="1827" spans="1:8" ht="75" x14ac:dyDescent="0.25">
      <c r="A1827" s="21" t="s">
        <v>4372</v>
      </c>
      <c r="B1827" s="25" t="s">
        <v>4374</v>
      </c>
      <c r="C1827" s="26">
        <v>1</v>
      </c>
      <c r="D1827" s="27" t="s">
        <v>15</v>
      </c>
      <c r="E1827" s="26">
        <v>25.15</v>
      </c>
      <c r="F1827" s="28" t="s">
        <v>16</v>
      </c>
      <c r="G1827" s="26">
        <f>ROUND(C1827*E1827,0)</f>
        <v>25</v>
      </c>
      <c r="H1827" t="s">
        <v>4373</v>
      </c>
    </row>
    <row r="1828" spans="1:8" ht="45" x14ac:dyDescent="0.25">
      <c r="A1828" s="21" t="s">
        <v>4375</v>
      </c>
      <c r="B1828" s="25" t="s">
        <v>4215</v>
      </c>
      <c r="C1828" s="26"/>
      <c r="D1828" s="27"/>
      <c r="E1828" s="26"/>
      <c r="F1828" s="28"/>
      <c r="G1828" s="26"/>
      <c r="H1828" t="s">
        <v>4376</v>
      </c>
    </row>
    <row r="1829" spans="1:8" ht="30" x14ac:dyDescent="0.25">
      <c r="A1829" s="21" t="s">
        <v>4377</v>
      </c>
      <c r="B1829" s="25" t="s">
        <v>4368</v>
      </c>
      <c r="C1829" s="26">
        <v>1</v>
      </c>
      <c r="D1829" s="27" t="s">
        <v>15</v>
      </c>
      <c r="E1829" s="26">
        <v>93.3</v>
      </c>
      <c r="F1829" s="28" t="s">
        <v>16</v>
      </c>
      <c r="G1829" s="26">
        <f>ROUND(C1829*E1829,0)</f>
        <v>93</v>
      </c>
      <c r="H1829" t="s">
        <v>4368</v>
      </c>
    </row>
    <row r="1830" spans="1:8" ht="90" x14ac:dyDescent="0.25">
      <c r="A1830" s="21" t="s">
        <v>4378</v>
      </c>
      <c r="B1830" s="25" t="s">
        <v>4380</v>
      </c>
      <c r="C1830" s="26"/>
      <c r="D1830" s="27"/>
      <c r="E1830" s="26"/>
      <c r="F1830" s="28"/>
      <c r="G1830" s="26"/>
      <c r="H1830" t="s">
        <v>4379</v>
      </c>
    </row>
    <row r="1831" spans="1:8" x14ac:dyDescent="0.25">
      <c r="A1831" s="21" t="s">
        <v>4381</v>
      </c>
      <c r="B1831" s="25" t="s">
        <v>4382</v>
      </c>
      <c r="C1831" s="26">
        <v>1</v>
      </c>
      <c r="D1831" s="27" t="s">
        <v>110</v>
      </c>
      <c r="E1831" s="26">
        <v>57.25</v>
      </c>
      <c r="F1831" s="28" t="s">
        <v>68</v>
      </c>
      <c r="G1831" s="26">
        <f>ROUND(C1831*E1831,0)</f>
        <v>57</v>
      </c>
      <c r="H1831" t="s">
        <v>4382</v>
      </c>
    </row>
    <row r="1832" spans="1:8" ht="60" x14ac:dyDescent="0.25">
      <c r="A1832" s="21" t="s">
        <v>4383</v>
      </c>
      <c r="B1832" s="25" t="s">
        <v>4385</v>
      </c>
      <c r="C1832" s="26"/>
      <c r="D1832" s="27"/>
      <c r="E1832" s="26"/>
      <c r="F1832" s="28"/>
      <c r="G1832" s="26"/>
      <c r="H1832" t="s">
        <v>4384</v>
      </c>
    </row>
    <row r="1833" spans="1:8" x14ac:dyDescent="0.25">
      <c r="A1833" s="21" t="s">
        <v>4386</v>
      </c>
      <c r="B1833" s="25" t="s">
        <v>4382</v>
      </c>
      <c r="C1833" s="26">
        <v>1</v>
      </c>
      <c r="D1833" s="27" t="s">
        <v>110</v>
      </c>
      <c r="E1833" s="26">
        <v>26.85</v>
      </c>
      <c r="F1833" s="28" t="s">
        <v>68</v>
      </c>
      <c r="G1833" s="26">
        <f>ROUND(C1833*E1833,0)</f>
        <v>27</v>
      </c>
      <c r="H1833" t="s">
        <v>4382</v>
      </c>
    </row>
    <row r="1834" spans="1:8" x14ac:dyDescent="0.25">
      <c r="A1834" s="21" t="s">
        <v>4387</v>
      </c>
      <c r="B1834" s="25" t="s">
        <v>4388</v>
      </c>
      <c r="C1834" s="26">
        <v>1</v>
      </c>
      <c r="D1834" s="27" t="s">
        <v>110</v>
      </c>
      <c r="E1834" s="26">
        <v>35.5</v>
      </c>
      <c r="F1834" s="28" t="s">
        <v>68</v>
      </c>
      <c r="G1834" s="26">
        <f>ROUND(C1834*E1834,0)</f>
        <v>36</v>
      </c>
      <c r="H1834" t="s">
        <v>4388</v>
      </c>
    </row>
    <row r="1835" spans="1:8" x14ac:dyDescent="0.25">
      <c r="A1835" s="21" t="s">
        <v>4389</v>
      </c>
      <c r="B1835" s="25" t="s">
        <v>4390</v>
      </c>
      <c r="C1835" s="26">
        <v>1</v>
      </c>
      <c r="D1835" s="27" t="s">
        <v>110</v>
      </c>
      <c r="E1835" s="26">
        <v>51.2</v>
      </c>
      <c r="F1835" s="28" t="s">
        <v>68</v>
      </c>
      <c r="G1835" s="26">
        <f>ROUND(C1835*E1835,0)</f>
        <v>51</v>
      </c>
      <c r="H1835" t="s">
        <v>4390</v>
      </c>
    </row>
    <row r="1836" spans="1:8" ht="75" x14ac:dyDescent="0.25">
      <c r="A1836" s="21" t="s">
        <v>4391</v>
      </c>
      <c r="B1836" s="25" t="s">
        <v>4393</v>
      </c>
      <c r="C1836" s="26"/>
      <c r="D1836" s="27"/>
      <c r="E1836" s="26"/>
      <c r="F1836" s="28"/>
      <c r="G1836" s="26"/>
      <c r="H1836" t="s">
        <v>4392</v>
      </c>
    </row>
    <row r="1837" spans="1:8" x14ac:dyDescent="0.25">
      <c r="A1837" s="21" t="s">
        <v>4394</v>
      </c>
      <c r="B1837" s="25" t="s">
        <v>4382</v>
      </c>
      <c r="C1837" s="26">
        <v>1</v>
      </c>
      <c r="D1837" s="27" t="s">
        <v>110</v>
      </c>
      <c r="E1837" s="26">
        <v>58.9</v>
      </c>
      <c r="F1837" s="28" t="s">
        <v>68</v>
      </c>
      <c r="G1837" s="26">
        <f>ROUND(C1837*E1837,0)</f>
        <v>59</v>
      </c>
      <c r="H1837" t="s">
        <v>4382</v>
      </c>
    </row>
    <row r="1838" spans="1:8" x14ac:dyDescent="0.25">
      <c r="A1838" s="21" t="s">
        <v>4395</v>
      </c>
      <c r="B1838" s="25" t="s">
        <v>4388</v>
      </c>
      <c r="C1838" s="26">
        <v>1</v>
      </c>
      <c r="D1838" s="27" t="s">
        <v>110</v>
      </c>
      <c r="E1838" s="26">
        <v>81.45</v>
      </c>
      <c r="F1838" s="28" t="s">
        <v>68</v>
      </c>
      <c r="G1838" s="26">
        <f>ROUND(C1838*E1838,0)</f>
        <v>81</v>
      </c>
      <c r="H1838" t="s">
        <v>4388</v>
      </c>
    </row>
    <row r="1839" spans="1:8" x14ac:dyDescent="0.25">
      <c r="A1839" s="21" t="s">
        <v>4396</v>
      </c>
      <c r="B1839" s="25" t="s">
        <v>4390</v>
      </c>
      <c r="C1839" s="26">
        <v>1</v>
      </c>
      <c r="D1839" s="27" t="s">
        <v>110</v>
      </c>
      <c r="E1839" s="26">
        <v>121.35</v>
      </c>
      <c r="F1839" s="28" t="s">
        <v>68</v>
      </c>
      <c r="G1839" s="26">
        <f>ROUND(C1839*E1839,0)</f>
        <v>121</v>
      </c>
      <c r="H1839" t="s">
        <v>4390</v>
      </c>
    </row>
    <row r="1840" spans="1:8" ht="60" x14ac:dyDescent="0.25">
      <c r="A1840" s="21" t="s">
        <v>4397</v>
      </c>
      <c r="B1840" s="25" t="s">
        <v>4399</v>
      </c>
      <c r="C1840" s="26"/>
      <c r="D1840" s="27"/>
      <c r="E1840" s="26"/>
      <c r="F1840" s="28"/>
      <c r="G1840" s="26"/>
      <c r="H1840" t="s">
        <v>4398</v>
      </c>
    </row>
    <row r="1841" spans="1:8" x14ac:dyDescent="0.25">
      <c r="A1841" s="21" t="s">
        <v>4400</v>
      </c>
      <c r="B1841" s="25" t="s">
        <v>4382</v>
      </c>
      <c r="C1841" s="26">
        <v>1</v>
      </c>
      <c r="D1841" s="27" t="s">
        <v>110</v>
      </c>
      <c r="E1841" s="26">
        <v>28.2</v>
      </c>
      <c r="F1841" s="28" t="s">
        <v>68</v>
      </c>
      <c r="G1841" s="26">
        <f>ROUND(C1841*E1841,0)</f>
        <v>28</v>
      </c>
      <c r="H1841" t="s">
        <v>4382</v>
      </c>
    </row>
    <row r="1842" spans="1:8" x14ac:dyDescent="0.25">
      <c r="A1842" s="21" t="s">
        <v>4401</v>
      </c>
      <c r="B1842" s="25" t="s">
        <v>4388</v>
      </c>
      <c r="C1842" s="26">
        <v>1</v>
      </c>
      <c r="D1842" s="27" t="s">
        <v>110</v>
      </c>
      <c r="E1842" s="26">
        <v>36.25</v>
      </c>
      <c r="F1842" s="28" t="s">
        <v>68</v>
      </c>
      <c r="G1842" s="26">
        <f>ROUND(C1842*E1842,0)</f>
        <v>36</v>
      </c>
      <c r="H1842" t="s">
        <v>4388</v>
      </c>
    </row>
    <row r="1843" spans="1:8" x14ac:dyDescent="0.25">
      <c r="A1843" s="21" t="s">
        <v>4402</v>
      </c>
      <c r="B1843" s="25" t="s">
        <v>4390</v>
      </c>
      <c r="C1843" s="26">
        <v>1</v>
      </c>
      <c r="D1843" s="27" t="s">
        <v>110</v>
      </c>
      <c r="E1843" s="26">
        <v>52.25</v>
      </c>
      <c r="F1843" s="28" t="s">
        <v>68</v>
      </c>
      <c r="G1843" s="26">
        <f>ROUND(C1843*E1843,0)</f>
        <v>52</v>
      </c>
      <c r="H1843" t="s">
        <v>4390</v>
      </c>
    </row>
    <row r="1844" spans="1:8" ht="30" x14ac:dyDescent="0.25">
      <c r="A1844" s="21" t="s">
        <v>4403</v>
      </c>
      <c r="B1844" s="25" t="s">
        <v>4404</v>
      </c>
      <c r="C1844" s="26"/>
      <c r="D1844" s="27"/>
      <c r="E1844" s="26"/>
      <c r="F1844" s="28"/>
      <c r="G1844" s="26"/>
      <c r="H1844" t="s">
        <v>4404</v>
      </c>
    </row>
    <row r="1845" spans="1:8" ht="30" x14ac:dyDescent="0.25">
      <c r="A1845" s="21" t="s">
        <v>4405</v>
      </c>
      <c r="B1845" s="25" t="s">
        <v>4368</v>
      </c>
      <c r="C1845" s="26">
        <v>1</v>
      </c>
      <c r="D1845" s="27" t="s">
        <v>15</v>
      </c>
      <c r="E1845" s="26">
        <v>41.2</v>
      </c>
      <c r="F1845" s="28" t="s">
        <v>16</v>
      </c>
      <c r="G1845" s="26">
        <f>ROUND(C1845*E1845,0)</f>
        <v>41</v>
      </c>
      <c r="H1845" t="s">
        <v>4368</v>
      </c>
    </row>
    <row r="1846" spans="1:8" ht="45" x14ac:dyDescent="0.25">
      <c r="A1846" s="21" t="s">
        <v>4406</v>
      </c>
      <c r="B1846" s="25" t="s">
        <v>4408</v>
      </c>
      <c r="C1846" s="26"/>
      <c r="D1846" s="27"/>
      <c r="E1846" s="26"/>
      <c r="F1846" s="28"/>
      <c r="G1846" s="26"/>
      <c r="H1846" t="s">
        <v>4407</v>
      </c>
    </row>
    <row r="1847" spans="1:8" ht="30" x14ac:dyDescent="0.25">
      <c r="A1847" s="21" t="s">
        <v>4409</v>
      </c>
      <c r="B1847" s="25" t="s">
        <v>4410</v>
      </c>
      <c r="C1847" s="26">
        <v>1</v>
      </c>
      <c r="D1847" s="27" t="s">
        <v>15</v>
      </c>
      <c r="E1847" s="26">
        <v>102.8</v>
      </c>
      <c r="F1847" s="28" t="s">
        <v>16</v>
      </c>
      <c r="G1847" s="26">
        <f>ROUND(C1847*E1847,0)</f>
        <v>103</v>
      </c>
      <c r="H1847" t="s">
        <v>4410</v>
      </c>
    </row>
    <row r="1848" spans="1:8" ht="30" x14ac:dyDescent="0.25">
      <c r="A1848" s="21" t="s">
        <v>4411</v>
      </c>
      <c r="B1848" s="25" t="s">
        <v>4413</v>
      </c>
      <c r="C1848" s="26"/>
      <c r="D1848" s="27"/>
      <c r="E1848" s="26"/>
      <c r="F1848" s="28"/>
      <c r="G1848" s="26"/>
      <c r="H1848" t="s">
        <v>4412</v>
      </c>
    </row>
    <row r="1849" spans="1:8" ht="30" x14ac:dyDescent="0.25">
      <c r="A1849" s="21" t="s">
        <v>4414</v>
      </c>
      <c r="B1849" s="25" t="s">
        <v>4410</v>
      </c>
      <c r="C1849" s="26">
        <v>1</v>
      </c>
      <c r="D1849" s="27" t="s">
        <v>15</v>
      </c>
      <c r="E1849" s="26">
        <v>96</v>
      </c>
      <c r="F1849" s="28" t="s">
        <v>16</v>
      </c>
      <c r="G1849" s="26">
        <f>ROUND(C1849*E1849,0)</f>
        <v>96</v>
      </c>
      <c r="H1849" t="s">
        <v>4410</v>
      </c>
    </row>
    <row r="1850" spans="1:8" ht="45" x14ac:dyDescent="0.25">
      <c r="A1850" s="21" t="s">
        <v>4415</v>
      </c>
      <c r="B1850" s="25" t="s">
        <v>4417</v>
      </c>
      <c r="C1850" s="26"/>
      <c r="D1850" s="27"/>
      <c r="E1850" s="26"/>
      <c r="F1850" s="28"/>
      <c r="G1850" s="26"/>
      <c r="H1850" t="s">
        <v>4416</v>
      </c>
    </row>
    <row r="1851" spans="1:8" ht="30" x14ac:dyDescent="0.25">
      <c r="A1851" s="21" t="s">
        <v>4418</v>
      </c>
      <c r="B1851" s="25" t="s">
        <v>4410</v>
      </c>
      <c r="C1851" s="26">
        <v>1</v>
      </c>
      <c r="D1851" s="27" t="s">
        <v>15</v>
      </c>
      <c r="E1851" s="26">
        <v>107.25</v>
      </c>
      <c r="F1851" s="28" t="s">
        <v>16</v>
      </c>
      <c r="G1851" s="26">
        <f>ROUND(C1851*E1851,0)</f>
        <v>107</v>
      </c>
      <c r="H1851" t="s">
        <v>4410</v>
      </c>
    </row>
    <row r="1852" spans="1:8" ht="45" x14ac:dyDescent="0.25">
      <c r="A1852" s="21" t="s">
        <v>4419</v>
      </c>
      <c r="B1852" s="25" t="s">
        <v>4421</v>
      </c>
      <c r="C1852" s="26"/>
      <c r="D1852" s="27"/>
      <c r="E1852" s="26"/>
      <c r="F1852" s="28"/>
      <c r="G1852" s="26"/>
      <c r="H1852" t="s">
        <v>4420</v>
      </c>
    </row>
    <row r="1853" spans="1:8" ht="30" x14ac:dyDescent="0.25">
      <c r="A1853" s="21" t="s">
        <v>4422</v>
      </c>
      <c r="B1853" s="25" t="s">
        <v>4410</v>
      </c>
      <c r="C1853" s="26">
        <v>1</v>
      </c>
      <c r="D1853" s="27" t="s">
        <v>15</v>
      </c>
      <c r="E1853" s="26">
        <v>93.7</v>
      </c>
      <c r="F1853" s="28" t="s">
        <v>16</v>
      </c>
      <c r="G1853" s="26">
        <f>ROUND(C1853*E1853,0)</f>
        <v>94</v>
      </c>
      <c r="H1853" t="s">
        <v>4410</v>
      </c>
    </row>
    <row r="1854" spans="1:8" x14ac:dyDescent="0.25">
      <c r="A1854" s="21" t="s">
        <v>4423</v>
      </c>
      <c r="B1854" s="25" t="s">
        <v>4290</v>
      </c>
      <c r="C1854" s="26"/>
      <c r="D1854" s="27"/>
      <c r="E1854" s="26"/>
      <c r="F1854" s="28"/>
      <c r="G1854" s="26"/>
      <c r="H1854" t="s">
        <v>4290</v>
      </c>
    </row>
    <row r="1855" spans="1:8" ht="30" x14ac:dyDescent="0.25">
      <c r="A1855" s="21" t="s">
        <v>4424</v>
      </c>
      <c r="B1855" s="25" t="s">
        <v>4410</v>
      </c>
      <c r="C1855" s="26">
        <v>1</v>
      </c>
      <c r="D1855" s="27" t="s">
        <v>15</v>
      </c>
      <c r="E1855" s="26">
        <v>224.8</v>
      </c>
      <c r="F1855" s="28" t="s">
        <v>16</v>
      </c>
      <c r="G1855" s="26">
        <f>ROUND(C1855*E1855,0)</f>
        <v>225</v>
      </c>
      <c r="H1855" t="s">
        <v>4410</v>
      </c>
    </row>
    <row r="1856" spans="1:8" ht="30" x14ac:dyDescent="0.25">
      <c r="A1856" s="21" t="s">
        <v>4425</v>
      </c>
      <c r="B1856" s="25" t="s">
        <v>4427</v>
      </c>
      <c r="C1856" s="26"/>
      <c r="D1856" s="27"/>
      <c r="E1856" s="26"/>
      <c r="F1856" s="28"/>
      <c r="G1856" s="26"/>
      <c r="H1856" t="s">
        <v>4426</v>
      </c>
    </row>
    <row r="1857" spans="1:8" ht="30" x14ac:dyDescent="0.25">
      <c r="A1857" s="21" t="s">
        <v>4428</v>
      </c>
      <c r="B1857" s="25" t="s">
        <v>4429</v>
      </c>
      <c r="C1857" s="26">
        <v>1</v>
      </c>
      <c r="D1857" s="27" t="s">
        <v>15</v>
      </c>
      <c r="E1857" s="26">
        <v>99.8</v>
      </c>
      <c r="F1857" s="28" t="s">
        <v>16</v>
      </c>
      <c r="G1857" s="26">
        <f>ROUND(C1857*E1857,0)</f>
        <v>100</v>
      </c>
      <c r="H1857" t="s">
        <v>4429</v>
      </c>
    </row>
    <row r="1858" spans="1:8" ht="45" x14ac:dyDescent="0.25">
      <c r="A1858" s="21" t="s">
        <v>4430</v>
      </c>
      <c r="B1858" s="25" t="s">
        <v>4432</v>
      </c>
      <c r="C1858" s="26">
        <v>1</v>
      </c>
      <c r="D1858" s="27" t="s">
        <v>429</v>
      </c>
      <c r="E1858" s="26">
        <v>3.85</v>
      </c>
      <c r="F1858" s="28" t="s">
        <v>4433</v>
      </c>
      <c r="G1858" s="26">
        <f>ROUND(C1858*E1858,0)</f>
        <v>4</v>
      </c>
      <c r="H1858" t="s">
        <v>4431</v>
      </c>
    </row>
    <row r="1859" spans="1:8" ht="45" x14ac:dyDescent="0.25">
      <c r="A1859" s="21" t="s">
        <v>4434</v>
      </c>
      <c r="B1859" s="25" t="s">
        <v>4436</v>
      </c>
      <c r="C1859" s="26">
        <v>1</v>
      </c>
      <c r="D1859" s="27" t="s">
        <v>15</v>
      </c>
      <c r="E1859" s="26">
        <v>95.8</v>
      </c>
      <c r="F1859" s="28" t="s">
        <v>16</v>
      </c>
      <c r="G1859" s="26">
        <f>ROUND(C1859*E1859,0)</f>
        <v>96</v>
      </c>
      <c r="H1859" t="s">
        <v>4435</v>
      </c>
    </row>
    <row r="1860" spans="1:8" ht="30" x14ac:dyDescent="0.25">
      <c r="A1860" s="21" t="s">
        <v>4437</v>
      </c>
      <c r="B1860" s="25" t="s">
        <v>4439</v>
      </c>
      <c r="C1860" s="26"/>
      <c r="D1860" s="27"/>
      <c r="E1860" s="26"/>
      <c r="F1860" s="28"/>
      <c r="G1860" s="26"/>
      <c r="H1860" t="s">
        <v>4438</v>
      </c>
    </row>
    <row r="1861" spans="1:8" x14ac:dyDescent="0.25">
      <c r="A1861" s="21" t="s">
        <v>4440</v>
      </c>
      <c r="B1861" s="25" t="s">
        <v>4441</v>
      </c>
      <c r="C1861" s="26">
        <v>1</v>
      </c>
      <c r="D1861" s="27" t="s">
        <v>201</v>
      </c>
      <c r="E1861" s="26">
        <v>80.099999999999994</v>
      </c>
      <c r="F1861" s="28" t="s">
        <v>202</v>
      </c>
      <c r="G1861" s="26">
        <f>ROUND(C1861*E1861,0)</f>
        <v>80</v>
      </c>
      <c r="H1861" t="s">
        <v>4441</v>
      </c>
    </row>
    <row r="1862" spans="1:8" x14ac:dyDescent="0.25">
      <c r="A1862" s="21" t="s">
        <v>4442</v>
      </c>
      <c r="B1862" s="25" t="s">
        <v>4443</v>
      </c>
      <c r="C1862" s="26">
        <v>1</v>
      </c>
      <c r="D1862" s="27" t="s">
        <v>201</v>
      </c>
      <c r="E1862" s="26">
        <v>78.650000000000006</v>
      </c>
      <c r="F1862" s="28" t="s">
        <v>202</v>
      </c>
      <c r="G1862" s="26">
        <f>ROUND(C1862*E1862,0)</f>
        <v>79</v>
      </c>
      <c r="H1862" t="s">
        <v>4443</v>
      </c>
    </row>
    <row r="1863" spans="1:8" ht="30" x14ac:dyDescent="0.25">
      <c r="A1863" s="21" t="s">
        <v>4444</v>
      </c>
      <c r="B1863" s="25" t="s">
        <v>4148</v>
      </c>
      <c r="C1863" s="26"/>
      <c r="D1863" s="27"/>
      <c r="E1863" s="26"/>
      <c r="F1863" s="28"/>
      <c r="G1863" s="26"/>
      <c r="H1863" t="s">
        <v>4147</v>
      </c>
    </row>
    <row r="1864" spans="1:8" ht="60" x14ac:dyDescent="0.25">
      <c r="A1864" s="21" t="s">
        <v>4445</v>
      </c>
      <c r="B1864" s="25" t="s">
        <v>4446</v>
      </c>
      <c r="C1864" s="26">
        <v>1</v>
      </c>
      <c r="D1864" s="27" t="s">
        <v>15</v>
      </c>
      <c r="E1864" s="26">
        <v>112.9</v>
      </c>
      <c r="F1864" s="28" t="s">
        <v>16</v>
      </c>
      <c r="G1864" s="26">
        <f>ROUND(C1864*E1864,0)</f>
        <v>113</v>
      </c>
      <c r="H1864" t="s">
        <v>4343</v>
      </c>
    </row>
    <row r="1865" spans="1:8" ht="30" x14ac:dyDescent="0.25">
      <c r="A1865" s="21" t="s">
        <v>4447</v>
      </c>
      <c r="B1865" s="25" t="s">
        <v>4448</v>
      </c>
      <c r="C1865" s="26">
        <v>1</v>
      </c>
      <c r="D1865" s="27" t="s">
        <v>15</v>
      </c>
      <c r="E1865" s="26">
        <v>75.8</v>
      </c>
      <c r="F1865" s="28" t="s">
        <v>16</v>
      </c>
      <c r="G1865" s="26">
        <f>ROUND(C1865*E1865,0)</f>
        <v>76</v>
      </c>
      <c r="H1865" t="s">
        <v>4448</v>
      </c>
    </row>
    <row r="1866" spans="1:8" ht="30" x14ac:dyDescent="0.25">
      <c r="A1866" s="21" t="s">
        <v>4449</v>
      </c>
      <c r="B1866" s="25" t="s">
        <v>4154</v>
      </c>
      <c r="C1866" s="26"/>
      <c r="D1866" s="27"/>
      <c r="E1866" s="26"/>
      <c r="F1866" s="28"/>
      <c r="G1866" s="26"/>
      <c r="H1866" t="s">
        <v>4154</v>
      </c>
    </row>
    <row r="1867" spans="1:8" ht="30" x14ac:dyDescent="0.25">
      <c r="A1867" s="21" t="s">
        <v>4450</v>
      </c>
      <c r="B1867" s="25" t="s">
        <v>4451</v>
      </c>
      <c r="C1867" s="26">
        <v>1</v>
      </c>
      <c r="D1867" s="27" t="s">
        <v>15</v>
      </c>
      <c r="E1867" s="26">
        <v>169.2</v>
      </c>
      <c r="F1867" s="28" t="s">
        <v>16</v>
      </c>
      <c r="G1867" s="26">
        <f>ROUND(C1867*E1867,0)</f>
        <v>169</v>
      </c>
      <c r="H1867" t="s">
        <v>4451</v>
      </c>
    </row>
    <row r="1868" spans="1:8" ht="30" x14ac:dyDescent="0.25">
      <c r="A1868" s="21" t="s">
        <v>4452</v>
      </c>
      <c r="B1868" s="25" t="s">
        <v>4453</v>
      </c>
      <c r="C1868" s="26">
        <v>1</v>
      </c>
      <c r="D1868" s="27" t="s">
        <v>15</v>
      </c>
      <c r="E1868" s="26">
        <v>109.1</v>
      </c>
      <c r="F1868" s="28" t="s">
        <v>16</v>
      </c>
      <c r="G1868" s="26">
        <f>ROUND(C1868*E1868,0)</f>
        <v>109</v>
      </c>
      <c r="H1868" t="s">
        <v>4453</v>
      </c>
    </row>
    <row r="1869" spans="1:8" ht="30" x14ac:dyDescent="0.25">
      <c r="A1869" s="21" t="s">
        <v>4454</v>
      </c>
      <c r="B1869" s="25" t="s">
        <v>4160</v>
      </c>
      <c r="C1869" s="26"/>
      <c r="D1869" s="27"/>
      <c r="E1869" s="26"/>
      <c r="F1869" s="28"/>
      <c r="G1869" s="26"/>
      <c r="H1869" t="s">
        <v>4160</v>
      </c>
    </row>
    <row r="1870" spans="1:8" ht="30" x14ac:dyDescent="0.25">
      <c r="A1870" s="21" t="s">
        <v>4455</v>
      </c>
      <c r="B1870" s="25" t="s">
        <v>4456</v>
      </c>
      <c r="C1870" s="26">
        <v>1</v>
      </c>
      <c r="D1870" s="27" t="s">
        <v>15</v>
      </c>
      <c r="E1870" s="26">
        <v>120.75</v>
      </c>
      <c r="F1870" s="28" t="s">
        <v>16</v>
      </c>
      <c r="G1870" s="26">
        <f>ROUND(C1870*E1870,0)</f>
        <v>121</v>
      </c>
      <c r="H1870" t="s">
        <v>4456</v>
      </c>
    </row>
    <row r="1871" spans="1:8" ht="30" x14ac:dyDescent="0.25">
      <c r="A1871" s="21" t="s">
        <v>4457</v>
      </c>
      <c r="B1871" s="25" t="s">
        <v>4458</v>
      </c>
      <c r="C1871" s="26">
        <v>1</v>
      </c>
      <c r="D1871" s="27" t="s">
        <v>15</v>
      </c>
      <c r="E1871" s="26">
        <v>80.650000000000006</v>
      </c>
      <c r="F1871" s="28" t="s">
        <v>16</v>
      </c>
      <c r="G1871" s="26">
        <f>ROUND(C1871*E1871,0)</f>
        <v>81</v>
      </c>
      <c r="H1871" t="s">
        <v>4458</v>
      </c>
    </row>
    <row r="1872" spans="1:8" ht="45" x14ac:dyDescent="0.25">
      <c r="A1872" s="21" t="s">
        <v>4459</v>
      </c>
      <c r="B1872" s="25" t="s">
        <v>4460</v>
      </c>
      <c r="C1872" s="26"/>
      <c r="D1872" s="27"/>
      <c r="E1872" s="26"/>
      <c r="F1872" s="28"/>
      <c r="G1872" s="26"/>
      <c r="H1872" t="s">
        <v>4460</v>
      </c>
    </row>
    <row r="1873" spans="1:8" ht="30" x14ac:dyDescent="0.25">
      <c r="A1873" s="21" t="s">
        <v>4461</v>
      </c>
      <c r="B1873" s="25" t="s">
        <v>4463</v>
      </c>
      <c r="C1873" s="26">
        <v>1</v>
      </c>
      <c r="D1873" s="27" t="s">
        <v>15</v>
      </c>
      <c r="E1873" s="26">
        <v>131.30000000000001</v>
      </c>
      <c r="F1873" s="28" t="s">
        <v>16</v>
      </c>
      <c r="G1873" s="26">
        <f>ROUND(C1873*E1873,0)</f>
        <v>131</v>
      </c>
      <c r="H1873" t="s">
        <v>4462</v>
      </c>
    </row>
    <row r="1874" spans="1:8" ht="30" x14ac:dyDescent="0.25">
      <c r="A1874" s="21" t="s">
        <v>4464</v>
      </c>
      <c r="B1874" s="25" t="s">
        <v>4465</v>
      </c>
      <c r="C1874" s="26">
        <v>1</v>
      </c>
      <c r="D1874" s="27" t="s">
        <v>15</v>
      </c>
      <c r="E1874" s="26">
        <v>88.55</v>
      </c>
      <c r="F1874" s="28" t="s">
        <v>16</v>
      </c>
      <c r="G1874" s="26">
        <f>ROUND(C1874*E1874,0)</f>
        <v>89</v>
      </c>
      <c r="H1874" t="s">
        <v>4465</v>
      </c>
    </row>
    <row r="1875" spans="1:8" ht="30" x14ac:dyDescent="0.25">
      <c r="A1875" s="21" t="s">
        <v>4466</v>
      </c>
      <c r="B1875" s="25" t="s">
        <v>4281</v>
      </c>
      <c r="C1875" s="26"/>
      <c r="D1875" s="27"/>
      <c r="E1875" s="26"/>
      <c r="F1875" s="28"/>
      <c r="G1875" s="26"/>
      <c r="H1875" t="s">
        <v>4281</v>
      </c>
    </row>
    <row r="1876" spans="1:8" ht="30" x14ac:dyDescent="0.25">
      <c r="A1876" s="21" t="s">
        <v>4467</v>
      </c>
      <c r="B1876" s="25" t="s">
        <v>4468</v>
      </c>
      <c r="C1876" s="26">
        <v>1</v>
      </c>
      <c r="D1876" s="27" t="s">
        <v>15</v>
      </c>
      <c r="E1876" s="26">
        <v>94.6</v>
      </c>
      <c r="F1876" s="28" t="s">
        <v>16</v>
      </c>
      <c r="G1876" s="26">
        <f>ROUND(C1876*E1876,0)</f>
        <v>95</v>
      </c>
      <c r="H1876" t="s">
        <v>4468</v>
      </c>
    </row>
    <row r="1877" spans="1:8" ht="30" x14ac:dyDescent="0.25">
      <c r="A1877" s="21" t="s">
        <v>4469</v>
      </c>
      <c r="B1877" s="25" t="s">
        <v>4470</v>
      </c>
      <c r="C1877" s="26">
        <v>1</v>
      </c>
      <c r="D1877" s="27" t="s">
        <v>15</v>
      </c>
      <c r="E1877" s="26">
        <v>95.05</v>
      </c>
      <c r="F1877" s="28" t="s">
        <v>16</v>
      </c>
      <c r="G1877" s="26">
        <f>ROUND(C1877*E1877,0)</f>
        <v>95</v>
      </c>
      <c r="H1877" t="s">
        <v>4470</v>
      </c>
    </row>
    <row r="1878" spans="1:8" ht="30" x14ac:dyDescent="0.25">
      <c r="A1878" s="21" t="s">
        <v>4471</v>
      </c>
      <c r="B1878" s="25" t="s">
        <v>4472</v>
      </c>
      <c r="C1878" s="26">
        <v>1</v>
      </c>
      <c r="D1878" s="27" t="s">
        <v>15</v>
      </c>
      <c r="E1878" s="26">
        <v>1192.3</v>
      </c>
      <c r="F1878" s="28" t="s">
        <v>16</v>
      </c>
      <c r="G1878" s="26">
        <f>ROUND(C1878*E1878,0)</f>
        <v>1192</v>
      </c>
      <c r="H1878" t="s">
        <v>4472</v>
      </c>
    </row>
    <row r="1879" spans="1:8" ht="45" x14ac:dyDescent="0.25">
      <c r="A1879" s="21" t="s">
        <v>4473</v>
      </c>
      <c r="B1879" s="25" t="s">
        <v>4475</v>
      </c>
      <c r="C1879" s="26">
        <v>1</v>
      </c>
      <c r="D1879" s="27" t="s">
        <v>15</v>
      </c>
      <c r="E1879" s="26">
        <v>99.7</v>
      </c>
      <c r="F1879" s="28" t="s">
        <v>16</v>
      </c>
      <c r="G1879" s="26">
        <f>ROUND(C1879*E1879,0)</f>
        <v>100</v>
      </c>
      <c r="H1879" t="s">
        <v>4474</v>
      </c>
    </row>
    <row r="1880" spans="1:8" ht="60" x14ac:dyDescent="0.25">
      <c r="A1880" s="21" t="s">
        <v>4476</v>
      </c>
      <c r="B1880" s="25" t="s">
        <v>4478</v>
      </c>
      <c r="C1880" s="26"/>
      <c r="D1880" s="27"/>
      <c r="E1880" s="26"/>
      <c r="F1880" s="28"/>
      <c r="G1880" s="26"/>
      <c r="H1880" t="s">
        <v>4477</v>
      </c>
    </row>
    <row r="1881" spans="1:8" ht="45" x14ac:dyDescent="0.25">
      <c r="A1881" s="21"/>
      <c r="B1881" s="25" t="s">
        <v>4479</v>
      </c>
      <c r="C1881" s="26"/>
      <c r="D1881" s="27"/>
      <c r="E1881" s="26"/>
      <c r="F1881" s="28"/>
      <c r="G1881" s="26"/>
    </row>
    <row r="1882" spans="1:8" ht="45" x14ac:dyDescent="0.25">
      <c r="A1882" s="21"/>
      <c r="B1882" s="25" t="s">
        <v>4480</v>
      </c>
      <c r="C1882" s="26"/>
      <c r="D1882" s="27"/>
      <c r="E1882" s="26"/>
      <c r="F1882" s="28"/>
      <c r="G1882" s="26"/>
    </row>
    <row r="1883" spans="1:8" ht="135" x14ac:dyDescent="0.25">
      <c r="A1883" s="21"/>
      <c r="B1883" s="25" t="s">
        <v>4481</v>
      </c>
      <c r="C1883" s="26"/>
      <c r="D1883" s="27"/>
      <c r="E1883" s="26"/>
      <c r="F1883" s="28"/>
      <c r="G1883" s="26"/>
    </row>
    <row r="1884" spans="1:8" ht="180" x14ac:dyDescent="0.25">
      <c r="A1884" s="21"/>
      <c r="B1884" s="25" t="s">
        <v>4482</v>
      </c>
      <c r="C1884" s="26">
        <v>1</v>
      </c>
      <c r="D1884" s="27" t="s">
        <v>15</v>
      </c>
      <c r="E1884" s="26">
        <v>3049.85</v>
      </c>
      <c r="F1884" s="28" t="s">
        <v>16</v>
      </c>
      <c r="G1884" s="26">
        <f>ROUND(C1884*E1884,0)</f>
        <v>3050</v>
      </c>
    </row>
    <row r="1885" spans="1:8" x14ac:dyDescent="0.25">
      <c r="A1885" s="21"/>
      <c r="B1885" s="45" t="s">
        <v>4483</v>
      </c>
      <c r="C1885" s="45"/>
      <c r="D1885" s="45"/>
      <c r="E1885" s="45"/>
      <c r="F1885" s="45"/>
      <c r="G1885" s="29">
        <f>SUM(G1657:G1884)</f>
        <v>35733</v>
      </c>
    </row>
    <row r="1886" spans="1:8" x14ac:dyDescent="0.25">
      <c r="A1886" s="46" t="s">
        <v>4484</v>
      </c>
      <c r="B1886" s="47"/>
      <c r="C1886" s="47"/>
      <c r="D1886" s="47"/>
      <c r="E1886" s="47"/>
      <c r="F1886" s="47"/>
      <c r="G1886" s="47"/>
    </row>
    <row r="1887" spans="1:8" ht="105" x14ac:dyDescent="0.25">
      <c r="A1887" s="21" t="s">
        <v>4485</v>
      </c>
      <c r="B1887" s="25" t="s">
        <v>4487</v>
      </c>
      <c r="C1887" s="26"/>
      <c r="D1887" s="27"/>
      <c r="E1887" s="26"/>
      <c r="F1887" s="28"/>
      <c r="G1887" s="26"/>
      <c r="H1887" t="s">
        <v>4486</v>
      </c>
    </row>
    <row r="1888" spans="1:8" ht="30" x14ac:dyDescent="0.25">
      <c r="A1888" s="21" t="s">
        <v>4488</v>
      </c>
      <c r="B1888" s="25" t="s">
        <v>4490</v>
      </c>
      <c r="C1888" s="26">
        <v>1</v>
      </c>
      <c r="D1888" s="27" t="s">
        <v>15</v>
      </c>
      <c r="E1888" s="26">
        <v>547.4</v>
      </c>
      <c r="F1888" s="28" t="s">
        <v>16</v>
      </c>
      <c r="G1888" s="26">
        <f>ROUND(C1888*E1888,0)</f>
        <v>547</v>
      </c>
      <c r="H1888" t="s">
        <v>4489</v>
      </c>
    </row>
    <row r="1889" spans="1:8" ht="30" x14ac:dyDescent="0.25">
      <c r="A1889" s="21" t="s">
        <v>4491</v>
      </c>
      <c r="B1889" s="25" t="s">
        <v>4493</v>
      </c>
      <c r="C1889" s="26">
        <v>1</v>
      </c>
      <c r="D1889" s="27" t="s">
        <v>15</v>
      </c>
      <c r="E1889" s="26">
        <v>560.5</v>
      </c>
      <c r="F1889" s="28" t="s">
        <v>16</v>
      </c>
      <c r="G1889" s="26">
        <f>ROUND(C1889*E1889,0)</f>
        <v>561</v>
      </c>
      <c r="H1889" t="s">
        <v>4492</v>
      </c>
    </row>
    <row r="1890" spans="1:8" ht="180" x14ac:dyDescent="0.25">
      <c r="A1890" s="21" t="s">
        <v>4494</v>
      </c>
      <c r="B1890" s="25" t="s">
        <v>4496</v>
      </c>
      <c r="C1890" s="26"/>
      <c r="D1890" s="27"/>
      <c r="E1890" s="26"/>
      <c r="F1890" s="28"/>
      <c r="G1890" s="26"/>
      <c r="H1890" t="s">
        <v>4495</v>
      </c>
    </row>
    <row r="1891" spans="1:8" x14ac:dyDescent="0.25">
      <c r="A1891" s="21" t="s">
        <v>4497</v>
      </c>
      <c r="B1891" s="25" t="s">
        <v>4499</v>
      </c>
      <c r="C1891" s="26">
        <v>1</v>
      </c>
      <c r="D1891" s="27" t="s">
        <v>201</v>
      </c>
      <c r="E1891" s="26">
        <v>1782.55</v>
      </c>
      <c r="F1891" s="28" t="s">
        <v>202</v>
      </c>
      <c r="G1891" s="26">
        <f>ROUND(C1891*E1891,0)</f>
        <v>1783</v>
      </c>
      <c r="H1891" t="s">
        <v>4498</v>
      </c>
    </row>
    <row r="1892" spans="1:8" x14ac:dyDescent="0.25">
      <c r="A1892" s="21" t="s">
        <v>4500</v>
      </c>
      <c r="B1892" s="25" t="s">
        <v>4502</v>
      </c>
      <c r="C1892" s="26">
        <v>1</v>
      </c>
      <c r="D1892" s="27" t="s">
        <v>201</v>
      </c>
      <c r="E1892" s="26">
        <v>1125.1500000000001</v>
      </c>
      <c r="F1892" s="28" t="s">
        <v>202</v>
      </c>
      <c r="G1892" s="26">
        <f>ROUND(C1892*E1892,0)</f>
        <v>1125</v>
      </c>
      <c r="H1892" t="s">
        <v>4501</v>
      </c>
    </row>
    <row r="1893" spans="1:8" x14ac:dyDescent="0.25">
      <c r="A1893" s="21" t="s">
        <v>4503</v>
      </c>
      <c r="B1893" s="25" t="s">
        <v>4505</v>
      </c>
      <c r="C1893" s="26">
        <v>1</v>
      </c>
      <c r="D1893" s="27" t="s">
        <v>201</v>
      </c>
      <c r="E1893" s="26">
        <v>851</v>
      </c>
      <c r="F1893" s="28" t="s">
        <v>202</v>
      </c>
      <c r="G1893" s="26">
        <f>ROUND(C1893*E1893,0)</f>
        <v>851</v>
      </c>
      <c r="H1893" t="s">
        <v>4504</v>
      </c>
    </row>
    <row r="1894" spans="1:8" ht="90" x14ac:dyDescent="0.25">
      <c r="A1894" s="21" t="s">
        <v>4506</v>
      </c>
      <c r="B1894" s="25" t="s">
        <v>4508</v>
      </c>
      <c r="C1894" s="26">
        <v>1</v>
      </c>
      <c r="D1894" s="27" t="s">
        <v>201</v>
      </c>
      <c r="E1894" s="26">
        <v>217.1</v>
      </c>
      <c r="F1894" s="28" t="s">
        <v>202</v>
      </c>
      <c r="G1894" s="26">
        <f>ROUND(C1894*E1894,0)</f>
        <v>217</v>
      </c>
      <c r="H1894" t="s">
        <v>4507</v>
      </c>
    </row>
    <row r="1895" spans="1:8" ht="105" x14ac:dyDescent="0.25">
      <c r="A1895" s="21" t="s">
        <v>4509</v>
      </c>
      <c r="B1895" s="25" t="s">
        <v>4511</v>
      </c>
      <c r="C1895" s="26"/>
      <c r="D1895" s="27"/>
      <c r="E1895" s="26"/>
      <c r="F1895" s="28"/>
      <c r="G1895" s="26"/>
      <c r="H1895" t="s">
        <v>4510</v>
      </c>
    </row>
    <row r="1896" spans="1:8" ht="30" x14ac:dyDescent="0.25">
      <c r="A1896" s="21" t="s">
        <v>4512</v>
      </c>
      <c r="B1896" s="25" t="s">
        <v>4513</v>
      </c>
      <c r="C1896" s="26">
        <v>1</v>
      </c>
      <c r="D1896" s="27" t="s">
        <v>15</v>
      </c>
      <c r="E1896" s="26">
        <v>1264.3499999999999</v>
      </c>
      <c r="F1896" s="28" t="s">
        <v>16</v>
      </c>
      <c r="G1896" s="26">
        <f>ROUND(C1896*E1896,0)</f>
        <v>1264</v>
      </c>
      <c r="H1896" t="s">
        <v>4513</v>
      </c>
    </row>
    <row r="1897" spans="1:8" ht="45" x14ac:dyDescent="0.25">
      <c r="A1897" s="21" t="s">
        <v>4514</v>
      </c>
      <c r="B1897" s="25" t="s">
        <v>4516</v>
      </c>
      <c r="C1897" s="26"/>
      <c r="D1897" s="27"/>
      <c r="E1897" s="26"/>
      <c r="F1897" s="28"/>
      <c r="G1897" s="26"/>
      <c r="H1897" t="s">
        <v>4515</v>
      </c>
    </row>
    <row r="1898" spans="1:8" ht="30" x14ac:dyDescent="0.25">
      <c r="A1898" s="21" t="s">
        <v>4517</v>
      </c>
      <c r="B1898" s="25" t="s">
        <v>4519</v>
      </c>
      <c r="C1898" s="26">
        <v>1</v>
      </c>
      <c r="D1898" s="27" t="s">
        <v>15</v>
      </c>
      <c r="E1898" s="26">
        <v>1090.6500000000001</v>
      </c>
      <c r="F1898" s="28" t="s">
        <v>16</v>
      </c>
      <c r="G1898" s="26">
        <f>ROUND(C1898*E1898,0)</f>
        <v>1091</v>
      </c>
      <c r="H1898" t="s">
        <v>4518</v>
      </c>
    </row>
    <row r="1899" spans="1:8" ht="30" x14ac:dyDescent="0.25">
      <c r="A1899" s="21" t="s">
        <v>4520</v>
      </c>
      <c r="B1899" s="25" t="s">
        <v>4522</v>
      </c>
      <c r="C1899" s="26">
        <v>1</v>
      </c>
      <c r="D1899" s="27" t="s">
        <v>15</v>
      </c>
      <c r="E1899" s="26">
        <v>1416.15</v>
      </c>
      <c r="F1899" s="28" t="s">
        <v>16</v>
      </c>
      <c r="G1899" s="26">
        <f>ROUND(C1899*E1899,0)</f>
        <v>1416</v>
      </c>
      <c r="H1899" t="s">
        <v>4521</v>
      </c>
    </row>
    <row r="1900" spans="1:8" ht="30" x14ac:dyDescent="0.25">
      <c r="A1900" s="21" t="s">
        <v>4523</v>
      </c>
      <c r="B1900" s="25" t="s">
        <v>4525</v>
      </c>
      <c r="C1900" s="26"/>
      <c r="D1900" s="27"/>
      <c r="E1900" s="26"/>
      <c r="F1900" s="28"/>
      <c r="G1900" s="26"/>
      <c r="H1900" t="s">
        <v>4524</v>
      </c>
    </row>
    <row r="1901" spans="1:8" ht="30" x14ac:dyDescent="0.25">
      <c r="A1901" s="21" t="s">
        <v>4526</v>
      </c>
      <c r="B1901" s="25" t="s">
        <v>4519</v>
      </c>
      <c r="C1901" s="26">
        <v>1</v>
      </c>
      <c r="D1901" s="27" t="s">
        <v>15</v>
      </c>
      <c r="E1901" s="26">
        <v>1580.9</v>
      </c>
      <c r="F1901" s="28" t="s">
        <v>16</v>
      </c>
      <c r="G1901" s="26">
        <f>ROUND(C1901*E1901,0)</f>
        <v>1581</v>
      </c>
      <c r="H1901" t="s">
        <v>4518</v>
      </c>
    </row>
    <row r="1902" spans="1:8" ht="30" x14ac:dyDescent="0.25">
      <c r="A1902" s="21" t="s">
        <v>4527</v>
      </c>
      <c r="B1902" s="25" t="s">
        <v>4522</v>
      </c>
      <c r="C1902" s="26">
        <v>1</v>
      </c>
      <c r="D1902" s="27" t="s">
        <v>15</v>
      </c>
      <c r="E1902" s="26">
        <v>1906.4</v>
      </c>
      <c r="F1902" s="28" t="s">
        <v>16</v>
      </c>
      <c r="G1902" s="26">
        <f>ROUND(C1902*E1902,0)</f>
        <v>1906</v>
      </c>
      <c r="H1902" t="s">
        <v>4528</v>
      </c>
    </row>
    <row r="1903" spans="1:8" ht="30" x14ac:dyDescent="0.25">
      <c r="A1903" s="21" t="s">
        <v>4529</v>
      </c>
      <c r="B1903" s="25" t="s">
        <v>4531</v>
      </c>
      <c r="C1903" s="26"/>
      <c r="D1903" s="27"/>
      <c r="E1903" s="26"/>
      <c r="F1903" s="28"/>
      <c r="G1903" s="26"/>
      <c r="H1903" t="s">
        <v>4530</v>
      </c>
    </row>
    <row r="1904" spans="1:8" ht="30" x14ac:dyDescent="0.25">
      <c r="A1904" s="21" t="s">
        <v>4532</v>
      </c>
      <c r="B1904" s="25" t="s">
        <v>4519</v>
      </c>
      <c r="C1904" s="26">
        <v>1</v>
      </c>
      <c r="D1904" s="27" t="s">
        <v>15</v>
      </c>
      <c r="E1904" s="26">
        <v>1227.3</v>
      </c>
      <c r="F1904" s="28" t="s">
        <v>16</v>
      </c>
      <c r="G1904" s="26">
        <f>ROUND(C1904*E1904,0)</f>
        <v>1227</v>
      </c>
      <c r="H1904" t="s">
        <v>4533</v>
      </c>
    </row>
    <row r="1905" spans="1:8" ht="30" x14ac:dyDescent="0.25">
      <c r="A1905" s="21" t="s">
        <v>4534</v>
      </c>
      <c r="B1905" s="25" t="s">
        <v>4522</v>
      </c>
      <c r="C1905" s="26">
        <v>1</v>
      </c>
      <c r="D1905" s="27" t="s">
        <v>15</v>
      </c>
      <c r="E1905" s="26">
        <v>1552.75</v>
      </c>
      <c r="F1905" s="28" t="s">
        <v>16</v>
      </c>
      <c r="G1905" s="26">
        <f>ROUND(C1905*E1905,0)</f>
        <v>1553</v>
      </c>
      <c r="H1905" t="s">
        <v>4528</v>
      </c>
    </row>
    <row r="1906" spans="1:8" ht="30" x14ac:dyDescent="0.25">
      <c r="A1906" s="21" t="s">
        <v>4535</v>
      </c>
      <c r="B1906" s="25" t="s">
        <v>4537</v>
      </c>
      <c r="C1906" s="26"/>
      <c r="D1906" s="27"/>
      <c r="E1906" s="26"/>
      <c r="F1906" s="28"/>
      <c r="G1906" s="26"/>
      <c r="H1906" t="s">
        <v>4536</v>
      </c>
    </row>
    <row r="1907" spans="1:8" ht="45" x14ac:dyDescent="0.25">
      <c r="A1907" s="21" t="s">
        <v>4538</v>
      </c>
      <c r="B1907" s="25" t="s">
        <v>4540</v>
      </c>
      <c r="C1907" s="26">
        <v>1</v>
      </c>
      <c r="D1907" s="27" t="s">
        <v>110</v>
      </c>
      <c r="E1907" s="26">
        <v>77.7</v>
      </c>
      <c r="F1907" s="28" t="s">
        <v>618</v>
      </c>
      <c r="G1907" s="26">
        <f t="shared" ref="G1907:G1913" si="45">ROUND(C1907*E1907,0)</f>
        <v>78</v>
      </c>
      <c r="H1907" t="s">
        <v>4539</v>
      </c>
    </row>
    <row r="1908" spans="1:8" ht="45" x14ac:dyDescent="0.25">
      <c r="A1908" s="21" t="s">
        <v>4541</v>
      </c>
      <c r="B1908" s="25" t="s">
        <v>4542</v>
      </c>
      <c r="C1908" s="26">
        <v>1</v>
      </c>
      <c r="D1908" s="27" t="s">
        <v>110</v>
      </c>
      <c r="E1908" s="26">
        <v>70.75</v>
      </c>
      <c r="F1908" s="28" t="s">
        <v>618</v>
      </c>
      <c r="G1908" s="26">
        <f t="shared" si="45"/>
        <v>71</v>
      </c>
      <c r="H1908" t="s">
        <v>4542</v>
      </c>
    </row>
    <row r="1909" spans="1:8" ht="45" x14ac:dyDescent="0.25">
      <c r="A1909" s="21" t="s">
        <v>4543</v>
      </c>
      <c r="B1909" s="25" t="s">
        <v>4545</v>
      </c>
      <c r="C1909" s="26">
        <v>1</v>
      </c>
      <c r="D1909" s="27" t="s">
        <v>110</v>
      </c>
      <c r="E1909" s="26">
        <v>56.15</v>
      </c>
      <c r="F1909" s="28" t="s">
        <v>618</v>
      </c>
      <c r="G1909" s="26">
        <f t="shared" si="45"/>
        <v>56</v>
      </c>
      <c r="H1909" t="s">
        <v>4544</v>
      </c>
    </row>
    <row r="1910" spans="1:8" ht="30" x14ac:dyDescent="0.25">
      <c r="A1910" s="21" t="s">
        <v>4546</v>
      </c>
      <c r="B1910" s="25" t="s">
        <v>4548</v>
      </c>
      <c r="C1910" s="26">
        <v>1</v>
      </c>
      <c r="D1910" s="27" t="s">
        <v>15</v>
      </c>
      <c r="E1910" s="26">
        <v>729.85</v>
      </c>
      <c r="F1910" s="28" t="s">
        <v>16</v>
      </c>
      <c r="G1910" s="26">
        <f t="shared" si="45"/>
        <v>730</v>
      </c>
      <c r="H1910" t="s">
        <v>4547</v>
      </c>
    </row>
    <row r="1911" spans="1:8" ht="30" x14ac:dyDescent="0.25">
      <c r="A1911" s="21" t="s">
        <v>4549</v>
      </c>
      <c r="B1911" s="25" t="s">
        <v>4551</v>
      </c>
      <c r="C1911" s="26">
        <v>1</v>
      </c>
      <c r="D1911" s="27" t="s">
        <v>15</v>
      </c>
      <c r="E1911" s="26">
        <v>679.6</v>
      </c>
      <c r="F1911" s="28" t="s">
        <v>16</v>
      </c>
      <c r="G1911" s="26">
        <f t="shared" si="45"/>
        <v>680</v>
      </c>
      <c r="H1911" t="s">
        <v>4550</v>
      </c>
    </row>
    <row r="1912" spans="1:8" ht="105" x14ac:dyDescent="0.25">
      <c r="A1912" s="21" t="s">
        <v>4552</v>
      </c>
      <c r="B1912" s="25" t="s">
        <v>4554</v>
      </c>
      <c r="C1912" s="26">
        <v>1</v>
      </c>
      <c r="D1912" s="27" t="s">
        <v>201</v>
      </c>
      <c r="E1912" s="26">
        <v>563.9</v>
      </c>
      <c r="F1912" s="28" t="s">
        <v>202</v>
      </c>
      <c r="G1912" s="26">
        <f t="shared" si="45"/>
        <v>564</v>
      </c>
      <c r="H1912" t="s">
        <v>4553</v>
      </c>
    </row>
    <row r="1913" spans="1:8" ht="180" x14ac:dyDescent="0.25">
      <c r="A1913" s="21" t="s">
        <v>4555</v>
      </c>
      <c r="B1913" s="25" t="s">
        <v>4557</v>
      </c>
      <c r="C1913" s="26">
        <v>1</v>
      </c>
      <c r="D1913" s="27" t="s">
        <v>15</v>
      </c>
      <c r="E1913" s="26">
        <v>696.05</v>
      </c>
      <c r="F1913" s="28" t="s">
        <v>16</v>
      </c>
      <c r="G1913" s="26">
        <f t="shared" si="45"/>
        <v>696</v>
      </c>
      <c r="H1913" t="s">
        <v>4556</v>
      </c>
    </row>
    <row r="1914" spans="1:8" ht="90" x14ac:dyDescent="0.25">
      <c r="A1914" s="21" t="s">
        <v>4558</v>
      </c>
      <c r="B1914" s="25" t="s">
        <v>4560</v>
      </c>
      <c r="C1914" s="26"/>
      <c r="D1914" s="27"/>
      <c r="E1914" s="26"/>
      <c r="F1914" s="28"/>
      <c r="G1914" s="26"/>
      <c r="H1914" t="s">
        <v>4559</v>
      </c>
    </row>
    <row r="1915" spans="1:8" ht="30" x14ac:dyDescent="0.25">
      <c r="A1915" s="21" t="s">
        <v>4561</v>
      </c>
      <c r="B1915" s="25" t="s">
        <v>4563</v>
      </c>
      <c r="C1915" s="26">
        <v>1</v>
      </c>
      <c r="D1915" s="27" t="s">
        <v>15</v>
      </c>
      <c r="E1915" s="26">
        <v>1365.85</v>
      </c>
      <c r="F1915" s="28" t="s">
        <v>16</v>
      </c>
      <c r="G1915" s="26">
        <f>ROUND(C1915*E1915,0)</f>
        <v>1366</v>
      </c>
      <c r="H1915" t="s">
        <v>4562</v>
      </c>
    </row>
    <row r="1916" spans="1:8" ht="90" x14ac:dyDescent="0.25">
      <c r="A1916" s="21" t="s">
        <v>4564</v>
      </c>
      <c r="B1916" s="25" t="s">
        <v>4566</v>
      </c>
      <c r="C1916" s="26"/>
      <c r="D1916" s="27"/>
      <c r="E1916" s="26"/>
      <c r="F1916" s="28"/>
      <c r="G1916" s="26"/>
      <c r="H1916" t="s">
        <v>4565</v>
      </c>
    </row>
    <row r="1917" spans="1:8" ht="30" x14ac:dyDescent="0.25">
      <c r="A1917" s="21" t="s">
        <v>4567</v>
      </c>
      <c r="B1917" s="25" t="s">
        <v>4568</v>
      </c>
      <c r="C1917" s="26">
        <v>1</v>
      </c>
      <c r="D1917" s="27" t="s">
        <v>21</v>
      </c>
      <c r="E1917" s="26">
        <v>99120.65</v>
      </c>
      <c r="F1917" s="28" t="s">
        <v>22</v>
      </c>
      <c r="G1917" s="26">
        <f>ROUND(C1917*E1917,0)</f>
        <v>99121</v>
      </c>
      <c r="H1917" t="s">
        <v>4568</v>
      </c>
    </row>
    <row r="1918" spans="1:8" ht="90" x14ac:dyDescent="0.25">
      <c r="A1918" s="21" t="s">
        <v>4569</v>
      </c>
      <c r="B1918" s="25" t="s">
        <v>4571</v>
      </c>
      <c r="C1918" s="26"/>
      <c r="D1918" s="27"/>
      <c r="E1918" s="26"/>
      <c r="F1918" s="28"/>
      <c r="G1918" s="26"/>
      <c r="H1918" t="s">
        <v>4570</v>
      </c>
    </row>
    <row r="1919" spans="1:8" x14ac:dyDescent="0.25">
      <c r="A1919" s="21" t="s">
        <v>4572</v>
      </c>
      <c r="B1919" s="25" t="s">
        <v>4574</v>
      </c>
      <c r="C1919" s="26"/>
      <c r="D1919" s="27"/>
      <c r="E1919" s="26"/>
      <c r="F1919" s="28"/>
      <c r="G1919" s="26"/>
      <c r="H1919" t="s">
        <v>4573</v>
      </c>
    </row>
    <row r="1920" spans="1:8" ht="30" x14ac:dyDescent="0.25">
      <c r="A1920" s="21" t="s">
        <v>4575</v>
      </c>
      <c r="B1920" s="25" t="s">
        <v>4577</v>
      </c>
      <c r="C1920" s="26">
        <v>1</v>
      </c>
      <c r="D1920" s="27" t="s">
        <v>21</v>
      </c>
      <c r="E1920" s="26">
        <v>104573.95</v>
      </c>
      <c r="F1920" s="28" t="s">
        <v>22</v>
      </c>
      <c r="G1920" s="26">
        <f>ROUND(C1920*E1920,0)</f>
        <v>104574</v>
      </c>
      <c r="H1920" t="s">
        <v>4576</v>
      </c>
    </row>
    <row r="1921" spans="1:8" ht="30" x14ac:dyDescent="0.25">
      <c r="A1921" s="21" t="s">
        <v>4578</v>
      </c>
      <c r="B1921" s="25" t="s">
        <v>4580</v>
      </c>
      <c r="C1921" s="26">
        <v>1</v>
      </c>
      <c r="D1921" s="27" t="s">
        <v>21</v>
      </c>
      <c r="E1921" s="26">
        <v>70271.7</v>
      </c>
      <c r="F1921" s="28" t="s">
        <v>22</v>
      </c>
      <c r="G1921" s="26">
        <f>ROUND(C1921*E1921,0)</f>
        <v>70272</v>
      </c>
      <c r="H1921" t="s">
        <v>4579</v>
      </c>
    </row>
    <row r="1922" spans="1:8" x14ac:dyDescent="0.25">
      <c r="A1922" s="21" t="s">
        <v>4581</v>
      </c>
      <c r="B1922" s="25" t="s">
        <v>4583</v>
      </c>
      <c r="C1922" s="26"/>
      <c r="D1922" s="27"/>
      <c r="E1922" s="26"/>
      <c r="F1922" s="28"/>
      <c r="G1922" s="26"/>
      <c r="H1922" t="s">
        <v>4582</v>
      </c>
    </row>
    <row r="1923" spans="1:8" ht="30" x14ac:dyDescent="0.25">
      <c r="A1923" s="21" t="s">
        <v>4584</v>
      </c>
      <c r="B1923" s="25" t="s">
        <v>4577</v>
      </c>
      <c r="C1923" s="26">
        <v>1</v>
      </c>
      <c r="D1923" s="27" t="s">
        <v>21</v>
      </c>
      <c r="E1923" s="26">
        <v>107320</v>
      </c>
      <c r="F1923" s="28" t="s">
        <v>22</v>
      </c>
      <c r="G1923" s="26">
        <f>ROUND(C1923*E1923,0)</f>
        <v>107320</v>
      </c>
      <c r="H1923" t="s">
        <v>4576</v>
      </c>
    </row>
    <row r="1924" spans="1:8" ht="30" x14ac:dyDescent="0.25">
      <c r="A1924" s="21" t="s">
        <v>4585</v>
      </c>
      <c r="B1924" s="25" t="s">
        <v>4580</v>
      </c>
      <c r="C1924" s="26">
        <v>1</v>
      </c>
      <c r="D1924" s="27" t="s">
        <v>21</v>
      </c>
      <c r="E1924" s="26">
        <v>72987.25</v>
      </c>
      <c r="F1924" s="28" t="s">
        <v>22</v>
      </c>
      <c r="G1924" s="26">
        <f>ROUND(C1924*E1924,0)</f>
        <v>72987</v>
      </c>
      <c r="H1924" t="s">
        <v>4579</v>
      </c>
    </row>
    <row r="1925" spans="1:8" ht="75" x14ac:dyDescent="0.25">
      <c r="A1925" s="21" t="s">
        <v>4586</v>
      </c>
      <c r="B1925" s="25" t="s">
        <v>4588</v>
      </c>
      <c r="C1925" s="26">
        <v>1</v>
      </c>
      <c r="D1925" s="27" t="s">
        <v>15</v>
      </c>
      <c r="E1925" s="26">
        <v>72.45</v>
      </c>
      <c r="F1925" s="28" t="s">
        <v>16</v>
      </c>
      <c r="G1925" s="26">
        <f>ROUND(C1925*E1925,0)</f>
        <v>72</v>
      </c>
      <c r="H1925" t="s">
        <v>4587</v>
      </c>
    </row>
    <row r="1926" spans="1:8" ht="60" x14ac:dyDescent="0.25">
      <c r="A1926" s="21" t="s">
        <v>4589</v>
      </c>
      <c r="B1926" s="25" t="s">
        <v>4591</v>
      </c>
      <c r="C1926" s="26"/>
      <c r="D1926" s="27"/>
      <c r="E1926" s="26"/>
      <c r="F1926" s="28"/>
      <c r="G1926" s="26"/>
      <c r="H1926" t="s">
        <v>4590</v>
      </c>
    </row>
    <row r="1927" spans="1:8" ht="30" x14ac:dyDescent="0.25">
      <c r="A1927" s="21" t="s">
        <v>4592</v>
      </c>
      <c r="B1927" s="25" t="s">
        <v>4594</v>
      </c>
      <c r="C1927" s="26">
        <v>1</v>
      </c>
      <c r="D1927" s="27" t="s">
        <v>15</v>
      </c>
      <c r="E1927" s="26">
        <v>137.69999999999999</v>
      </c>
      <c r="F1927" s="28" t="s">
        <v>16</v>
      </c>
      <c r="G1927" s="26">
        <f>ROUND(C1927*E1927,0)</f>
        <v>138</v>
      </c>
      <c r="H1927" t="s">
        <v>4593</v>
      </c>
    </row>
    <row r="1928" spans="1:8" ht="30" x14ac:dyDescent="0.25">
      <c r="A1928" s="21" t="s">
        <v>4595</v>
      </c>
      <c r="B1928" s="25" t="s">
        <v>4597</v>
      </c>
      <c r="C1928" s="26">
        <v>1</v>
      </c>
      <c r="D1928" s="27" t="s">
        <v>15</v>
      </c>
      <c r="E1928" s="26">
        <v>139.05000000000001</v>
      </c>
      <c r="F1928" s="28" t="s">
        <v>16</v>
      </c>
      <c r="G1928" s="26">
        <f>ROUND(C1928*E1928,0)</f>
        <v>139</v>
      </c>
      <c r="H1928" t="s">
        <v>4596</v>
      </c>
    </row>
    <row r="1929" spans="1:8" ht="60" x14ac:dyDescent="0.25">
      <c r="A1929" s="21" t="s">
        <v>4598</v>
      </c>
      <c r="B1929" s="25" t="s">
        <v>4600</v>
      </c>
      <c r="C1929" s="26">
        <v>1</v>
      </c>
      <c r="D1929" s="27" t="s">
        <v>725</v>
      </c>
      <c r="E1929" s="26">
        <v>5.4</v>
      </c>
      <c r="F1929" s="28" t="s">
        <v>726</v>
      </c>
      <c r="G1929" s="26">
        <f>ROUND(C1929*E1929,0)</f>
        <v>5</v>
      </c>
      <c r="H1929" t="s">
        <v>4599</v>
      </c>
    </row>
    <row r="1930" spans="1:8" ht="90" x14ac:dyDescent="0.25">
      <c r="A1930" s="21" t="s">
        <v>4601</v>
      </c>
      <c r="B1930" s="25" t="s">
        <v>4603</v>
      </c>
      <c r="C1930" s="26">
        <v>1</v>
      </c>
      <c r="D1930" s="27" t="s">
        <v>110</v>
      </c>
      <c r="E1930" s="26">
        <v>126</v>
      </c>
      <c r="F1930" s="28" t="s">
        <v>618</v>
      </c>
      <c r="G1930" s="26">
        <f>ROUND(C1930*E1930,0)</f>
        <v>126</v>
      </c>
      <c r="H1930" t="s">
        <v>4602</v>
      </c>
    </row>
    <row r="1931" spans="1:8" ht="75" x14ac:dyDescent="0.25">
      <c r="A1931" s="21" t="s">
        <v>4604</v>
      </c>
      <c r="B1931" s="25" t="s">
        <v>4606</v>
      </c>
      <c r="C1931" s="26">
        <v>1</v>
      </c>
      <c r="D1931" s="27" t="s">
        <v>110</v>
      </c>
      <c r="E1931" s="26">
        <v>298.85000000000002</v>
      </c>
      <c r="F1931" s="28" t="s">
        <v>726</v>
      </c>
      <c r="G1931" s="26">
        <f>ROUND(C1931*E1931,0)</f>
        <v>299</v>
      </c>
      <c r="H1931" t="s">
        <v>4605</v>
      </c>
    </row>
    <row r="1932" spans="1:8" ht="60" x14ac:dyDescent="0.25">
      <c r="A1932" s="21" t="s">
        <v>4607</v>
      </c>
      <c r="B1932" s="25" t="s">
        <v>4609</v>
      </c>
      <c r="C1932" s="26"/>
      <c r="D1932" s="27"/>
      <c r="E1932" s="26"/>
      <c r="F1932" s="28"/>
      <c r="G1932" s="26"/>
      <c r="H1932" t="s">
        <v>4608</v>
      </c>
    </row>
    <row r="1933" spans="1:8" x14ac:dyDescent="0.25">
      <c r="A1933" s="21" t="s">
        <v>4610</v>
      </c>
      <c r="B1933" s="25" t="s">
        <v>4611</v>
      </c>
      <c r="C1933" s="26">
        <v>1</v>
      </c>
      <c r="D1933" s="27" t="s">
        <v>4612</v>
      </c>
      <c r="E1933" s="26">
        <v>123.7</v>
      </c>
      <c r="F1933" s="28" t="s">
        <v>4613</v>
      </c>
      <c r="G1933" s="26">
        <f>ROUND(C1933*E1933,0)</f>
        <v>124</v>
      </c>
      <c r="H1933" t="s">
        <v>4611</v>
      </c>
    </row>
    <row r="1934" spans="1:8" x14ac:dyDescent="0.25">
      <c r="A1934" s="21" t="s">
        <v>4614</v>
      </c>
      <c r="B1934" s="25" t="s">
        <v>4615</v>
      </c>
      <c r="C1934" s="26">
        <v>1</v>
      </c>
      <c r="D1934" s="27" t="s">
        <v>4612</v>
      </c>
      <c r="E1934" s="26">
        <v>304.55</v>
      </c>
      <c r="F1934" s="28" t="s">
        <v>4613</v>
      </c>
      <c r="G1934" s="26">
        <f>ROUND(C1934*E1934,0)</f>
        <v>305</v>
      </c>
      <c r="H1934" t="s">
        <v>4615</v>
      </c>
    </row>
    <row r="1935" spans="1:8" ht="45" x14ac:dyDescent="0.25">
      <c r="A1935" s="21" t="s">
        <v>4616</v>
      </c>
      <c r="B1935" s="25" t="s">
        <v>4618</v>
      </c>
      <c r="C1935" s="26">
        <v>1</v>
      </c>
      <c r="D1935" s="27" t="s">
        <v>4619</v>
      </c>
      <c r="E1935" s="26">
        <v>231.05</v>
      </c>
      <c r="F1935" s="28" t="s">
        <v>4620</v>
      </c>
      <c r="G1935" s="26">
        <f>ROUND(C1935*E1935,0)</f>
        <v>231</v>
      </c>
      <c r="H1935" t="s">
        <v>4617</v>
      </c>
    </row>
    <row r="1936" spans="1:8" ht="30" x14ac:dyDescent="0.25">
      <c r="A1936" s="21" t="s">
        <v>4621</v>
      </c>
      <c r="B1936" s="25" t="s">
        <v>4623</v>
      </c>
      <c r="C1936" s="26">
        <v>1</v>
      </c>
      <c r="D1936" s="27" t="s">
        <v>21</v>
      </c>
      <c r="E1936" s="26">
        <v>6207.25</v>
      </c>
      <c r="F1936" s="28" t="s">
        <v>22</v>
      </c>
      <c r="G1936" s="26">
        <f>ROUND(C1936*E1936,0)</f>
        <v>6207</v>
      </c>
      <c r="H1936" t="s">
        <v>4622</v>
      </c>
    </row>
    <row r="1937" spans="1:8" ht="30" x14ac:dyDescent="0.25">
      <c r="A1937" s="21" t="s">
        <v>4624</v>
      </c>
      <c r="B1937" s="25" t="s">
        <v>4626</v>
      </c>
      <c r="C1937" s="26"/>
      <c r="D1937" s="27"/>
      <c r="E1937" s="26"/>
      <c r="F1937" s="28"/>
      <c r="G1937" s="26"/>
      <c r="H1937" t="s">
        <v>4625</v>
      </c>
    </row>
    <row r="1938" spans="1:8" x14ac:dyDescent="0.25">
      <c r="A1938" s="21" t="s">
        <v>4627</v>
      </c>
      <c r="B1938" s="25" t="s">
        <v>4629</v>
      </c>
      <c r="C1938" s="26"/>
      <c r="D1938" s="27"/>
      <c r="E1938" s="26"/>
      <c r="F1938" s="28"/>
      <c r="G1938" s="26"/>
      <c r="H1938" t="s">
        <v>4628</v>
      </c>
    </row>
    <row r="1939" spans="1:8" ht="45" x14ac:dyDescent="0.25">
      <c r="A1939" s="21" t="s">
        <v>4630</v>
      </c>
      <c r="B1939" s="25" t="s">
        <v>4632</v>
      </c>
      <c r="C1939" s="26">
        <v>1</v>
      </c>
      <c r="D1939" s="27" t="s">
        <v>15</v>
      </c>
      <c r="E1939" s="26">
        <v>5127</v>
      </c>
      <c r="F1939" s="28" t="s">
        <v>16</v>
      </c>
      <c r="G1939" s="26">
        <f>ROUND(C1939*E1939,0)</f>
        <v>5127</v>
      </c>
      <c r="H1939" t="s">
        <v>4631</v>
      </c>
    </row>
    <row r="1940" spans="1:8" ht="45" x14ac:dyDescent="0.25">
      <c r="A1940" s="21" t="s">
        <v>4633</v>
      </c>
      <c r="B1940" s="25" t="s">
        <v>4635</v>
      </c>
      <c r="C1940" s="26">
        <v>1</v>
      </c>
      <c r="D1940" s="27" t="s">
        <v>15</v>
      </c>
      <c r="E1940" s="26">
        <v>4484.8500000000004</v>
      </c>
      <c r="F1940" s="28" t="s">
        <v>16</v>
      </c>
      <c r="G1940" s="26">
        <f>ROUND(C1940*E1940,0)</f>
        <v>4485</v>
      </c>
      <c r="H1940" t="s">
        <v>4634</v>
      </c>
    </row>
    <row r="1941" spans="1:8" x14ac:dyDescent="0.25">
      <c r="A1941" s="21" t="s">
        <v>4636</v>
      </c>
      <c r="B1941" s="25" t="s">
        <v>1690</v>
      </c>
      <c r="C1941" s="26"/>
      <c r="D1941" s="27"/>
      <c r="E1941" s="26"/>
      <c r="F1941" s="28"/>
      <c r="G1941" s="26"/>
      <c r="H1941" t="s">
        <v>1690</v>
      </c>
    </row>
    <row r="1942" spans="1:8" ht="45" x14ac:dyDescent="0.25">
      <c r="A1942" s="21" t="s">
        <v>4637</v>
      </c>
      <c r="B1942" s="25" t="s">
        <v>4632</v>
      </c>
      <c r="C1942" s="26">
        <v>1</v>
      </c>
      <c r="D1942" s="27" t="s">
        <v>15</v>
      </c>
      <c r="E1942" s="26">
        <v>5054.05</v>
      </c>
      <c r="F1942" s="28" t="s">
        <v>16</v>
      </c>
      <c r="G1942" s="26">
        <f>ROUND(C1942*E1942,0)</f>
        <v>5054</v>
      </c>
      <c r="H1942" t="s">
        <v>4631</v>
      </c>
    </row>
    <row r="1943" spans="1:8" ht="45" x14ac:dyDescent="0.25">
      <c r="A1943" s="21" t="s">
        <v>4638</v>
      </c>
      <c r="B1943" s="25" t="s">
        <v>4635</v>
      </c>
      <c r="C1943" s="26">
        <v>1</v>
      </c>
      <c r="D1943" s="27" t="s">
        <v>15</v>
      </c>
      <c r="E1943" s="26">
        <v>4362.45</v>
      </c>
      <c r="F1943" s="28" t="s">
        <v>16</v>
      </c>
      <c r="G1943" s="26">
        <f>ROUND(C1943*E1943,0)</f>
        <v>4362</v>
      </c>
      <c r="H1943" t="s">
        <v>4634</v>
      </c>
    </row>
    <row r="1944" spans="1:8" ht="90" x14ac:dyDescent="0.25">
      <c r="A1944" s="21" t="s">
        <v>4639</v>
      </c>
      <c r="B1944" s="25" t="s">
        <v>4641</v>
      </c>
      <c r="C1944" s="26"/>
      <c r="D1944" s="27"/>
      <c r="E1944" s="26"/>
      <c r="F1944" s="28"/>
      <c r="G1944" s="26"/>
      <c r="H1944" t="s">
        <v>4640</v>
      </c>
    </row>
    <row r="1945" spans="1:8" ht="30" x14ac:dyDescent="0.25">
      <c r="A1945" s="21" t="s">
        <v>4642</v>
      </c>
      <c r="B1945" s="25" t="s">
        <v>1810</v>
      </c>
      <c r="C1945" s="26">
        <v>1</v>
      </c>
      <c r="D1945" s="27" t="s">
        <v>15</v>
      </c>
      <c r="E1945" s="26">
        <v>4602.6499999999996</v>
      </c>
      <c r="F1945" s="28" t="s">
        <v>16</v>
      </c>
      <c r="G1945" s="26">
        <f>ROUND(C1945*E1945,0)</f>
        <v>4603</v>
      </c>
      <c r="H1945" t="s">
        <v>1810</v>
      </c>
    </row>
    <row r="1946" spans="1:8" ht="60" x14ac:dyDescent="0.25">
      <c r="A1946" s="21" t="s">
        <v>4643</v>
      </c>
      <c r="B1946" s="25" t="s">
        <v>4645</v>
      </c>
      <c r="C1946" s="26"/>
      <c r="D1946" s="27"/>
      <c r="E1946" s="26"/>
      <c r="F1946" s="28"/>
      <c r="G1946" s="26"/>
      <c r="H1946" t="s">
        <v>4644</v>
      </c>
    </row>
    <row r="1947" spans="1:8" ht="45" x14ac:dyDescent="0.25">
      <c r="A1947" s="21" t="s">
        <v>4646</v>
      </c>
      <c r="B1947" s="25" t="s">
        <v>4647</v>
      </c>
      <c r="C1947" s="26">
        <v>1</v>
      </c>
      <c r="D1947" s="27" t="s">
        <v>110</v>
      </c>
      <c r="E1947" s="26">
        <v>343.5</v>
      </c>
      <c r="F1947" s="28" t="s">
        <v>618</v>
      </c>
      <c r="G1947" s="26">
        <f>ROUND(C1947*E1947,0)</f>
        <v>344</v>
      </c>
      <c r="H1947" t="s">
        <v>4647</v>
      </c>
    </row>
    <row r="1948" spans="1:8" ht="45" x14ac:dyDescent="0.25">
      <c r="A1948" s="21" t="s">
        <v>4648</v>
      </c>
      <c r="B1948" s="25" t="s">
        <v>4650</v>
      </c>
      <c r="C1948" s="26">
        <v>1</v>
      </c>
      <c r="D1948" s="27" t="s">
        <v>110</v>
      </c>
      <c r="E1948" s="26">
        <v>421.75</v>
      </c>
      <c r="F1948" s="28" t="s">
        <v>618</v>
      </c>
      <c r="G1948" s="26">
        <f>ROUND(C1948*E1948,0)</f>
        <v>422</v>
      </c>
      <c r="H1948" t="s">
        <v>4649</v>
      </c>
    </row>
    <row r="1949" spans="1:8" ht="45" x14ac:dyDescent="0.25">
      <c r="A1949" s="21" t="s">
        <v>4651</v>
      </c>
      <c r="B1949" s="25" t="s">
        <v>4653</v>
      </c>
      <c r="C1949" s="26">
        <v>1</v>
      </c>
      <c r="D1949" s="27" t="s">
        <v>725</v>
      </c>
      <c r="E1949" s="26">
        <v>120.75</v>
      </c>
      <c r="F1949" s="28" t="s">
        <v>726</v>
      </c>
      <c r="G1949" s="26">
        <f>ROUND(C1949*E1949,0)</f>
        <v>121</v>
      </c>
      <c r="H1949" t="s">
        <v>4652</v>
      </c>
    </row>
    <row r="1950" spans="1:8" ht="45" x14ac:dyDescent="0.25">
      <c r="A1950" s="21" t="s">
        <v>4654</v>
      </c>
      <c r="B1950" s="25" t="s">
        <v>4656</v>
      </c>
      <c r="C1950" s="26"/>
      <c r="D1950" s="27"/>
      <c r="E1950" s="26"/>
      <c r="F1950" s="28"/>
      <c r="G1950" s="26"/>
      <c r="H1950" t="s">
        <v>4655</v>
      </c>
    </row>
    <row r="1951" spans="1:8" ht="30" x14ac:dyDescent="0.25">
      <c r="A1951" s="21" t="s">
        <v>4657</v>
      </c>
      <c r="B1951" s="25" t="s">
        <v>1552</v>
      </c>
      <c r="C1951" s="26">
        <v>1</v>
      </c>
      <c r="D1951" s="27" t="s">
        <v>21</v>
      </c>
      <c r="E1951" s="26">
        <v>97978.3</v>
      </c>
      <c r="F1951" s="28" t="s">
        <v>22</v>
      </c>
      <c r="G1951" s="26">
        <f>ROUND(C1951*E1951,0)</f>
        <v>97978</v>
      </c>
      <c r="H1951" t="s">
        <v>1552</v>
      </c>
    </row>
    <row r="1952" spans="1:8" ht="30" x14ac:dyDescent="0.25">
      <c r="A1952" s="21" t="s">
        <v>4658</v>
      </c>
      <c r="B1952" s="25" t="s">
        <v>1883</v>
      </c>
      <c r="C1952" s="26">
        <v>1</v>
      </c>
      <c r="D1952" s="27" t="s">
        <v>21</v>
      </c>
      <c r="E1952" s="26">
        <v>64022.85</v>
      </c>
      <c r="F1952" s="28" t="s">
        <v>22</v>
      </c>
      <c r="G1952" s="26">
        <f>ROUND(C1952*E1952,0)</f>
        <v>64023</v>
      </c>
      <c r="H1952" t="s">
        <v>1883</v>
      </c>
    </row>
    <row r="1953" spans="1:8" ht="45" x14ac:dyDescent="0.25">
      <c r="A1953" s="21" t="s">
        <v>4659</v>
      </c>
      <c r="B1953" s="25" t="s">
        <v>4661</v>
      </c>
      <c r="C1953" s="26"/>
      <c r="D1953" s="27"/>
      <c r="E1953" s="26"/>
      <c r="F1953" s="28"/>
      <c r="G1953" s="26"/>
      <c r="H1953" t="s">
        <v>4660</v>
      </c>
    </row>
    <row r="1954" spans="1:8" x14ac:dyDescent="0.25">
      <c r="A1954" s="21" t="s">
        <v>4662</v>
      </c>
      <c r="B1954" s="25" t="s">
        <v>2016</v>
      </c>
      <c r="C1954" s="26">
        <v>1</v>
      </c>
      <c r="D1954" s="27" t="s">
        <v>201</v>
      </c>
      <c r="E1954" s="26">
        <v>765.05</v>
      </c>
      <c r="F1954" s="28" t="s">
        <v>202</v>
      </c>
      <c r="G1954" s="26">
        <f>ROUND(C1954*E1954,0)</f>
        <v>765</v>
      </c>
      <c r="H1954" t="s">
        <v>1940</v>
      </c>
    </row>
    <row r="1955" spans="1:8" x14ac:dyDescent="0.25">
      <c r="A1955" s="21" t="s">
        <v>4663</v>
      </c>
      <c r="B1955" s="25" t="s">
        <v>2006</v>
      </c>
      <c r="C1955" s="26">
        <v>1</v>
      </c>
      <c r="D1955" s="27" t="s">
        <v>201</v>
      </c>
      <c r="E1955" s="26">
        <v>546</v>
      </c>
      <c r="F1955" s="28" t="s">
        <v>202</v>
      </c>
      <c r="G1955" s="26">
        <f>ROUND(C1955*E1955,0)</f>
        <v>546</v>
      </c>
      <c r="H1955" t="s">
        <v>1943</v>
      </c>
    </row>
    <row r="1956" spans="1:8" x14ac:dyDescent="0.25">
      <c r="A1956" s="21" t="s">
        <v>4664</v>
      </c>
      <c r="B1956" s="25" t="s">
        <v>2008</v>
      </c>
      <c r="C1956" s="26">
        <v>1</v>
      </c>
      <c r="D1956" s="27" t="s">
        <v>201</v>
      </c>
      <c r="E1956" s="26">
        <v>485.65</v>
      </c>
      <c r="F1956" s="28" t="s">
        <v>202</v>
      </c>
      <c r="G1956" s="26">
        <f>ROUND(C1956*E1956,0)</f>
        <v>486</v>
      </c>
      <c r="H1956" t="s">
        <v>1946</v>
      </c>
    </row>
    <row r="1957" spans="1:8" ht="45" x14ac:dyDescent="0.25">
      <c r="A1957" s="21" t="s">
        <v>4665</v>
      </c>
      <c r="B1957" s="25" t="s">
        <v>4667</v>
      </c>
      <c r="C1957" s="26"/>
      <c r="D1957" s="27"/>
      <c r="E1957" s="26"/>
      <c r="F1957" s="28"/>
      <c r="G1957" s="26"/>
      <c r="H1957" t="s">
        <v>4666</v>
      </c>
    </row>
    <row r="1958" spans="1:8" x14ac:dyDescent="0.25">
      <c r="A1958" s="21" t="s">
        <v>4668</v>
      </c>
      <c r="B1958" s="25" t="s">
        <v>1941</v>
      </c>
      <c r="C1958" s="26">
        <v>1</v>
      </c>
      <c r="D1958" s="27" t="s">
        <v>201</v>
      </c>
      <c r="E1958" s="26">
        <v>851.85</v>
      </c>
      <c r="F1958" s="28" t="s">
        <v>202</v>
      </c>
      <c r="G1958" s="26">
        <f>ROUND(C1958*E1958,0)</f>
        <v>852</v>
      </c>
      <c r="H1958" t="s">
        <v>1940</v>
      </c>
    </row>
    <row r="1959" spans="1:8" x14ac:dyDescent="0.25">
      <c r="A1959" s="21" t="s">
        <v>4669</v>
      </c>
      <c r="B1959" s="25" t="s">
        <v>1944</v>
      </c>
      <c r="C1959" s="26">
        <v>1</v>
      </c>
      <c r="D1959" s="27" t="s">
        <v>201</v>
      </c>
      <c r="E1959" s="26">
        <v>726.65</v>
      </c>
      <c r="F1959" s="28" t="s">
        <v>202</v>
      </c>
      <c r="G1959" s="26">
        <f>ROUND(C1959*E1959,0)</f>
        <v>727</v>
      </c>
      <c r="H1959" t="s">
        <v>1943</v>
      </c>
    </row>
    <row r="1960" spans="1:8" x14ac:dyDescent="0.25">
      <c r="A1960" s="21" t="s">
        <v>4670</v>
      </c>
      <c r="B1960" s="25" t="s">
        <v>1947</v>
      </c>
      <c r="C1960" s="26">
        <v>1</v>
      </c>
      <c r="D1960" s="27" t="s">
        <v>201</v>
      </c>
      <c r="E1960" s="26">
        <v>704.75</v>
      </c>
      <c r="F1960" s="28" t="s">
        <v>202</v>
      </c>
      <c r="G1960" s="26">
        <f>ROUND(C1960*E1960,0)</f>
        <v>705</v>
      </c>
      <c r="H1960" t="s">
        <v>1946</v>
      </c>
    </row>
    <row r="1961" spans="1:8" ht="30" x14ac:dyDescent="0.25">
      <c r="A1961" s="21" t="s">
        <v>4671</v>
      </c>
      <c r="B1961" s="25" t="s">
        <v>4673</v>
      </c>
      <c r="C1961" s="26"/>
      <c r="D1961" s="27"/>
      <c r="E1961" s="26"/>
      <c r="F1961" s="28"/>
      <c r="G1961" s="26"/>
      <c r="H1961" t="s">
        <v>4672</v>
      </c>
    </row>
    <row r="1962" spans="1:8" x14ac:dyDescent="0.25">
      <c r="A1962" s="21" t="s">
        <v>4674</v>
      </c>
      <c r="B1962" s="25" t="s">
        <v>4676</v>
      </c>
      <c r="C1962" s="26">
        <v>1</v>
      </c>
      <c r="D1962" s="27" t="s">
        <v>201</v>
      </c>
      <c r="E1962" s="26">
        <v>285.05</v>
      </c>
      <c r="F1962" s="28" t="s">
        <v>202</v>
      </c>
      <c r="G1962" s="26">
        <f>ROUND(C1962*E1962,0)</f>
        <v>285</v>
      </c>
      <c r="H1962" t="s">
        <v>4675</v>
      </c>
    </row>
    <row r="1963" spans="1:8" x14ac:dyDescent="0.25">
      <c r="A1963" s="21" t="s">
        <v>4677</v>
      </c>
      <c r="B1963" s="25" t="s">
        <v>1941</v>
      </c>
      <c r="C1963" s="26">
        <v>1</v>
      </c>
      <c r="D1963" s="27" t="s">
        <v>201</v>
      </c>
      <c r="E1963" s="26">
        <v>245.35</v>
      </c>
      <c r="F1963" s="28" t="s">
        <v>202</v>
      </c>
      <c r="G1963" s="26">
        <f>ROUND(C1963*E1963,0)</f>
        <v>245</v>
      </c>
      <c r="H1963" t="s">
        <v>1940</v>
      </c>
    </row>
    <row r="1964" spans="1:8" x14ac:dyDescent="0.25">
      <c r="A1964" s="21" t="s">
        <v>4678</v>
      </c>
      <c r="B1964" s="25" t="s">
        <v>1947</v>
      </c>
      <c r="C1964" s="26">
        <v>1</v>
      </c>
      <c r="D1964" s="27" t="s">
        <v>201</v>
      </c>
      <c r="E1964" s="26">
        <v>188.45</v>
      </c>
      <c r="F1964" s="28" t="s">
        <v>202</v>
      </c>
      <c r="G1964" s="26">
        <f>ROUND(C1964*E1964,0)</f>
        <v>188</v>
      </c>
      <c r="H1964" t="s">
        <v>1946</v>
      </c>
    </row>
    <row r="1965" spans="1:8" ht="60" x14ac:dyDescent="0.25">
      <c r="A1965" s="21" t="s">
        <v>4679</v>
      </c>
      <c r="B1965" s="25" t="s">
        <v>4681</v>
      </c>
      <c r="C1965" s="26">
        <v>1</v>
      </c>
      <c r="D1965" s="27" t="s">
        <v>201</v>
      </c>
      <c r="E1965" s="26">
        <v>271.45</v>
      </c>
      <c r="F1965" s="28" t="s">
        <v>202</v>
      </c>
      <c r="G1965" s="26">
        <f>ROUND(C1965*E1965,0)</f>
        <v>271</v>
      </c>
      <c r="H1965" t="s">
        <v>4680</v>
      </c>
    </row>
    <row r="1966" spans="1:8" ht="30" x14ac:dyDescent="0.25">
      <c r="A1966" s="21" t="s">
        <v>4682</v>
      </c>
      <c r="B1966" s="25" t="s">
        <v>4684</v>
      </c>
      <c r="C1966" s="26"/>
      <c r="D1966" s="27"/>
      <c r="E1966" s="26"/>
      <c r="F1966" s="28"/>
      <c r="G1966" s="26"/>
      <c r="H1966" t="s">
        <v>4683</v>
      </c>
    </row>
    <row r="1967" spans="1:8" x14ac:dyDescent="0.25">
      <c r="A1967" s="21" t="s">
        <v>4685</v>
      </c>
      <c r="B1967" s="25" t="s">
        <v>4687</v>
      </c>
      <c r="C1967" s="26">
        <v>1</v>
      </c>
      <c r="D1967" s="27" t="s">
        <v>201</v>
      </c>
      <c r="E1967" s="26">
        <v>101.85</v>
      </c>
      <c r="F1967" s="28" t="s">
        <v>202</v>
      </c>
      <c r="G1967" s="26">
        <f t="shared" ref="G1967:G1975" si="46">ROUND(C1967*E1967,0)</f>
        <v>102</v>
      </c>
      <c r="H1967" t="s">
        <v>4686</v>
      </c>
    </row>
    <row r="1968" spans="1:8" x14ac:dyDescent="0.25">
      <c r="A1968" s="21" t="s">
        <v>4688</v>
      </c>
      <c r="B1968" s="25" t="s">
        <v>4676</v>
      </c>
      <c r="C1968" s="26">
        <v>1</v>
      </c>
      <c r="D1968" s="27" t="s">
        <v>201</v>
      </c>
      <c r="E1968" s="26">
        <v>97.7</v>
      </c>
      <c r="F1968" s="28" t="s">
        <v>202</v>
      </c>
      <c r="G1968" s="26">
        <f t="shared" si="46"/>
        <v>98</v>
      </c>
      <c r="H1968" t="s">
        <v>4675</v>
      </c>
    </row>
    <row r="1969" spans="1:8" x14ac:dyDescent="0.25">
      <c r="A1969" s="21" t="s">
        <v>4689</v>
      </c>
      <c r="B1969" s="25" t="s">
        <v>2837</v>
      </c>
      <c r="C1969" s="26">
        <v>1</v>
      </c>
      <c r="D1969" s="27" t="s">
        <v>201</v>
      </c>
      <c r="E1969" s="26">
        <v>87.75</v>
      </c>
      <c r="F1969" s="28" t="s">
        <v>202</v>
      </c>
      <c r="G1969" s="26">
        <f t="shared" si="46"/>
        <v>88</v>
      </c>
      <c r="H1969" t="s">
        <v>4690</v>
      </c>
    </row>
    <row r="1970" spans="1:8" x14ac:dyDescent="0.25">
      <c r="A1970" s="21" t="s">
        <v>4691</v>
      </c>
      <c r="B1970" s="25" t="s">
        <v>1941</v>
      </c>
      <c r="C1970" s="26">
        <v>1</v>
      </c>
      <c r="D1970" s="27" t="s">
        <v>201</v>
      </c>
      <c r="E1970" s="26">
        <v>70.55</v>
      </c>
      <c r="F1970" s="28" t="s">
        <v>202</v>
      </c>
      <c r="G1970" s="26">
        <f t="shared" si="46"/>
        <v>71</v>
      </c>
      <c r="H1970" t="s">
        <v>1940</v>
      </c>
    </row>
    <row r="1971" spans="1:8" x14ac:dyDescent="0.25">
      <c r="A1971" s="21" t="s">
        <v>4692</v>
      </c>
      <c r="B1971" s="25" t="s">
        <v>1947</v>
      </c>
      <c r="C1971" s="26">
        <v>1</v>
      </c>
      <c r="D1971" s="27" t="s">
        <v>201</v>
      </c>
      <c r="E1971" s="26">
        <v>61.85</v>
      </c>
      <c r="F1971" s="28" t="s">
        <v>202</v>
      </c>
      <c r="G1971" s="26">
        <f t="shared" si="46"/>
        <v>62</v>
      </c>
      <c r="H1971" t="s">
        <v>1946</v>
      </c>
    </row>
    <row r="1972" spans="1:8" ht="45" x14ac:dyDescent="0.25">
      <c r="A1972" s="21" t="s">
        <v>4693</v>
      </c>
      <c r="B1972" s="25" t="s">
        <v>4695</v>
      </c>
      <c r="C1972" s="26">
        <v>1</v>
      </c>
      <c r="D1972" s="27" t="s">
        <v>201</v>
      </c>
      <c r="E1972" s="26">
        <v>47.3</v>
      </c>
      <c r="F1972" s="28" t="s">
        <v>202</v>
      </c>
      <c r="G1972" s="26">
        <f t="shared" si="46"/>
        <v>47</v>
      </c>
      <c r="H1972" t="s">
        <v>4694</v>
      </c>
    </row>
    <row r="1973" spans="1:8" ht="45" x14ac:dyDescent="0.25">
      <c r="A1973" s="21" t="s">
        <v>4696</v>
      </c>
      <c r="B1973" s="25" t="s">
        <v>4698</v>
      </c>
      <c r="C1973" s="26">
        <v>1</v>
      </c>
      <c r="D1973" s="27" t="s">
        <v>201</v>
      </c>
      <c r="E1973" s="26">
        <v>74.8</v>
      </c>
      <c r="F1973" s="28" t="s">
        <v>202</v>
      </c>
      <c r="G1973" s="26">
        <f t="shared" si="46"/>
        <v>75</v>
      </c>
      <c r="H1973" t="s">
        <v>4697</v>
      </c>
    </row>
    <row r="1974" spans="1:8" ht="45" x14ac:dyDescent="0.25">
      <c r="A1974" s="21" t="s">
        <v>4699</v>
      </c>
      <c r="B1974" s="25" t="s">
        <v>4701</v>
      </c>
      <c r="C1974" s="26">
        <v>1</v>
      </c>
      <c r="D1974" s="27" t="s">
        <v>201</v>
      </c>
      <c r="E1974" s="26">
        <v>191.45</v>
      </c>
      <c r="F1974" s="28" t="s">
        <v>202</v>
      </c>
      <c r="G1974" s="26">
        <f t="shared" si="46"/>
        <v>191</v>
      </c>
      <c r="H1974" t="s">
        <v>4700</v>
      </c>
    </row>
    <row r="1975" spans="1:8" ht="30" x14ac:dyDescent="0.25">
      <c r="A1975" s="21" t="s">
        <v>4702</v>
      </c>
      <c r="B1975" s="25" t="s">
        <v>4704</v>
      </c>
      <c r="C1975" s="26">
        <v>1</v>
      </c>
      <c r="D1975" s="27" t="s">
        <v>201</v>
      </c>
      <c r="E1975" s="26">
        <v>543.95000000000005</v>
      </c>
      <c r="F1975" s="28" t="s">
        <v>202</v>
      </c>
      <c r="G1975" s="26">
        <f t="shared" si="46"/>
        <v>544</v>
      </c>
      <c r="H1975" t="s">
        <v>4703</v>
      </c>
    </row>
    <row r="1976" spans="1:8" ht="45" x14ac:dyDescent="0.25">
      <c r="A1976" s="21" t="s">
        <v>4705</v>
      </c>
      <c r="B1976" s="25" t="s">
        <v>4707</v>
      </c>
      <c r="C1976" s="26"/>
      <c r="D1976" s="27"/>
      <c r="E1976" s="26"/>
      <c r="F1976" s="28"/>
      <c r="G1976" s="26"/>
      <c r="H1976" t="s">
        <v>4706</v>
      </c>
    </row>
    <row r="1977" spans="1:8" x14ac:dyDescent="0.25">
      <c r="A1977" s="21" t="s">
        <v>4708</v>
      </c>
      <c r="B1977" s="25" t="s">
        <v>4710</v>
      </c>
      <c r="C1977" s="26">
        <v>1</v>
      </c>
      <c r="D1977" s="27" t="s">
        <v>201</v>
      </c>
      <c r="E1977" s="26">
        <v>171.05</v>
      </c>
      <c r="F1977" s="28" t="s">
        <v>202</v>
      </c>
      <c r="G1977" s="26">
        <f t="shared" ref="G1977:G1989" si="47">ROUND(C1977*E1977,0)</f>
        <v>171</v>
      </c>
      <c r="H1977" t="s">
        <v>4709</v>
      </c>
    </row>
    <row r="1978" spans="1:8" x14ac:dyDescent="0.25">
      <c r="A1978" s="21" t="s">
        <v>4711</v>
      </c>
      <c r="B1978" s="25" t="s">
        <v>4712</v>
      </c>
      <c r="C1978" s="26">
        <v>1</v>
      </c>
      <c r="D1978" s="27" t="s">
        <v>201</v>
      </c>
      <c r="E1978" s="26">
        <v>148.75</v>
      </c>
      <c r="F1978" s="28" t="s">
        <v>202</v>
      </c>
      <c r="G1978" s="26">
        <f t="shared" si="47"/>
        <v>149</v>
      </c>
      <c r="H1978" t="s">
        <v>2075</v>
      </c>
    </row>
    <row r="1979" spans="1:8" x14ac:dyDescent="0.25">
      <c r="A1979" s="21" t="s">
        <v>4713</v>
      </c>
      <c r="B1979" s="25" t="s">
        <v>4714</v>
      </c>
      <c r="C1979" s="26">
        <v>1</v>
      </c>
      <c r="D1979" s="27" t="s">
        <v>201</v>
      </c>
      <c r="E1979" s="26">
        <v>181</v>
      </c>
      <c r="F1979" s="28" t="s">
        <v>202</v>
      </c>
      <c r="G1979" s="26">
        <f t="shared" si="47"/>
        <v>181</v>
      </c>
      <c r="H1979" t="s">
        <v>2078</v>
      </c>
    </row>
    <row r="1980" spans="1:8" x14ac:dyDescent="0.25">
      <c r="A1980" s="21" t="s">
        <v>4715</v>
      </c>
      <c r="B1980" s="25" t="s">
        <v>4716</v>
      </c>
      <c r="C1980" s="26">
        <v>1</v>
      </c>
      <c r="D1980" s="27" t="s">
        <v>201</v>
      </c>
      <c r="E1980" s="26">
        <v>102.6</v>
      </c>
      <c r="F1980" s="28" t="s">
        <v>202</v>
      </c>
      <c r="G1980" s="26">
        <f t="shared" si="47"/>
        <v>103</v>
      </c>
      <c r="H1980" t="s">
        <v>2081</v>
      </c>
    </row>
    <row r="1981" spans="1:8" x14ac:dyDescent="0.25">
      <c r="A1981" s="21" t="s">
        <v>4717</v>
      </c>
      <c r="B1981" s="25" t="s">
        <v>4718</v>
      </c>
      <c r="C1981" s="26">
        <v>1</v>
      </c>
      <c r="D1981" s="27" t="s">
        <v>201</v>
      </c>
      <c r="E1981" s="26">
        <v>47.6</v>
      </c>
      <c r="F1981" s="28" t="s">
        <v>202</v>
      </c>
      <c r="G1981" s="26">
        <f t="shared" si="47"/>
        <v>48</v>
      </c>
      <c r="H1981" t="s">
        <v>2084</v>
      </c>
    </row>
    <row r="1982" spans="1:8" ht="60" x14ac:dyDescent="0.25">
      <c r="A1982" s="21" t="s">
        <v>4719</v>
      </c>
      <c r="B1982" s="25" t="s">
        <v>4721</v>
      </c>
      <c r="C1982" s="26">
        <v>1</v>
      </c>
      <c r="D1982" s="27" t="s">
        <v>201</v>
      </c>
      <c r="E1982" s="26">
        <v>278.60000000000002</v>
      </c>
      <c r="F1982" s="28" t="s">
        <v>202</v>
      </c>
      <c r="G1982" s="26">
        <f t="shared" si="47"/>
        <v>279</v>
      </c>
      <c r="H1982" t="s">
        <v>4720</v>
      </c>
    </row>
    <row r="1983" spans="1:8" ht="330" x14ac:dyDescent="0.25">
      <c r="A1983" s="21" t="s">
        <v>4722</v>
      </c>
      <c r="B1983" s="25" t="s">
        <v>4724</v>
      </c>
      <c r="C1983" s="26">
        <v>1</v>
      </c>
      <c r="D1983" s="27" t="s">
        <v>15</v>
      </c>
      <c r="E1983" s="26">
        <v>338.25</v>
      </c>
      <c r="F1983" s="28" t="s">
        <v>16</v>
      </c>
      <c r="G1983" s="26">
        <f t="shared" si="47"/>
        <v>338</v>
      </c>
      <c r="H1983" t="s">
        <v>4723</v>
      </c>
    </row>
    <row r="1984" spans="1:8" ht="60" x14ac:dyDescent="0.25">
      <c r="A1984" s="21" t="s">
        <v>4725</v>
      </c>
      <c r="B1984" s="25" t="s">
        <v>4727</v>
      </c>
      <c r="C1984" s="26">
        <v>1</v>
      </c>
      <c r="D1984" s="27" t="s">
        <v>725</v>
      </c>
      <c r="E1984" s="26">
        <v>557.20000000000005</v>
      </c>
      <c r="F1984" s="28" t="s">
        <v>726</v>
      </c>
      <c r="G1984" s="26">
        <f t="shared" si="47"/>
        <v>557</v>
      </c>
      <c r="H1984" t="s">
        <v>4726</v>
      </c>
    </row>
    <row r="1985" spans="1:8" ht="60" x14ac:dyDescent="0.25">
      <c r="A1985" s="21" t="s">
        <v>4728</v>
      </c>
      <c r="B1985" s="25" t="s">
        <v>4730</v>
      </c>
      <c r="C1985" s="26">
        <v>1</v>
      </c>
      <c r="D1985" s="27" t="s">
        <v>201</v>
      </c>
      <c r="E1985" s="26">
        <v>68.349999999999994</v>
      </c>
      <c r="F1985" s="28" t="s">
        <v>202</v>
      </c>
      <c r="G1985" s="26">
        <f t="shared" si="47"/>
        <v>68</v>
      </c>
      <c r="H1985" t="s">
        <v>4729</v>
      </c>
    </row>
    <row r="1986" spans="1:8" ht="120" x14ac:dyDescent="0.25">
      <c r="A1986" s="21" t="s">
        <v>4731</v>
      </c>
      <c r="B1986" s="25" t="s">
        <v>4733</v>
      </c>
      <c r="C1986" s="26">
        <v>1</v>
      </c>
      <c r="D1986" s="27" t="s">
        <v>15</v>
      </c>
      <c r="E1986" s="26">
        <v>670.95</v>
      </c>
      <c r="F1986" s="28" t="s">
        <v>16</v>
      </c>
      <c r="G1986" s="26">
        <f t="shared" si="47"/>
        <v>671</v>
      </c>
      <c r="H1986" t="s">
        <v>4732</v>
      </c>
    </row>
    <row r="1987" spans="1:8" ht="270" x14ac:dyDescent="0.25">
      <c r="A1987" s="21" t="s">
        <v>4734</v>
      </c>
      <c r="B1987" s="25" t="s">
        <v>4736</v>
      </c>
      <c r="C1987" s="26">
        <v>1</v>
      </c>
      <c r="D1987" s="27" t="s">
        <v>230</v>
      </c>
      <c r="E1987" s="26">
        <v>0.5</v>
      </c>
      <c r="F1987" s="28" t="s">
        <v>231</v>
      </c>
      <c r="G1987" s="26">
        <f t="shared" si="47"/>
        <v>1</v>
      </c>
      <c r="H1987" t="s">
        <v>4735</v>
      </c>
    </row>
    <row r="1988" spans="1:8" ht="60" x14ac:dyDescent="0.25">
      <c r="A1988" s="21" t="s">
        <v>4737</v>
      </c>
      <c r="B1988" s="25" t="s">
        <v>4739</v>
      </c>
      <c r="C1988" s="26">
        <v>1</v>
      </c>
      <c r="D1988" s="27" t="s">
        <v>201</v>
      </c>
      <c r="E1988" s="26">
        <v>108.3</v>
      </c>
      <c r="F1988" s="28" t="s">
        <v>202</v>
      </c>
      <c r="G1988" s="26">
        <f t="shared" si="47"/>
        <v>108</v>
      </c>
      <c r="H1988" t="s">
        <v>4738</v>
      </c>
    </row>
    <row r="1989" spans="1:8" ht="180" x14ac:dyDescent="0.25">
      <c r="A1989" s="21" t="s">
        <v>4740</v>
      </c>
      <c r="B1989" s="25" t="s">
        <v>4742</v>
      </c>
      <c r="C1989" s="26">
        <v>1</v>
      </c>
      <c r="D1989" s="27" t="s">
        <v>110</v>
      </c>
      <c r="E1989" s="26">
        <v>340.75</v>
      </c>
      <c r="F1989" s="28" t="s">
        <v>68</v>
      </c>
      <c r="G1989" s="26">
        <f t="shared" si="47"/>
        <v>341</v>
      </c>
      <c r="H1989" t="s">
        <v>4741</v>
      </c>
    </row>
    <row r="1990" spans="1:8" ht="75" x14ac:dyDescent="0.25">
      <c r="A1990" s="21" t="s">
        <v>4743</v>
      </c>
      <c r="B1990" s="25" t="s">
        <v>4745</v>
      </c>
      <c r="C1990" s="26"/>
      <c r="D1990" s="27"/>
      <c r="E1990" s="26"/>
      <c r="F1990" s="28"/>
      <c r="G1990" s="26"/>
      <c r="H1990" t="s">
        <v>4744</v>
      </c>
    </row>
    <row r="1991" spans="1:8" ht="45" x14ac:dyDescent="0.25">
      <c r="A1991" s="21"/>
      <c r="B1991" s="25" t="s">
        <v>4746</v>
      </c>
      <c r="C1991" s="26"/>
      <c r="D1991" s="27"/>
      <c r="E1991" s="26"/>
      <c r="F1991" s="28"/>
      <c r="G1991" s="26"/>
    </row>
    <row r="1992" spans="1:8" ht="45" x14ac:dyDescent="0.25">
      <c r="A1992" s="21"/>
      <c r="B1992" s="25" t="s">
        <v>4747</v>
      </c>
      <c r="C1992" s="26"/>
      <c r="D1992" s="27"/>
      <c r="E1992" s="26"/>
      <c r="F1992" s="28"/>
      <c r="G1992" s="26"/>
    </row>
    <row r="1993" spans="1:8" ht="30" x14ac:dyDescent="0.25">
      <c r="A1993" s="21"/>
      <c r="B1993" s="25" t="s">
        <v>4748</v>
      </c>
      <c r="C1993" s="26"/>
      <c r="D1993" s="27"/>
      <c r="E1993" s="26"/>
      <c r="F1993" s="28"/>
      <c r="G1993" s="26"/>
    </row>
    <row r="1994" spans="1:8" ht="45" x14ac:dyDescent="0.25">
      <c r="A1994" s="21"/>
      <c r="B1994" s="25" t="s">
        <v>4749</v>
      </c>
      <c r="C1994" s="26"/>
      <c r="D1994" s="27"/>
      <c r="E1994" s="26"/>
      <c r="F1994" s="28"/>
      <c r="G1994" s="26"/>
    </row>
    <row r="1995" spans="1:8" ht="45" x14ac:dyDescent="0.25">
      <c r="A1995" s="21"/>
      <c r="B1995" s="25" t="s">
        <v>4750</v>
      </c>
      <c r="C1995" s="26">
        <v>1</v>
      </c>
      <c r="D1995" s="27" t="s">
        <v>15</v>
      </c>
      <c r="E1995" s="26">
        <v>422.7</v>
      </c>
      <c r="F1995" s="28" t="s">
        <v>16</v>
      </c>
      <c r="G1995" s="26">
        <f>ROUND(C1995*E1995,0)</f>
        <v>423</v>
      </c>
    </row>
    <row r="1996" spans="1:8" ht="75" x14ac:dyDescent="0.25">
      <c r="A1996" s="21" t="s">
        <v>4751</v>
      </c>
      <c r="B1996" s="25" t="s">
        <v>4753</v>
      </c>
      <c r="C1996" s="26">
        <v>1</v>
      </c>
      <c r="D1996" s="27" t="s">
        <v>201</v>
      </c>
      <c r="E1996" s="26">
        <v>433.75</v>
      </c>
      <c r="F1996" s="28" t="s">
        <v>202</v>
      </c>
      <c r="G1996" s="26">
        <f>ROUND(C1996*E1996,0)</f>
        <v>434</v>
      </c>
      <c r="H1996" t="s">
        <v>4752</v>
      </c>
    </row>
    <row r="1997" spans="1:8" ht="120" x14ac:dyDescent="0.25">
      <c r="A1997" s="21" t="s">
        <v>4754</v>
      </c>
      <c r="B1997" s="25" t="s">
        <v>4756</v>
      </c>
      <c r="C1997" s="26"/>
      <c r="D1997" s="27"/>
      <c r="E1997" s="26"/>
      <c r="F1997" s="28"/>
      <c r="G1997" s="26"/>
      <c r="H1997" t="s">
        <v>4755</v>
      </c>
    </row>
    <row r="1998" spans="1:8" x14ac:dyDescent="0.25">
      <c r="A1998" s="21" t="s">
        <v>4757</v>
      </c>
      <c r="B1998" s="25" t="s">
        <v>4759</v>
      </c>
      <c r="C1998" s="26">
        <v>1</v>
      </c>
      <c r="D1998" s="27" t="s">
        <v>201</v>
      </c>
      <c r="E1998" s="26">
        <v>3501.7</v>
      </c>
      <c r="F1998" s="28" t="s">
        <v>202</v>
      </c>
      <c r="G1998" s="26">
        <f>ROUND(C1998*E1998,0)</f>
        <v>3502</v>
      </c>
      <c r="H1998" t="s">
        <v>4758</v>
      </c>
    </row>
    <row r="1999" spans="1:8" x14ac:dyDescent="0.25">
      <c r="A1999" s="21" t="s">
        <v>4760</v>
      </c>
      <c r="B1999" s="25" t="s">
        <v>4762</v>
      </c>
      <c r="C1999" s="26">
        <v>1</v>
      </c>
      <c r="D1999" s="27" t="s">
        <v>201</v>
      </c>
      <c r="E1999" s="26">
        <v>4478.75</v>
      </c>
      <c r="F1999" s="28" t="s">
        <v>202</v>
      </c>
      <c r="G1999" s="26">
        <f>ROUND(C1999*E1999,0)</f>
        <v>4479</v>
      </c>
      <c r="H1999" t="s">
        <v>4761</v>
      </c>
    </row>
    <row r="2000" spans="1:8" ht="75" x14ac:dyDescent="0.25">
      <c r="A2000" s="21" t="s">
        <v>4763</v>
      </c>
      <c r="B2000" s="25" t="s">
        <v>4765</v>
      </c>
      <c r="C2000" s="26">
        <v>1</v>
      </c>
      <c r="D2000" s="27" t="s">
        <v>201</v>
      </c>
      <c r="E2000" s="26">
        <v>288.10000000000002</v>
      </c>
      <c r="F2000" s="28" t="s">
        <v>202</v>
      </c>
      <c r="G2000" s="26">
        <f>ROUND(C2000*E2000,0)</f>
        <v>288</v>
      </c>
      <c r="H2000" t="s">
        <v>4764</v>
      </c>
    </row>
    <row r="2001" spans="1:8" ht="60" x14ac:dyDescent="0.25">
      <c r="A2001" s="21" t="s">
        <v>4766</v>
      </c>
      <c r="B2001" s="25" t="s">
        <v>4768</v>
      </c>
      <c r="C2001" s="26">
        <v>1</v>
      </c>
      <c r="D2001" s="27" t="s">
        <v>201</v>
      </c>
      <c r="E2001" s="26">
        <v>134.1</v>
      </c>
      <c r="F2001" s="28" t="s">
        <v>202</v>
      </c>
      <c r="G2001" s="26">
        <f>ROUND(C2001*E2001,0)</f>
        <v>134</v>
      </c>
      <c r="H2001" t="s">
        <v>4767</v>
      </c>
    </row>
    <row r="2002" spans="1:8" ht="45" x14ac:dyDescent="0.25">
      <c r="A2002" s="21" t="s">
        <v>4769</v>
      </c>
      <c r="B2002" s="25" t="s">
        <v>4771</v>
      </c>
      <c r="C2002" s="26">
        <v>1</v>
      </c>
      <c r="D2002" s="27" t="s">
        <v>15</v>
      </c>
      <c r="E2002" s="26">
        <v>3.45</v>
      </c>
      <c r="F2002" s="28" t="s">
        <v>16</v>
      </c>
      <c r="G2002" s="26">
        <f>ROUND(C2002*E2002,0)</f>
        <v>3</v>
      </c>
      <c r="H2002" t="s">
        <v>4770</v>
      </c>
    </row>
    <row r="2003" spans="1:8" ht="45" x14ac:dyDescent="0.25">
      <c r="A2003" s="21" t="s">
        <v>4772</v>
      </c>
      <c r="B2003" s="25" t="s">
        <v>4774</v>
      </c>
      <c r="C2003" s="26"/>
      <c r="D2003" s="27"/>
      <c r="E2003" s="26"/>
      <c r="F2003" s="28"/>
      <c r="G2003" s="26"/>
      <c r="H2003" t="s">
        <v>4773</v>
      </c>
    </row>
    <row r="2004" spans="1:8" x14ac:dyDescent="0.25">
      <c r="A2004" s="21"/>
      <c r="B2004" s="25" t="s">
        <v>4775</v>
      </c>
      <c r="C2004" s="26">
        <v>1</v>
      </c>
      <c r="D2004" s="27" t="s">
        <v>110</v>
      </c>
      <c r="E2004" s="26">
        <v>3.25</v>
      </c>
      <c r="F2004" s="28" t="s">
        <v>68</v>
      </c>
      <c r="G2004" s="26">
        <f>ROUND(C2004*E2004,0)</f>
        <v>3</v>
      </c>
    </row>
    <row r="2005" spans="1:8" ht="90" x14ac:dyDescent="0.25">
      <c r="A2005" s="21" t="s">
        <v>4776</v>
      </c>
      <c r="B2005" s="25" t="s">
        <v>4778</v>
      </c>
      <c r="C2005" s="26">
        <v>1</v>
      </c>
      <c r="D2005" s="27" t="s">
        <v>201</v>
      </c>
      <c r="E2005" s="26">
        <v>429.1</v>
      </c>
      <c r="F2005" s="28" t="s">
        <v>202</v>
      </c>
      <c r="G2005" s="26">
        <f>ROUND(C2005*E2005,0)</f>
        <v>429</v>
      </c>
      <c r="H2005" t="s">
        <v>4777</v>
      </c>
    </row>
    <row r="2006" spans="1:8" ht="225" x14ac:dyDescent="0.25">
      <c r="A2006" s="21" t="s">
        <v>4779</v>
      </c>
      <c r="B2006" s="25" t="s">
        <v>4781</v>
      </c>
      <c r="C2006" s="26"/>
      <c r="D2006" s="27"/>
      <c r="E2006" s="26"/>
      <c r="F2006" s="28"/>
      <c r="G2006" s="26"/>
      <c r="H2006" t="s">
        <v>4780</v>
      </c>
    </row>
    <row r="2007" spans="1:8" ht="120" x14ac:dyDescent="0.25">
      <c r="A2007" s="21"/>
      <c r="B2007" s="25" t="s">
        <v>4782</v>
      </c>
      <c r="C2007" s="26">
        <v>1</v>
      </c>
      <c r="D2007" s="27" t="s">
        <v>15</v>
      </c>
      <c r="E2007" s="26">
        <v>730.55</v>
      </c>
      <c r="F2007" s="28" t="s">
        <v>16</v>
      </c>
      <c r="G2007" s="26">
        <f>ROUND(C2007*E2007,0)</f>
        <v>731</v>
      </c>
    </row>
    <row r="2008" spans="1:8" ht="330" x14ac:dyDescent="0.25">
      <c r="A2008" s="21" t="s">
        <v>4783</v>
      </c>
      <c r="B2008" s="25" t="s">
        <v>4785</v>
      </c>
      <c r="C2008" s="26"/>
      <c r="D2008" s="27"/>
      <c r="E2008" s="26"/>
      <c r="F2008" s="28"/>
      <c r="G2008" s="26"/>
      <c r="H2008" t="s">
        <v>4784</v>
      </c>
    </row>
    <row r="2009" spans="1:8" ht="120" x14ac:dyDescent="0.25">
      <c r="A2009" s="21"/>
      <c r="B2009" s="25" t="s">
        <v>4786</v>
      </c>
      <c r="C2009" s="26">
        <v>1</v>
      </c>
      <c r="D2009" s="27" t="s">
        <v>15</v>
      </c>
      <c r="E2009" s="26">
        <v>532.04999999999995</v>
      </c>
      <c r="F2009" s="28" t="s">
        <v>16</v>
      </c>
      <c r="G2009" s="26">
        <f>ROUND(C2009*E2009,0)</f>
        <v>532</v>
      </c>
    </row>
    <row r="2010" spans="1:8" ht="240" x14ac:dyDescent="0.25">
      <c r="A2010" s="21" t="s">
        <v>4787</v>
      </c>
      <c r="B2010" s="25" t="s">
        <v>4789</v>
      </c>
      <c r="C2010" s="26"/>
      <c r="D2010" s="27"/>
      <c r="E2010" s="26"/>
      <c r="F2010" s="28"/>
      <c r="G2010" s="26"/>
      <c r="H2010" t="s">
        <v>4788</v>
      </c>
    </row>
    <row r="2011" spans="1:8" ht="120" x14ac:dyDescent="0.25">
      <c r="A2011" s="21"/>
      <c r="B2011" s="25" t="s">
        <v>4790</v>
      </c>
      <c r="C2011" s="26">
        <v>1</v>
      </c>
      <c r="D2011" s="27" t="s">
        <v>15</v>
      </c>
      <c r="E2011" s="26">
        <v>855.7</v>
      </c>
      <c r="F2011" s="28" t="s">
        <v>16</v>
      </c>
      <c r="G2011" s="26">
        <f>ROUND(C2011*E2011,0)</f>
        <v>856</v>
      </c>
    </row>
    <row r="2012" spans="1:8" ht="165" x14ac:dyDescent="0.25">
      <c r="A2012" s="21" t="s">
        <v>4791</v>
      </c>
      <c r="B2012" s="25" t="s">
        <v>4793</v>
      </c>
      <c r="C2012" s="26"/>
      <c r="D2012" s="27"/>
      <c r="E2012" s="26"/>
      <c r="F2012" s="28"/>
      <c r="G2012" s="26"/>
      <c r="H2012" t="s">
        <v>4792</v>
      </c>
    </row>
    <row r="2013" spans="1:8" ht="165" x14ac:dyDescent="0.25">
      <c r="A2013" s="21"/>
      <c r="B2013" s="25" t="s">
        <v>4794</v>
      </c>
      <c r="C2013" s="26"/>
      <c r="D2013" s="27"/>
      <c r="E2013" s="26"/>
      <c r="F2013" s="28"/>
      <c r="G2013" s="26"/>
    </row>
    <row r="2014" spans="1:8" ht="30" x14ac:dyDescent="0.25">
      <c r="A2014" s="21" t="s">
        <v>4795</v>
      </c>
      <c r="B2014" s="25" t="s">
        <v>4796</v>
      </c>
      <c r="C2014" s="26">
        <v>1</v>
      </c>
      <c r="D2014" s="27" t="s">
        <v>15</v>
      </c>
      <c r="E2014" s="26">
        <v>498.35</v>
      </c>
      <c r="F2014" s="28" t="s">
        <v>16</v>
      </c>
      <c r="G2014" s="26">
        <f>ROUND(C2014*E2014,0)</f>
        <v>498</v>
      </c>
      <c r="H2014" t="s">
        <v>105</v>
      </c>
    </row>
    <row r="2015" spans="1:8" ht="225" x14ac:dyDescent="0.25">
      <c r="A2015" s="21" t="s">
        <v>4797</v>
      </c>
      <c r="B2015" s="25" t="s">
        <v>4799</v>
      </c>
      <c r="C2015" s="26"/>
      <c r="D2015" s="27"/>
      <c r="E2015" s="26"/>
      <c r="F2015" s="28"/>
      <c r="G2015" s="26"/>
      <c r="H2015" t="s">
        <v>4798</v>
      </c>
    </row>
    <row r="2016" spans="1:8" ht="105" x14ac:dyDescent="0.25">
      <c r="A2016" s="21"/>
      <c r="B2016" s="25" t="s">
        <v>4800</v>
      </c>
      <c r="C2016" s="26"/>
      <c r="D2016" s="27"/>
      <c r="E2016" s="26"/>
      <c r="F2016" s="28"/>
      <c r="G2016" s="26"/>
    </row>
    <row r="2017" spans="1:8" ht="30" x14ac:dyDescent="0.25">
      <c r="A2017" s="21" t="s">
        <v>4801</v>
      </c>
      <c r="B2017" s="25" t="s">
        <v>3628</v>
      </c>
      <c r="C2017" s="26">
        <v>1</v>
      </c>
      <c r="D2017" s="27" t="s">
        <v>15</v>
      </c>
      <c r="E2017" s="26">
        <v>537.45000000000005</v>
      </c>
      <c r="F2017" s="28" t="s">
        <v>16</v>
      </c>
      <c r="G2017" s="26">
        <f>ROUND(C2017*E2017,0)</f>
        <v>537</v>
      </c>
      <c r="H2017" t="s">
        <v>4802</v>
      </c>
    </row>
    <row r="2018" spans="1:8" ht="165" x14ac:dyDescent="0.25">
      <c r="A2018" s="21" t="s">
        <v>4803</v>
      </c>
      <c r="B2018" s="25" t="s">
        <v>4805</v>
      </c>
      <c r="C2018" s="26"/>
      <c r="D2018" s="27"/>
      <c r="E2018" s="26"/>
      <c r="F2018" s="28"/>
      <c r="G2018" s="26"/>
      <c r="H2018" t="s">
        <v>4804</v>
      </c>
    </row>
    <row r="2019" spans="1:8" ht="150" x14ac:dyDescent="0.25">
      <c r="A2019" s="21"/>
      <c r="B2019" s="25" t="s">
        <v>4806</v>
      </c>
      <c r="C2019" s="26"/>
      <c r="D2019" s="27"/>
      <c r="E2019" s="26"/>
      <c r="F2019" s="28"/>
      <c r="G2019" s="26"/>
    </row>
    <row r="2020" spans="1:8" ht="30" x14ac:dyDescent="0.25">
      <c r="A2020" s="21" t="s">
        <v>4807</v>
      </c>
      <c r="B2020" s="25" t="s">
        <v>3628</v>
      </c>
      <c r="C2020" s="26">
        <v>1</v>
      </c>
      <c r="D2020" s="27" t="s">
        <v>15</v>
      </c>
      <c r="E2020" s="26">
        <v>560.95000000000005</v>
      </c>
      <c r="F2020" s="28" t="s">
        <v>16</v>
      </c>
      <c r="G2020" s="26">
        <f>ROUND(C2020*E2020,0)</f>
        <v>561</v>
      </c>
      <c r="H2020" t="s">
        <v>4802</v>
      </c>
    </row>
    <row r="2021" spans="1:8" ht="90" x14ac:dyDescent="0.25">
      <c r="A2021" s="21" t="s">
        <v>4808</v>
      </c>
      <c r="B2021" s="25" t="s">
        <v>4810</v>
      </c>
      <c r="C2021" s="26">
        <v>1</v>
      </c>
      <c r="D2021" s="27" t="s">
        <v>15</v>
      </c>
      <c r="E2021" s="26">
        <v>88.9</v>
      </c>
      <c r="F2021" s="28" t="s">
        <v>16</v>
      </c>
      <c r="G2021" s="26">
        <f>ROUND(C2021*E2021,0)</f>
        <v>89</v>
      </c>
      <c r="H2021" t="s">
        <v>4809</v>
      </c>
    </row>
    <row r="2022" spans="1:8" ht="105" x14ac:dyDescent="0.25">
      <c r="A2022" s="21" t="s">
        <v>4811</v>
      </c>
      <c r="B2022" s="25" t="s">
        <v>4813</v>
      </c>
      <c r="C2022" s="26">
        <v>1</v>
      </c>
      <c r="D2022" s="27" t="s">
        <v>4814</v>
      </c>
      <c r="E2022" s="26">
        <v>1308.4000000000001</v>
      </c>
      <c r="F2022" s="28" t="s">
        <v>4815</v>
      </c>
      <c r="G2022" s="26">
        <f>ROUND(C2022*E2022,0)</f>
        <v>1308</v>
      </c>
      <c r="H2022" t="s">
        <v>4812</v>
      </c>
    </row>
    <row r="2023" spans="1:8" ht="105" x14ac:dyDescent="0.25">
      <c r="A2023" s="21" t="s">
        <v>4816</v>
      </c>
      <c r="B2023" s="25" t="s">
        <v>4818</v>
      </c>
      <c r="C2023" s="26">
        <v>1</v>
      </c>
      <c r="D2023" s="27" t="s">
        <v>4814</v>
      </c>
      <c r="E2023" s="26">
        <v>1416.5</v>
      </c>
      <c r="F2023" s="28" t="s">
        <v>4815</v>
      </c>
      <c r="G2023" s="26">
        <f>ROUND(C2023*E2023,0)</f>
        <v>1417</v>
      </c>
      <c r="H2023" t="s">
        <v>4817</v>
      </c>
    </row>
    <row r="2024" spans="1:8" x14ac:dyDescent="0.25">
      <c r="A2024" s="21"/>
      <c r="B2024" s="45" t="s">
        <v>4819</v>
      </c>
      <c r="C2024" s="45"/>
      <c r="D2024" s="45"/>
      <c r="E2024" s="45"/>
      <c r="F2024" s="45"/>
      <c r="G2024" s="29">
        <f>SUM(G1887:G2023)</f>
        <v>693389</v>
      </c>
    </row>
    <row r="2025" spans="1:8" x14ac:dyDescent="0.25">
      <c r="A2025" s="46" t="s">
        <v>4820</v>
      </c>
      <c r="B2025" s="47"/>
      <c r="C2025" s="47"/>
      <c r="D2025" s="47"/>
      <c r="E2025" s="47"/>
      <c r="F2025" s="47"/>
      <c r="G2025" s="47"/>
    </row>
    <row r="2026" spans="1:8" ht="60" x14ac:dyDescent="0.25">
      <c r="A2026" s="21" t="s">
        <v>4821</v>
      </c>
      <c r="B2026" s="25" t="s">
        <v>4823</v>
      </c>
      <c r="C2026" s="26">
        <v>1</v>
      </c>
      <c r="D2026" s="27" t="s">
        <v>21</v>
      </c>
      <c r="E2026" s="26">
        <v>851.5</v>
      </c>
      <c r="F2026" s="28" t="s">
        <v>22</v>
      </c>
      <c r="G2026" s="26">
        <f>ROUND(C2026*E2026,0)</f>
        <v>852</v>
      </c>
      <c r="H2026" t="s">
        <v>4822</v>
      </c>
    </row>
    <row r="2027" spans="1:8" ht="60" x14ac:dyDescent="0.25">
      <c r="A2027" s="21" t="s">
        <v>4824</v>
      </c>
      <c r="B2027" s="25" t="s">
        <v>4826</v>
      </c>
      <c r="C2027" s="26"/>
      <c r="D2027" s="27"/>
      <c r="E2027" s="26"/>
      <c r="F2027" s="28"/>
      <c r="G2027" s="26"/>
      <c r="H2027" t="s">
        <v>4825</v>
      </c>
    </row>
    <row r="2028" spans="1:8" ht="30" x14ac:dyDescent="0.25">
      <c r="A2028" s="21" t="s">
        <v>4827</v>
      </c>
      <c r="B2028" s="25" t="s">
        <v>4829</v>
      </c>
      <c r="C2028" s="26">
        <v>1</v>
      </c>
      <c r="D2028" s="27" t="s">
        <v>21</v>
      </c>
      <c r="E2028" s="26">
        <v>2434.25</v>
      </c>
      <c r="F2028" s="28" t="s">
        <v>22</v>
      </c>
      <c r="G2028" s="26">
        <f t="shared" ref="G2028:G2033" si="48">ROUND(C2028*E2028,0)</f>
        <v>2434</v>
      </c>
      <c r="H2028" t="s">
        <v>4828</v>
      </c>
    </row>
    <row r="2029" spans="1:8" ht="30" x14ac:dyDescent="0.25">
      <c r="A2029" s="21" t="s">
        <v>4830</v>
      </c>
      <c r="B2029" s="25" t="s">
        <v>4832</v>
      </c>
      <c r="C2029" s="26">
        <v>1</v>
      </c>
      <c r="D2029" s="27" t="s">
        <v>21</v>
      </c>
      <c r="E2029" s="26">
        <v>1503.6</v>
      </c>
      <c r="F2029" s="28" t="s">
        <v>22</v>
      </c>
      <c r="G2029" s="26">
        <f t="shared" si="48"/>
        <v>1504</v>
      </c>
      <c r="H2029" t="s">
        <v>4831</v>
      </c>
    </row>
    <row r="2030" spans="1:8" ht="75" x14ac:dyDescent="0.25">
      <c r="A2030" s="21" t="s">
        <v>4833</v>
      </c>
      <c r="B2030" s="25" t="s">
        <v>4835</v>
      </c>
      <c r="C2030" s="26">
        <v>1</v>
      </c>
      <c r="D2030" s="27" t="s">
        <v>21</v>
      </c>
      <c r="E2030" s="26">
        <v>3551.25</v>
      </c>
      <c r="F2030" s="28" t="s">
        <v>22</v>
      </c>
      <c r="G2030" s="26">
        <f t="shared" si="48"/>
        <v>3551</v>
      </c>
      <c r="H2030" t="s">
        <v>4834</v>
      </c>
    </row>
    <row r="2031" spans="1:8" ht="75" x14ac:dyDescent="0.25">
      <c r="A2031" s="21" t="s">
        <v>4836</v>
      </c>
      <c r="B2031" s="25" t="s">
        <v>4838</v>
      </c>
      <c r="C2031" s="26">
        <v>1</v>
      </c>
      <c r="D2031" s="27" t="s">
        <v>21</v>
      </c>
      <c r="E2031" s="26">
        <v>3177.25</v>
      </c>
      <c r="F2031" s="28" t="s">
        <v>22</v>
      </c>
      <c r="G2031" s="26">
        <f t="shared" si="48"/>
        <v>3177</v>
      </c>
      <c r="H2031" t="s">
        <v>4837</v>
      </c>
    </row>
    <row r="2032" spans="1:8" ht="75" x14ac:dyDescent="0.25">
      <c r="A2032" s="21" t="s">
        <v>4839</v>
      </c>
      <c r="B2032" s="25" t="s">
        <v>4841</v>
      </c>
      <c r="C2032" s="26">
        <v>1</v>
      </c>
      <c r="D2032" s="27" t="s">
        <v>15</v>
      </c>
      <c r="E2032" s="26">
        <v>1147.2</v>
      </c>
      <c r="F2032" s="28" t="s">
        <v>16</v>
      </c>
      <c r="G2032" s="26">
        <f t="shared" si="48"/>
        <v>1147</v>
      </c>
      <c r="H2032" t="s">
        <v>4840</v>
      </c>
    </row>
    <row r="2033" spans="1:8" ht="30" x14ac:dyDescent="0.25">
      <c r="A2033" s="21" t="s">
        <v>4842</v>
      </c>
      <c r="B2033" s="25" t="s">
        <v>4844</v>
      </c>
      <c r="C2033" s="26">
        <v>1</v>
      </c>
      <c r="D2033" s="27" t="s">
        <v>725</v>
      </c>
      <c r="E2033" s="26">
        <v>9.0500000000000007</v>
      </c>
      <c r="F2033" s="28" t="s">
        <v>726</v>
      </c>
      <c r="G2033" s="26">
        <f t="shared" si="48"/>
        <v>9</v>
      </c>
      <c r="H2033" t="s">
        <v>4843</v>
      </c>
    </row>
    <row r="2034" spans="1:8" ht="75" x14ac:dyDescent="0.25">
      <c r="A2034" s="21" t="s">
        <v>4845</v>
      </c>
      <c r="B2034" s="25" t="s">
        <v>4847</v>
      </c>
      <c r="C2034" s="26"/>
      <c r="D2034" s="27"/>
      <c r="E2034" s="26"/>
      <c r="F2034" s="28"/>
      <c r="G2034" s="26"/>
      <c r="H2034" t="s">
        <v>4846</v>
      </c>
    </row>
    <row r="2035" spans="1:8" ht="30" x14ac:dyDescent="0.25">
      <c r="A2035" s="21" t="s">
        <v>4848</v>
      </c>
      <c r="B2035" s="25" t="s">
        <v>4850</v>
      </c>
      <c r="C2035" s="26">
        <v>1</v>
      </c>
      <c r="D2035" s="27" t="s">
        <v>21</v>
      </c>
      <c r="E2035" s="26">
        <v>704.9</v>
      </c>
      <c r="F2035" s="28" t="s">
        <v>22</v>
      </c>
      <c r="G2035" s="26">
        <f>ROUND(C2035*E2035,0)</f>
        <v>705</v>
      </c>
      <c r="H2035" t="s">
        <v>4849</v>
      </c>
    </row>
    <row r="2036" spans="1:8" ht="30" x14ac:dyDescent="0.25">
      <c r="A2036" s="21" t="s">
        <v>4851</v>
      </c>
      <c r="B2036" s="25" t="s">
        <v>4853</v>
      </c>
      <c r="C2036" s="26">
        <v>1</v>
      </c>
      <c r="D2036" s="27" t="s">
        <v>21</v>
      </c>
      <c r="E2036" s="26">
        <v>1783.35</v>
      </c>
      <c r="F2036" s="28" t="s">
        <v>22</v>
      </c>
      <c r="G2036" s="26">
        <f>ROUND(C2036*E2036,0)</f>
        <v>1783</v>
      </c>
      <c r="H2036" t="s">
        <v>4852</v>
      </c>
    </row>
    <row r="2037" spans="1:8" ht="30" x14ac:dyDescent="0.25">
      <c r="A2037" s="21" t="s">
        <v>4854</v>
      </c>
      <c r="B2037" s="25" t="s">
        <v>4856</v>
      </c>
      <c r="C2037" s="26">
        <v>1</v>
      </c>
      <c r="D2037" s="27" t="s">
        <v>21</v>
      </c>
      <c r="E2037" s="26">
        <v>851.5</v>
      </c>
      <c r="F2037" s="28" t="s">
        <v>22</v>
      </c>
      <c r="G2037" s="26">
        <f>ROUND(C2037*E2037,0)</f>
        <v>852</v>
      </c>
      <c r="H2037" t="s">
        <v>4855</v>
      </c>
    </row>
    <row r="2038" spans="1:8" ht="30" x14ac:dyDescent="0.25">
      <c r="A2038" s="21" t="s">
        <v>4857</v>
      </c>
      <c r="B2038" s="25" t="s">
        <v>4859</v>
      </c>
      <c r="C2038" s="26">
        <v>1</v>
      </c>
      <c r="D2038" s="27" t="s">
        <v>21</v>
      </c>
      <c r="E2038" s="26">
        <v>2060.1999999999998</v>
      </c>
      <c r="F2038" s="28" t="s">
        <v>22</v>
      </c>
      <c r="G2038" s="26">
        <f>ROUND(C2038*E2038,0)</f>
        <v>2060</v>
      </c>
      <c r="H2038" t="s">
        <v>4858</v>
      </c>
    </row>
    <row r="2039" spans="1:8" ht="45" x14ac:dyDescent="0.25">
      <c r="A2039" s="21" t="s">
        <v>4860</v>
      </c>
      <c r="B2039" s="25" t="s">
        <v>4862</v>
      </c>
      <c r="C2039" s="26"/>
      <c r="D2039" s="27"/>
      <c r="E2039" s="26"/>
      <c r="F2039" s="28"/>
      <c r="G2039" s="26"/>
      <c r="H2039" t="s">
        <v>4861</v>
      </c>
    </row>
    <row r="2040" spans="1:8" x14ac:dyDescent="0.25">
      <c r="A2040" s="21" t="s">
        <v>4863</v>
      </c>
      <c r="B2040" s="25" t="s">
        <v>4865</v>
      </c>
      <c r="C2040" s="26">
        <v>1</v>
      </c>
      <c r="D2040" s="27" t="s">
        <v>4866</v>
      </c>
      <c r="E2040" s="26">
        <v>4658.45</v>
      </c>
      <c r="F2040" s="28" t="s">
        <v>4867</v>
      </c>
      <c r="G2040" s="26">
        <f>ROUND(C2040*E2040,0)</f>
        <v>4658</v>
      </c>
      <c r="H2040" t="s">
        <v>4864</v>
      </c>
    </row>
    <row r="2041" spans="1:8" x14ac:dyDescent="0.25">
      <c r="A2041" s="21" t="s">
        <v>4868</v>
      </c>
      <c r="B2041" s="25" t="s">
        <v>4869</v>
      </c>
      <c r="C2041" s="26">
        <v>1</v>
      </c>
      <c r="D2041" s="27" t="s">
        <v>4866</v>
      </c>
      <c r="E2041" s="26">
        <v>5355.3</v>
      </c>
      <c r="F2041" s="28" t="s">
        <v>4867</v>
      </c>
      <c r="G2041" s="26">
        <f>ROUND(C2041*E2041,0)</f>
        <v>5355</v>
      </c>
      <c r="H2041" t="s">
        <v>4869</v>
      </c>
    </row>
    <row r="2042" spans="1:8" x14ac:dyDescent="0.25">
      <c r="A2042" s="21" t="s">
        <v>4870</v>
      </c>
      <c r="B2042" s="25" t="s">
        <v>4871</v>
      </c>
      <c r="C2042" s="26">
        <v>1</v>
      </c>
      <c r="D2042" s="27" t="s">
        <v>4866</v>
      </c>
      <c r="E2042" s="26">
        <v>6700.8</v>
      </c>
      <c r="F2042" s="28" t="s">
        <v>4867</v>
      </c>
      <c r="G2042" s="26">
        <f>ROUND(C2042*E2042,0)</f>
        <v>6701</v>
      </c>
      <c r="H2042" t="s">
        <v>4871</v>
      </c>
    </row>
    <row r="2043" spans="1:8" ht="75" x14ac:dyDescent="0.25">
      <c r="A2043" s="21" t="s">
        <v>4872</v>
      </c>
      <c r="B2043" s="25" t="s">
        <v>4874</v>
      </c>
      <c r="C2043" s="26"/>
      <c r="D2043" s="27"/>
      <c r="E2043" s="26"/>
      <c r="F2043" s="28"/>
      <c r="G2043" s="26"/>
      <c r="H2043" t="s">
        <v>4873</v>
      </c>
    </row>
    <row r="2044" spans="1:8" ht="30" x14ac:dyDescent="0.25">
      <c r="A2044" s="21" t="s">
        <v>4875</v>
      </c>
      <c r="B2044" s="25" t="s">
        <v>4856</v>
      </c>
      <c r="C2044" s="26">
        <v>1</v>
      </c>
      <c r="D2044" s="27" t="s">
        <v>21</v>
      </c>
      <c r="E2044" s="26">
        <v>1158.0999999999999</v>
      </c>
      <c r="F2044" s="28" t="s">
        <v>22</v>
      </c>
      <c r="G2044" s="26">
        <f>ROUND(C2044*E2044,0)</f>
        <v>1158</v>
      </c>
      <c r="H2044" t="s">
        <v>4855</v>
      </c>
    </row>
    <row r="2045" spans="1:8" ht="30" x14ac:dyDescent="0.25">
      <c r="A2045" s="21" t="s">
        <v>4876</v>
      </c>
      <c r="B2045" s="25" t="s">
        <v>4859</v>
      </c>
      <c r="C2045" s="26">
        <v>1</v>
      </c>
      <c r="D2045" s="27" t="s">
        <v>21</v>
      </c>
      <c r="E2045" s="26">
        <v>2458.9499999999998</v>
      </c>
      <c r="F2045" s="28" t="s">
        <v>22</v>
      </c>
      <c r="G2045" s="26">
        <f>ROUND(C2045*E2045,0)</f>
        <v>2459</v>
      </c>
      <c r="H2045" t="s">
        <v>4858</v>
      </c>
    </row>
    <row r="2046" spans="1:8" ht="90" x14ac:dyDescent="0.25">
      <c r="A2046" s="21" t="s">
        <v>4877</v>
      </c>
      <c r="B2046" s="25" t="s">
        <v>4879</v>
      </c>
      <c r="C2046" s="26"/>
      <c r="D2046" s="27"/>
      <c r="E2046" s="26"/>
      <c r="F2046" s="28"/>
      <c r="G2046" s="26"/>
      <c r="H2046" t="s">
        <v>4878</v>
      </c>
    </row>
    <row r="2047" spans="1:8" ht="30" x14ac:dyDescent="0.25">
      <c r="A2047" s="21" t="s">
        <v>4880</v>
      </c>
      <c r="B2047" s="25" t="s">
        <v>4856</v>
      </c>
      <c r="C2047" s="26">
        <v>1</v>
      </c>
      <c r="D2047" s="27" t="s">
        <v>21</v>
      </c>
      <c r="E2047" s="26">
        <v>1464.25</v>
      </c>
      <c r="F2047" s="28" t="s">
        <v>22</v>
      </c>
      <c r="G2047" s="26">
        <f>ROUND(C2047*E2047,0)</f>
        <v>1464</v>
      </c>
      <c r="H2047" t="s">
        <v>4855</v>
      </c>
    </row>
    <row r="2048" spans="1:8" ht="30" x14ac:dyDescent="0.25">
      <c r="A2048" s="21" t="s">
        <v>4881</v>
      </c>
      <c r="B2048" s="25" t="s">
        <v>4859</v>
      </c>
      <c r="C2048" s="26">
        <v>1</v>
      </c>
      <c r="D2048" s="27" t="s">
        <v>21</v>
      </c>
      <c r="E2048" s="26">
        <v>2877.75</v>
      </c>
      <c r="F2048" s="28" t="s">
        <v>22</v>
      </c>
      <c r="G2048" s="26">
        <f>ROUND(C2048*E2048,0)</f>
        <v>2878</v>
      </c>
      <c r="H2048" t="s">
        <v>4858</v>
      </c>
    </row>
    <row r="2049" spans="1:8" ht="45" x14ac:dyDescent="0.25">
      <c r="A2049" s="21" t="s">
        <v>4882</v>
      </c>
      <c r="B2049" s="25" t="s">
        <v>4884</v>
      </c>
      <c r="C2049" s="26"/>
      <c r="D2049" s="27"/>
      <c r="E2049" s="26"/>
      <c r="F2049" s="28"/>
      <c r="G2049" s="26"/>
      <c r="H2049" t="s">
        <v>4883</v>
      </c>
    </row>
    <row r="2050" spans="1:8" ht="30" x14ac:dyDescent="0.25">
      <c r="A2050" s="21" t="s">
        <v>4885</v>
      </c>
      <c r="B2050" s="25" t="s">
        <v>4856</v>
      </c>
      <c r="C2050" s="26">
        <v>1</v>
      </c>
      <c r="D2050" s="27" t="s">
        <v>21</v>
      </c>
      <c r="E2050" s="26">
        <v>478.55</v>
      </c>
      <c r="F2050" s="28" t="s">
        <v>22</v>
      </c>
      <c r="G2050" s="26">
        <f>ROUND(C2050*E2050,0)</f>
        <v>479</v>
      </c>
      <c r="H2050" t="s">
        <v>4855</v>
      </c>
    </row>
    <row r="2051" spans="1:8" ht="30" x14ac:dyDescent="0.25">
      <c r="A2051" s="21" t="s">
        <v>4886</v>
      </c>
      <c r="B2051" s="25" t="s">
        <v>4859</v>
      </c>
      <c r="C2051" s="26">
        <v>1</v>
      </c>
      <c r="D2051" s="27" t="s">
        <v>21</v>
      </c>
      <c r="E2051" s="26">
        <v>689.2</v>
      </c>
      <c r="F2051" s="28" t="s">
        <v>22</v>
      </c>
      <c r="G2051" s="26">
        <f>ROUND(C2051*E2051,0)</f>
        <v>689</v>
      </c>
      <c r="H2051" t="s">
        <v>4858</v>
      </c>
    </row>
    <row r="2052" spans="1:8" ht="60" x14ac:dyDescent="0.25">
      <c r="A2052" s="21" t="s">
        <v>4887</v>
      </c>
      <c r="B2052" s="25" t="s">
        <v>4889</v>
      </c>
      <c r="C2052" s="26"/>
      <c r="D2052" s="27"/>
      <c r="E2052" s="26"/>
      <c r="F2052" s="28"/>
      <c r="G2052" s="26"/>
      <c r="H2052" t="s">
        <v>4888</v>
      </c>
    </row>
    <row r="2053" spans="1:8" x14ac:dyDescent="0.25">
      <c r="A2053" s="21" t="s">
        <v>4890</v>
      </c>
      <c r="B2053" s="25" t="s">
        <v>4892</v>
      </c>
      <c r="C2053" s="26">
        <v>1</v>
      </c>
      <c r="D2053" s="27" t="s">
        <v>201</v>
      </c>
      <c r="E2053" s="26">
        <v>367.2</v>
      </c>
      <c r="F2053" s="28" t="s">
        <v>202</v>
      </c>
      <c r="G2053" s="26">
        <f>ROUND(C2053*E2053,0)</f>
        <v>367</v>
      </c>
      <c r="H2053" t="s">
        <v>4891</v>
      </c>
    </row>
    <row r="2054" spans="1:8" x14ac:dyDescent="0.25">
      <c r="A2054" s="21" t="s">
        <v>4893</v>
      </c>
      <c r="B2054" s="25" t="s">
        <v>4895</v>
      </c>
      <c r="C2054" s="26">
        <v>1</v>
      </c>
      <c r="D2054" s="27" t="s">
        <v>201</v>
      </c>
      <c r="E2054" s="26">
        <v>502.75</v>
      </c>
      <c r="F2054" s="28" t="s">
        <v>202</v>
      </c>
      <c r="G2054" s="26">
        <f>ROUND(C2054*E2054,0)</f>
        <v>503</v>
      </c>
      <c r="H2054" t="s">
        <v>4894</v>
      </c>
    </row>
    <row r="2055" spans="1:8" ht="45" x14ac:dyDescent="0.25">
      <c r="A2055" s="21" t="s">
        <v>4896</v>
      </c>
      <c r="B2055" s="25" t="s">
        <v>4898</v>
      </c>
      <c r="C2055" s="26"/>
      <c r="D2055" s="27"/>
      <c r="E2055" s="26"/>
      <c r="F2055" s="28"/>
      <c r="G2055" s="26"/>
      <c r="H2055" t="s">
        <v>4897</v>
      </c>
    </row>
    <row r="2056" spans="1:8" x14ac:dyDescent="0.25">
      <c r="A2056" s="21" t="s">
        <v>4899</v>
      </c>
      <c r="B2056" s="25" t="s">
        <v>4892</v>
      </c>
      <c r="C2056" s="26">
        <v>1</v>
      </c>
      <c r="D2056" s="27" t="s">
        <v>201</v>
      </c>
      <c r="E2056" s="26">
        <v>143.5</v>
      </c>
      <c r="F2056" s="28" t="s">
        <v>202</v>
      </c>
      <c r="G2056" s="26">
        <f>ROUND(C2056*E2056,0)</f>
        <v>144</v>
      </c>
      <c r="H2056" t="s">
        <v>4891</v>
      </c>
    </row>
    <row r="2057" spans="1:8" x14ac:dyDescent="0.25">
      <c r="A2057" s="21" t="s">
        <v>4900</v>
      </c>
      <c r="B2057" s="25" t="s">
        <v>4895</v>
      </c>
      <c r="C2057" s="26">
        <v>1</v>
      </c>
      <c r="D2057" s="27" t="s">
        <v>201</v>
      </c>
      <c r="E2057" s="26">
        <v>188.9</v>
      </c>
      <c r="F2057" s="28" t="s">
        <v>202</v>
      </c>
      <c r="G2057" s="26">
        <f>ROUND(C2057*E2057,0)</f>
        <v>189</v>
      </c>
      <c r="H2057" t="s">
        <v>4901</v>
      </c>
    </row>
    <row r="2058" spans="1:8" ht="60" x14ac:dyDescent="0.25">
      <c r="A2058" s="21" t="s">
        <v>4902</v>
      </c>
      <c r="B2058" s="25" t="s">
        <v>4904</v>
      </c>
      <c r="C2058" s="26"/>
      <c r="D2058" s="27"/>
      <c r="E2058" s="26"/>
      <c r="F2058" s="28"/>
      <c r="G2058" s="26"/>
      <c r="H2058" t="s">
        <v>4903</v>
      </c>
    </row>
    <row r="2059" spans="1:8" ht="30" x14ac:dyDescent="0.25">
      <c r="A2059" s="21" t="s">
        <v>4905</v>
      </c>
      <c r="B2059" s="25" t="s">
        <v>4907</v>
      </c>
      <c r="C2059" s="26">
        <v>1</v>
      </c>
      <c r="D2059" s="27" t="s">
        <v>21</v>
      </c>
      <c r="E2059" s="26">
        <v>4459.1000000000004</v>
      </c>
      <c r="F2059" s="28" t="s">
        <v>22</v>
      </c>
      <c r="G2059" s="26">
        <f>ROUND(C2059*E2059,0)</f>
        <v>4459</v>
      </c>
      <c r="H2059" t="s">
        <v>4906</v>
      </c>
    </row>
    <row r="2060" spans="1:8" ht="45" x14ac:dyDescent="0.25">
      <c r="A2060" s="21" t="s">
        <v>4908</v>
      </c>
      <c r="B2060" s="25" t="s">
        <v>4910</v>
      </c>
      <c r="C2060" s="26">
        <v>1</v>
      </c>
      <c r="D2060" s="27" t="s">
        <v>110</v>
      </c>
      <c r="E2060" s="26">
        <v>17.850000000000001</v>
      </c>
      <c r="F2060" s="28" t="s">
        <v>618</v>
      </c>
      <c r="G2060" s="26">
        <f>ROUND(C2060*E2060,0)</f>
        <v>18</v>
      </c>
      <c r="H2060" t="s">
        <v>4909</v>
      </c>
    </row>
    <row r="2061" spans="1:8" ht="45" x14ac:dyDescent="0.25">
      <c r="A2061" s="21" t="s">
        <v>4911</v>
      </c>
      <c r="B2061" s="25" t="s">
        <v>4913</v>
      </c>
      <c r="C2061" s="26"/>
      <c r="D2061" s="27"/>
      <c r="E2061" s="26"/>
      <c r="F2061" s="28"/>
      <c r="G2061" s="26"/>
      <c r="H2061" t="s">
        <v>4912</v>
      </c>
    </row>
    <row r="2062" spans="1:8" ht="30" x14ac:dyDescent="0.25">
      <c r="A2062" s="21" t="s">
        <v>4914</v>
      </c>
      <c r="B2062" s="25" t="s">
        <v>4916</v>
      </c>
      <c r="C2062" s="26">
        <v>1</v>
      </c>
      <c r="D2062" s="27" t="s">
        <v>429</v>
      </c>
      <c r="E2062" s="26">
        <v>589.54999999999995</v>
      </c>
      <c r="F2062" s="28" t="s">
        <v>4917</v>
      </c>
      <c r="G2062" s="26">
        <f>ROUND(C2062*E2062,0)</f>
        <v>590</v>
      </c>
      <c r="H2062" t="s">
        <v>4915</v>
      </c>
    </row>
    <row r="2063" spans="1:8" ht="30" x14ac:dyDescent="0.25">
      <c r="A2063" s="21" t="s">
        <v>4918</v>
      </c>
      <c r="B2063" s="25" t="s">
        <v>4919</v>
      </c>
      <c r="C2063" s="26">
        <v>1</v>
      </c>
      <c r="D2063" s="27" t="s">
        <v>4920</v>
      </c>
      <c r="E2063" s="26">
        <v>1.65</v>
      </c>
      <c r="F2063" s="28" t="s">
        <v>4921</v>
      </c>
      <c r="G2063" s="26">
        <f>ROUND(C2063*E2063,0)</f>
        <v>2</v>
      </c>
      <c r="H2063" t="s">
        <v>4909</v>
      </c>
    </row>
    <row r="2064" spans="1:8" ht="45" x14ac:dyDescent="0.25">
      <c r="A2064" s="21" t="s">
        <v>4922</v>
      </c>
      <c r="B2064" s="25" t="s">
        <v>4924</v>
      </c>
      <c r="C2064" s="26"/>
      <c r="D2064" s="27"/>
      <c r="E2064" s="26"/>
      <c r="F2064" s="28"/>
      <c r="G2064" s="26"/>
      <c r="H2064" t="s">
        <v>4923</v>
      </c>
    </row>
    <row r="2065" spans="1:8" ht="45" x14ac:dyDescent="0.25">
      <c r="A2065" s="21" t="s">
        <v>4925</v>
      </c>
      <c r="B2065" s="25" t="s">
        <v>4907</v>
      </c>
      <c r="C2065" s="26">
        <v>1</v>
      </c>
      <c r="D2065" s="27" t="s">
        <v>4926</v>
      </c>
      <c r="E2065" s="26">
        <v>857</v>
      </c>
      <c r="F2065" s="28" t="s">
        <v>4927</v>
      </c>
      <c r="G2065" s="26">
        <f>ROUND(C2065*E2065,0)</f>
        <v>857</v>
      </c>
      <c r="H2065" t="s">
        <v>4915</v>
      </c>
    </row>
    <row r="2066" spans="1:8" ht="45" x14ac:dyDescent="0.25">
      <c r="A2066" s="21" t="s">
        <v>4928</v>
      </c>
      <c r="B2066" s="25" t="s">
        <v>4910</v>
      </c>
      <c r="C2066" s="26">
        <v>1</v>
      </c>
      <c r="D2066" s="27" t="s">
        <v>4920</v>
      </c>
      <c r="E2066" s="26">
        <v>3.4</v>
      </c>
      <c r="F2066" s="28" t="s">
        <v>4930</v>
      </c>
      <c r="G2066" s="26">
        <f>ROUND(C2066*E2066,0)</f>
        <v>3</v>
      </c>
      <c r="H2066" t="s">
        <v>4929</v>
      </c>
    </row>
    <row r="2067" spans="1:8" ht="45" x14ac:dyDescent="0.25">
      <c r="A2067" s="21" t="s">
        <v>4931</v>
      </c>
      <c r="B2067" s="25" t="s">
        <v>4933</v>
      </c>
      <c r="C2067" s="26"/>
      <c r="D2067" s="27"/>
      <c r="E2067" s="26"/>
      <c r="F2067" s="28"/>
      <c r="G2067" s="26"/>
      <c r="H2067" t="s">
        <v>4932</v>
      </c>
    </row>
    <row r="2068" spans="1:8" ht="30" x14ac:dyDescent="0.25">
      <c r="A2068" s="21" t="s">
        <v>4934</v>
      </c>
      <c r="B2068" s="25" t="s">
        <v>4936</v>
      </c>
      <c r="C2068" s="26">
        <v>1</v>
      </c>
      <c r="D2068" s="27" t="s">
        <v>725</v>
      </c>
      <c r="E2068" s="26">
        <v>3.4</v>
      </c>
      <c r="F2068" s="28" t="s">
        <v>726</v>
      </c>
      <c r="G2068" s="26">
        <f t="shared" ref="G2068:G2074" si="49">ROUND(C2068*E2068,0)</f>
        <v>3</v>
      </c>
      <c r="H2068" t="s">
        <v>4935</v>
      </c>
    </row>
    <row r="2069" spans="1:8" ht="30" x14ac:dyDescent="0.25">
      <c r="A2069" s="21" t="s">
        <v>4937</v>
      </c>
      <c r="B2069" s="25" t="s">
        <v>4939</v>
      </c>
      <c r="C2069" s="26">
        <v>1</v>
      </c>
      <c r="D2069" s="27" t="s">
        <v>725</v>
      </c>
      <c r="E2069" s="26">
        <v>2.2999999999999998</v>
      </c>
      <c r="F2069" s="28" t="s">
        <v>726</v>
      </c>
      <c r="G2069" s="26">
        <f t="shared" si="49"/>
        <v>2</v>
      </c>
      <c r="H2069" t="s">
        <v>4938</v>
      </c>
    </row>
    <row r="2070" spans="1:8" ht="75" x14ac:dyDescent="0.25">
      <c r="A2070" s="21" t="s">
        <v>4940</v>
      </c>
      <c r="B2070" s="25" t="s">
        <v>4942</v>
      </c>
      <c r="C2070" s="26">
        <v>1</v>
      </c>
      <c r="D2070" s="27" t="s">
        <v>725</v>
      </c>
      <c r="E2070" s="26">
        <v>5.65</v>
      </c>
      <c r="F2070" s="28" t="s">
        <v>726</v>
      </c>
      <c r="G2070" s="26">
        <f t="shared" si="49"/>
        <v>6</v>
      </c>
      <c r="H2070" t="s">
        <v>4941</v>
      </c>
    </row>
    <row r="2071" spans="1:8" ht="60" x14ac:dyDescent="0.25">
      <c r="A2071" s="21" t="s">
        <v>4943</v>
      </c>
      <c r="B2071" s="25" t="s">
        <v>4945</v>
      </c>
      <c r="C2071" s="26">
        <v>1</v>
      </c>
      <c r="D2071" s="27" t="s">
        <v>725</v>
      </c>
      <c r="E2071" s="26">
        <v>3.85</v>
      </c>
      <c r="F2071" s="28" t="s">
        <v>726</v>
      </c>
      <c r="G2071" s="26">
        <f t="shared" si="49"/>
        <v>4</v>
      </c>
      <c r="H2071" t="s">
        <v>4944</v>
      </c>
    </row>
    <row r="2072" spans="1:8" ht="45" x14ac:dyDescent="0.25">
      <c r="A2072" s="21" t="s">
        <v>4946</v>
      </c>
      <c r="B2072" s="25" t="s">
        <v>4948</v>
      </c>
      <c r="C2072" s="26">
        <v>1</v>
      </c>
      <c r="D2072" s="27" t="s">
        <v>4920</v>
      </c>
      <c r="E2072" s="26">
        <v>0.85</v>
      </c>
      <c r="F2072" s="28" t="s">
        <v>4949</v>
      </c>
      <c r="G2072" s="26">
        <f t="shared" si="49"/>
        <v>1</v>
      </c>
      <c r="H2072" t="s">
        <v>4947</v>
      </c>
    </row>
    <row r="2073" spans="1:8" ht="45" x14ac:dyDescent="0.25">
      <c r="A2073" s="21" t="s">
        <v>4950</v>
      </c>
      <c r="B2073" s="25" t="s">
        <v>4951</v>
      </c>
      <c r="C2073" s="26">
        <v>1</v>
      </c>
      <c r="D2073" s="27" t="s">
        <v>4920</v>
      </c>
      <c r="E2073" s="26">
        <v>0.85</v>
      </c>
      <c r="F2073" s="28" t="s">
        <v>4952</v>
      </c>
      <c r="G2073" s="26">
        <f t="shared" si="49"/>
        <v>1</v>
      </c>
      <c r="H2073" t="s">
        <v>4951</v>
      </c>
    </row>
    <row r="2074" spans="1:8" ht="30" x14ac:dyDescent="0.25">
      <c r="A2074" s="21" t="s">
        <v>4953</v>
      </c>
      <c r="B2074" s="25" t="s">
        <v>4955</v>
      </c>
      <c r="C2074" s="26">
        <v>1</v>
      </c>
      <c r="D2074" s="27" t="s">
        <v>725</v>
      </c>
      <c r="E2074" s="26">
        <v>4.6500000000000004</v>
      </c>
      <c r="F2074" s="28" t="s">
        <v>726</v>
      </c>
      <c r="G2074" s="26">
        <f t="shared" si="49"/>
        <v>5</v>
      </c>
      <c r="H2074" t="s">
        <v>4954</v>
      </c>
    </row>
    <row r="2075" spans="1:8" ht="45" x14ac:dyDescent="0.25">
      <c r="A2075" s="21" t="s">
        <v>4956</v>
      </c>
      <c r="B2075" s="25" t="s">
        <v>4958</v>
      </c>
      <c r="C2075" s="26"/>
      <c r="D2075" s="27"/>
      <c r="E2075" s="26"/>
      <c r="F2075" s="28"/>
      <c r="G2075" s="26"/>
      <c r="H2075" t="s">
        <v>4957</v>
      </c>
    </row>
    <row r="2076" spans="1:8" ht="30" x14ac:dyDescent="0.25">
      <c r="A2076" s="21" t="s">
        <v>4959</v>
      </c>
      <c r="B2076" s="25" t="s">
        <v>4961</v>
      </c>
      <c r="C2076" s="26">
        <v>1</v>
      </c>
      <c r="D2076" s="27" t="s">
        <v>15</v>
      </c>
      <c r="E2076" s="26">
        <v>73.400000000000006</v>
      </c>
      <c r="F2076" s="28" t="s">
        <v>16</v>
      </c>
      <c r="G2076" s="26">
        <f t="shared" ref="G2076:G2081" si="50">ROUND(C2076*E2076,0)</f>
        <v>73</v>
      </c>
      <c r="H2076" t="s">
        <v>4960</v>
      </c>
    </row>
    <row r="2077" spans="1:8" ht="30" x14ac:dyDescent="0.25">
      <c r="A2077" s="21" t="s">
        <v>4962</v>
      </c>
      <c r="B2077" s="25" t="s">
        <v>4964</v>
      </c>
      <c r="C2077" s="26">
        <v>1</v>
      </c>
      <c r="D2077" s="27" t="s">
        <v>15</v>
      </c>
      <c r="E2077" s="26">
        <v>113.35</v>
      </c>
      <c r="F2077" s="28" t="s">
        <v>16</v>
      </c>
      <c r="G2077" s="26">
        <f t="shared" si="50"/>
        <v>113</v>
      </c>
      <c r="H2077" t="s">
        <v>4963</v>
      </c>
    </row>
    <row r="2078" spans="1:8" ht="60" x14ac:dyDescent="0.25">
      <c r="A2078" s="21" t="s">
        <v>4965</v>
      </c>
      <c r="B2078" s="25" t="s">
        <v>4967</v>
      </c>
      <c r="C2078" s="26">
        <v>1</v>
      </c>
      <c r="D2078" s="27" t="s">
        <v>21</v>
      </c>
      <c r="E2078" s="26">
        <v>1317.65</v>
      </c>
      <c r="F2078" s="28" t="s">
        <v>22</v>
      </c>
      <c r="G2078" s="26">
        <f t="shared" si="50"/>
        <v>1318</v>
      </c>
      <c r="H2078" t="s">
        <v>4966</v>
      </c>
    </row>
    <row r="2079" spans="1:8" ht="60" x14ac:dyDescent="0.25">
      <c r="A2079" s="21" t="s">
        <v>4968</v>
      </c>
      <c r="B2079" s="25" t="s">
        <v>4970</v>
      </c>
      <c r="C2079" s="26">
        <v>1</v>
      </c>
      <c r="D2079" s="27" t="s">
        <v>15</v>
      </c>
      <c r="E2079" s="26">
        <v>266.45</v>
      </c>
      <c r="F2079" s="28" t="s">
        <v>16</v>
      </c>
      <c r="G2079" s="26">
        <f t="shared" si="50"/>
        <v>266</v>
      </c>
      <c r="H2079" t="s">
        <v>4969</v>
      </c>
    </row>
    <row r="2080" spans="1:8" ht="60" x14ac:dyDescent="0.25">
      <c r="A2080" s="21" t="s">
        <v>4971</v>
      </c>
      <c r="B2080" s="25" t="s">
        <v>4973</v>
      </c>
      <c r="C2080" s="26">
        <v>1</v>
      </c>
      <c r="D2080" s="27" t="s">
        <v>15</v>
      </c>
      <c r="E2080" s="26">
        <v>105.35</v>
      </c>
      <c r="F2080" s="28" t="s">
        <v>16</v>
      </c>
      <c r="G2080" s="26">
        <f t="shared" si="50"/>
        <v>105</v>
      </c>
      <c r="H2080" t="s">
        <v>4972</v>
      </c>
    </row>
    <row r="2081" spans="1:8" ht="30" x14ac:dyDescent="0.25">
      <c r="A2081" s="21" t="s">
        <v>4974</v>
      </c>
      <c r="B2081" s="25" t="s">
        <v>4976</v>
      </c>
      <c r="C2081" s="26">
        <v>1</v>
      </c>
      <c r="D2081" s="27" t="s">
        <v>21</v>
      </c>
      <c r="E2081" s="26">
        <v>914.3</v>
      </c>
      <c r="F2081" s="28" t="s">
        <v>22</v>
      </c>
      <c r="G2081" s="26">
        <f t="shared" si="50"/>
        <v>914</v>
      </c>
      <c r="H2081" t="s">
        <v>4975</v>
      </c>
    </row>
    <row r="2082" spans="1:8" ht="45" x14ac:dyDescent="0.25">
      <c r="A2082" s="21" t="s">
        <v>4977</v>
      </c>
      <c r="B2082" s="25" t="s">
        <v>4979</v>
      </c>
      <c r="C2082" s="26"/>
      <c r="D2082" s="27"/>
      <c r="E2082" s="26"/>
      <c r="F2082" s="28"/>
      <c r="G2082" s="26"/>
      <c r="H2082" t="s">
        <v>4978</v>
      </c>
    </row>
    <row r="2083" spans="1:8" ht="30" x14ac:dyDescent="0.25">
      <c r="A2083" s="21" t="s">
        <v>4980</v>
      </c>
      <c r="B2083" s="25" t="s">
        <v>4982</v>
      </c>
      <c r="C2083" s="26">
        <v>1</v>
      </c>
      <c r="D2083" s="27" t="s">
        <v>15</v>
      </c>
      <c r="E2083" s="26">
        <v>164.95</v>
      </c>
      <c r="F2083" s="28" t="s">
        <v>16</v>
      </c>
      <c r="G2083" s="26">
        <f t="shared" ref="G2083:G2089" si="51">ROUND(C2083*E2083,0)</f>
        <v>165</v>
      </c>
      <c r="H2083" t="s">
        <v>4981</v>
      </c>
    </row>
    <row r="2084" spans="1:8" ht="30" x14ac:dyDescent="0.25">
      <c r="A2084" s="21" t="s">
        <v>4983</v>
      </c>
      <c r="B2084" s="25" t="s">
        <v>4985</v>
      </c>
      <c r="C2084" s="26">
        <v>1</v>
      </c>
      <c r="D2084" s="27" t="s">
        <v>15</v>
      </c>
      <c r="E2084" s="26">
        <v>77.3</v>
      </c>
      <c r="F2084" s="28" t="s">
        <v>16</v>
      </c>
      <c r="G2084" s="26">
        <f t="shared" si="51"/>
        <v>77</v>
      </c>
      <c r="H2084" t="s">
        <v>4984</v>
      </c>
    </row>
    <row r="2085" spans="1:8" ht="75" x14ac:dyDescent="0.25">
      <c r="A2085" s="21" t="s">
        <v>4986</v>
      </c>
      <c r="B2085" s="25" t="s">
        <v>4988</v>
      </c>
      <c r="C2085" s="26">
        <v>1</v>
      </c>
      <c r="D2085" s="27" t="s">
        <v>21</v>
      </c>
      <c r="E2085" s="26">
        <v>2664.65</v>
      </c>
      <c r="F2085" s="28" t="s">
        <v>22</v>
      </c>
      <c r="G2085" s="26">
        <f t="shared" si="51"/>
        <v>2665</v>
      </c>
      <c r="H2085" t="s">
        <v>4987</v>
      </c>
    </row>
    <row r="2086" spans="1:8" ht="45" x14ac:dyDescent="0.25">
      <c r="A2086" s="21" t="s">
        <v>4989</v>
      </c>
      <c r="B2086" s="25" t="s">
        <v>4991</v>
      </c>
      <c r="C2086" s="26">
        <v>1</v>
      </c>
      <c r="D2086" s="27" t="s">
        <v>15</v>
      </c>
      <c r="E2086" s="26">
        <v>253.9</v>
      </c>
      <c r="F2086" s="28" t="s">
        <v>16</v>
      </c>
      <c r="G2086" s="26">
        <f t="shared" si="51"/>
        <v>254</v>
      </c>
      <c r="H2086" t="s">
        <v>4990</v>
      </c>
    </row>
    <row r="2087" spans="1:8" ht="60" x14ac:dyDescent="0.25">
      <c r="A2087" s="21" t="s">
        <v>4992</v>
      </c>
      <c r="B2087" s="25" t="s">
        <v>4994</v>
      </c>
      <c r="C2087" s="26">
        <v>1</v>
      </c>
      <c r="D2087" s="27" t="s">
        <v>15</v>
      </c>
      <c r="E2087" s="26">
        <v>209.9</v>
      </c>
      <c r="F2087" s="28" t="s">
        <v>16</v>
      </c>
      <c r="G2087" s="26">
        <f t="shared" si="51"/>
        <v>210</v>
      </c>
      <c r="H2087" t="s">
        <v>4993</v>
      </c>
    </row>
    <row r="2088" spans="1:8" ht="60" x14ac:dyDescent="0.25">
      <c r="A2088" s="21" t="s">
        <v>4995</v>
      </c>
      <c r="B2088" s="25" t="s">
        <v>4997</v>
      </c>
      <c r="C2088" s="26">
        <v>1</v>
      </c>
      <c r="D2088" s="27" t="s">
        <v>15</v>
      </c>
      <c r="E2088" s="26">
        <v>57.7</v>
      </c>
      <c r="F2088" s="28" t="s">
        <v>16</v>
      </c>
      <c r="G2088" s="26">
        <f t="shared" si="51"/>
        <v>58</v>
      </c>
      <c r="H2088" t="s">
        <v>4996</v>
      </c>
    </row>
    <row r="2089" spans="1:8" ht="45" x14ac:dyDescent="0.25">
      <c r="A2089" s="21" t="s">
        <v>4998</v>
      </c>
      <c r="B2089" s="25" t="s">
        <v>5000</v>
      </c>
      <c r="C2089" s="26">
        <v>1</v>
      </c>
      <c r="D2089" s="27" t="s">
        <v>110</v>
      </c>
      <c r="E2089" s="26">
        <v>20.95</v>
      </c>
      <c r="F2089" s="28" t="s">
        <v>618</v>
      </c>
      <c r="G2089" s="26">
        <f t="shared" si="51"/>
        <v>21</v>
      </c>
      <c r="H2089" t="s">
        <v>4999</v>
      </c>
    </row>
    <row r="2090" spans="1:8" ht="45" x14ac:dyDescent="0.25">
      <c r="A2090" s="21" t="s">
        <v>5001</v>
      </c>
      <c r="B2090" s="25" t="s">
        <v>5003</v>
      </c>
      <c r="C2090" s="26"/>
      <c r="D2090" s="27"/>
      <c r="E2090" s="26"/>
      <c r="F2090" s="28"/>
      <c r="G2090" s="26"/>
      <c r="H2090" t="s">
        <v>5002</v>
      </c>
    </row>
    <row r="2091" spans="1:8" x14ac:dyDescent="0.25">
      <c r="A2091" s="21" t="s">
        <v>5004</v>
      </c>
      <c r="B2091" s="25" t="s">
        <v>5006</v>
      </c>
      <c r="C2091" s="26">
        <v>1</v>
      </c>
      <c r="D2091" s="27" t="s">
        <v>201</v>
      </c>
      <c r="E2091" s="26">
        <v>230.9</v>
      </c>
      <c r="F2091" s="28" t="s">
        <v>202</v>
      </c>
      <c r="G2091" s="26">
        <f t="shared" ref="G2091:G2096" si="52">ROUND(C2091*E2091,0)</f>
        <v>231</v>
      </c>
      <c r="H2091" t="s">
        <v>5005</v>
      </c>
    </row>
    <row r="2092" spans="1:8" x14ac:dyDescent="0.25">
      <c r="A2092" s="21" t="s">
        <v>5007</v>
      </c>
      <c r="B2092" s="25" t="s">
        <v>5009</v>
      </c>
      <c r="C2092" s="26">
        <v>1</v>
      </c>
      <c r="D2092" s="27" t="s">
        <v>201</v>
      </c>
      <c r="E2092" s="26">
        <v>243.3</v>
      </c>
      <c r="F2092" s="28" t="s">
        <v>202</v>
      </c>
      <c r="G2092" s="26">
        <f t="shared" si="52"/>
        <v>243</v>
      </c>
      <c r="H2092" t="s">
        <v>5008</v>
      </c>
    </row>
    <row r="2093" spans="1:8" ht="45" x14ac:dyDescent="0.25">
      <c r="A2093" s="21" t="s">
        <v>5010</v>
      </c>
      <c r="B2093" s="25" t="s">
        <v>5012</v>
      </c>
      <c r="C2093" s="26">
        <v>1</v>
      </c>
      <c r="D2093" s="27" t="s">
        <v>201</v>
      </c>
      <c r="E2093" s="26">
        <v>13.45</v>
      </c>
      <c r="F2093" s="28" t="s">
        <v>202</v>
      </c>
      <c r="G2093" s="26">
        <f t="shared" si="52"/>
        <v>13</v>
      </c>
      <c r="H2093" t="s">
        <v>5011</v>
      </c>
    </row>
    <row r="2094" spans="1:8" ht="45" x14ac:dyDescent="0.25">
      <c r="A2094" s="21" t="s">
        <v>5013</v>
      </c>
      <c r="B2094" s="25" t="s">
        <v>5015</v>
      </c>
      <c r="C2094" s="26">
        <v>1</v>
      </c>
      <c r="D2094" s="27" t="s">
        <v>725</v>
      </c>
      <c r="E2094" s="26">
        <v>36.799999999999997</v>
      </c>
      <c r="F2094" s="28" t="s">
        <v>726</v>
      </c>
      <c r="G2094" s="26">
        <f t="shared" si="52"/>
        <v>37</v>
      </c>
      <c r="H2094" t="s">
        <v>5014</v>
      </c>
    </row>
    <row r="2095" spans="1:8" ht="45" x14ac:dyDescent="0.25">
      <c r="A2095" s="21" t="s">
        <v>5016</v>
      </c>
      <c r="B2095" s="25" t="s">
        <v>5018</v>
      </c>
      <c r="C2095" s="26">
        <v>1</v>
      </c>
      <c r="D2095" s="27" t="s">
        <v>15</v>
      </c>
      <c r="E2095" s="26">
        <v>64.849999999999994</v>
      </c>
      <c r="F2095" s="28" t="s">
        <v>16</v>
      </c>
      <c r="G2095" s="26">
        <f t="shared" si="52"/>
        <v>65</v>
      </c>
      <c r="H2095" t="s">
        <v>5017</v>
      </c>
    </row>
    <row r="2096" spans="1:8" ht="45" x14ac:dyDescent="0.25">
      <c r="A2096" s="21" t="s">
        <v>5019</v>
      </c>
      <c r="B2096" s="25" t="s">
        <v>5021</v>
      </c>
      <c r="C2096" s="26">
        <v>1</v>
      </c>
      <c r="D2096" s="27" t="s">
        <v>15</v>
      </c>
      <c r="E2096" s="26">
        <v>75.8</v>
      </c>
      <c r="F2096" s="28" t="s">
        <v>16</v>
      </c>
      <c r="G2096" s="26">
        <f t="shared" si="52"/>
        <v>76</v>
      </c>
      <c r="H2096" t="s">
        <v>5020</v>
      </c>
    </row>
    <row r="2097" spans="1:8" ht="45" x14ac:dyDescent="0.25">
      <c r="A2097" s="21" t="s">
        <v>5022</v>
      </c>
      <c r="B2097" s="25" t="s">
        <v>5024</v>
      </c>
      <c r="C2097" s="26"/>
      <c r="D2097" s="27"/>
      <c r="E2097" s="26"/>
      <c r="F2097" s="28"/>
      <c r="G2097" s="26"/>
      <c r="H2097" t="s">
        <v>5023</v>
      </c>
    </row>
    <row r="2098" spans="1:8" ht="30" x14ac:dyDescent="0.25">
      <c r="A2098" s="21" t="s">
        <v>5025</v>
      </c>
      <c r="B2098" s="25" t="s">
        <v>5027</v>
      </c>
      <c r="C2098" s="26">
        <v>1</v>
      </c>
      <c r="D2098" s="27" t="s">
        <v>15</v>
      </c>
      <c r="E2098" s="26">
        <v>61</v>
      </c>
      <c r="F2098" s="28" t="s">
        <v>16</v>
      </c>
      <c r="G2098" s="26">
        <f>ROUND(C2098*E2098,0)</f>
        <v>61</v>
      </c>
      <c r="H2098" t="s">
        <v>5026</v>
      </c>
    </row>
    <row r="2099" spans="1:8" ht="30" x14ac:dyDescent="0.25">
      <c r="A2099" s="21" t="s">
        <v>5028</v>
      </c>
      <c r="B2099" s="25" t="s">
        <v>5030</v>
      </c>
      <c r="C2099" s="26">
        <v>1</v>
      </c>
      <c r="D2099" s="27" t="s">
        <v>15</v>
      </c>
      <c r="E2099" s="26">
        <v>77.75</v>
      </c>
      <c r="F2099" s="28" t="s">
        <v>16</v>
      </c>
      <c r="G2099" s="26">
        <f>ROUND(C2099*E2099,0)</f>
        <v>78</v>
      </c>
      <c r="H2099" t="s">
        <v>5029</v>
      </c>
    </row>
    <row r="2100" spans="1:8" ht="30" x14ac:dyDescent="0.25">
      <c r="A2100" s="21" t="s">
        <v>5031</v>
      </c>
      <c r="B2100" s="25" t="s">
        <v>5033</v>
      </c>
      <c r="C2100" s="26">
        <v>1</v>
      </c>
      <c r="D2100" s="27" t="s">
        <v>15</v>
      </c>
      <c r="E2100" s="26">
        <v>90.35</v>
      </c>
      <c r="F2100" s="28" t="s">
        <v>16</v>
      </c>
      <c r="G2100" s="26">
        <f>ROUND(C2100*E2100,0)</f>
        <v>90</v>
      </c>
      <c r="H2100" t="s">
        <v>5032</v>
      </c>
    </row>
    <row r="2101" spans="1:8" ht="45" x14ac:dyDescent="0.25">
      <c r="A2101" s="21" t="s">
        <v>5034</v>
      </c>
      <c r="B2101" s="25" t="s">
        <v>5036</v>
      </c>
      <c r="C2101" s="26"/>
      <c r="D2101" s="27"/>
      <c r="E2101" s="26"/>
      <c r="F2101" s="28"/>
      <c r="G2101" s="26"/>
      <c r="H2101" t="s">
        <v>5035</v>
      </c>
    </row>
    <row r="2102" spans="1:8" ht="30" x14ac:dyDescent="0.25">
      <c r="A2102" s="21" t="s">
        <v>5037</v>
      </c>
      <c r="B2102" s="25" t="s">
        <v>5039</v>
      </c>
      <c r="C2102" s="26">
        <v>1</v>
      </c>
      <c r="D2102" s="27" t="s">
        <v>15</v>
      </c>
      <c r="E2102" s="26">
        <v>289.3</v>
      </c>
      <c r="F2102" s="28" t="s">
        <v>16</v>
      </c>
      <c r="G2102" s="26">
        <f>ROUND(C2102*E2102,0)</f>
        <v>289</v>
      </c>
      <c r="H2102" t="s">
        <v>5038</v>
      </c>
    </row>
    <row r="2103" spans="1:8" ht="30" x14ac:dyDescent="0.25">
      <c r="A2103" s="21" t="s">
        <v>5040</v>
      </c>
      <c r="B2103" s="25" t="s">
        <v>5042</v>
      </c>
      <c r="C2103" s="26">
        <v>1</v>
      </c>
      <c r="D2103" s="27" t="s">
        <v>15</v>
      </c>
      <c r="E2103" s="26">
        <v>433.55</v>
      </c>
      <c r="F2103" s="28" t="s">
        <v>16</v>
      </c>
      <c r="G2103" s="26">
        <f>ROUND(C2103*E2103,0)</f>
        <v>434</v>
      </c>
      <c r="H2103" t="s">
        <v>5041</v>
      </c>
    </row>
    <row r="2104" spans="1:8" ht="60" x14ac:dyDescent="0.25">
      <c r="A2104" s="21" t="s">
        <v>5043</v>
      </c>
      <c r="B2104" s="25" t="s">
        <v>5045</v>
      </c>
      <c r="C2104" s="26">
        <v>1</v>
      </c>
      <c r="D2104" s="27" t="s">
        <v>15</v>
      </c>
      <c r="E2104" s="26">
        <v>56.35</v>
      </c>
      <c r="F2104" s="28" t="s">
        <v>16</v>
      </c>
      <c r="G2104" s="26">
        <f>ROUND(C2104*E2104,0)</f>
        <v>56</v>
      </c>
      <c r="H2104" t="s">
        <v>5044</v>
      </c>
    </row>
    <row r="2105" spans="1:8" ht="45" x14ac:dyDescent="0.25">
      <c r="A2105" s="21" t="s">
        <v>5046</v>
      </c>
      <c r="B2105" s="25" t="s">
        <v>5048</v>
      </c>
      <c r="C2105" s="26"/>
      <c r="D2105" s="27"/>
      <c r="E2105" s="26"/>
      <c r="F2105" s="28"/>
      <c r="G2105" s="26"/>
      <c r="H2105" t="s">
        <v>5047</v>
      </c>
    </row>
    <row r="2106" spans="1:8" ht="45" x14ac:dyDescent="0.25">
      <c r="A2106" s="21" t="s">
        <v>5049</v>
      </c>
      <c r="B2106" s="25" t="s">
        <v>5051</v>
      </c>
      <c r="C2106" s="26">
        <v>1</v>
      </c>
      <c r="D2106" s="27" t="s">
        <v>110</v>
      </c>
      <c r="E2106" s="26">
        <v>75.7</v>
      </c>
      <c r="F2106" s="28" t="s">
        <v>618</v>
      </c>
      <c r="G2106" s="26">
        <f>ROUND(C2106*E2106,0)</f>
        <v>76</v>
      </c>
      <c r="H2106" t="s">
        <v>5050</v>
      </c>
    </row>
    <row r="2107" spans="1:8" ht="45" x14ac:dyDescent="0.25">
      <c r="A2107" s="21" t="s">
        <v>5052</v>
      </c>
      <c r="B2107" s="25" t="s">
        <v>5053</v>
      </c>
      <c r="C2107" s="26">
        <v>1</v>
      </c>
      <c r="D2107" s="27" t="s">
        <v>110</v>
      </c>
      <c r="E2107" s="26">
        <v>78</v>
      </c>
      <c r="F2107" s="28" t="s">
        <v>618</v>
      </c>
      <c r="G2107" s="26">
        <f>ROUND(C2107*E2107,0)</f>
        <v>78</v>
      </c>
      <c r="H2107" t="s">
        <v>3685</v>
      </c>
    </row>
    <row r="2108" spans="1:8" ht="45" x14ac:dyDescent="0.25">
      <c r="A2108" s="21" t="s">
        <v>5054</v>
      </c>
      <c r="B2108" s="25" t="s">
        <v>5056</v>
      </c>
      <c r="C2108" s="26">
        <v>1</v>
      </c>
      <c r="D2108" s="27" t="s">
        <v>110</v>
      </c>
      <c r="E2108" s="26">
        <v>80.25</v>
      </c>
      <c r="F2108" s="28" t="s">
        <v>618</v>
      </c>
      <c r="G2108" s="26">
        <f>ROUND(C2108*E2108,0)</f>
        <v>80</v>
      </c>
      <c r="H2108" t="s">
        <v>5055</v>
      </c>
    </row>
    <row r="2109" spans="1:8" ht="75" x14ac:dyDescent="0.25">
      <c r="A2109" s="21" t="s">
        <v>5057</v>
      </c>
      <c r="B2109" s="25" t="s">
        <v>5059</v>
      </c>
      <c r="C2109" s="26"/>
      <c r="D2109" s="27"/>
      <c r="E2109" s="26"/>
      <c r="F2109" s="28"/>
      <c r="G2109" s="26"/>
      <c r="H2109" t="s">
        <v>5058</v>
      </c>
    </row>
    <row r="2110" spans="1:8" ht="30" x14ac:dyDescent="0.25">
      <c r="A2110" s="21" t="s">
        <v>5060</v>
      </c>
      <c r="B2110" s="25" t="s">
        <v>5062</v>
      </c>
      <c r="C2110" s="26">
        <v>1</v>
      </c>
      <c r="D2110" s="27" t="s">
        <v>15</v>
      </c>
      <c r="E2110" s="26">
        <v>217.45</v>
      </c>
      <c r="F2110" s="28" t="s">
        <v>16</v>
      </c>
      <c r="G2110" s="26">
        <f>ROUND(C2110*E2110,0)</f>
        <v>217</v>
      </c>
      <c r="H2110" t="s">
        <v>5061</v>
      </c>
    </row>
    <row r="2111" spans="1:8" ht="30" x14ac:dyDescent="0.25">
      <c r="A2111" s="21" t="s">
        <v>5063</v>
      </c>
      <c r="B2111" s="25" t="s">
        <v>5065</v>
      </c>
      <c r="C2111" s="26">
        <v>1</v>
      </c>
      <c r="D2111" s="27" t="s">
        <v>15</v>
      </c>
      <c r="E2111" s="26">
        <v>428.5</v>
      </c>
      <c r="F2111" s="28" t="s">
        <v>16</v>
      </c>
      <c r="G2111" s="26">
        <f>ROUND(C2111*E2111,0)</f>
        <v>429</v>
      </c>
      <c r="H2111" t="s">
        <v>5064</v>
      </c>
    </row>
    <row r="2112" spans="1:8" ht="75" x14ac:dyDescent="0.25">
      <c r="A2112" s="21" t="s">
        <v>5066</v>
      </c>
      <c r="B2112" s="25" t="s">
        <v>5068</v>
      </c>
      <c r="C2112" s="26"/>
      <c r="D2112" s="27"/>
      <c r="E2112" s="26"/>
      <c r="F2112" s="28"/>
      <c r="G2112" s="26"/>
      <c r="H2112" t="s">
        <v>5067</v>
      </c>
    </row>
    <row r="2113" spans="1:8" ht="45" x14ac:dyDescent="0.25">
      <c r="A2113" s="21" t="s">
        <v>5069</v>
      </c>
      <c r="B2113" s="25" t="s">
        <v>5071</v>
      </c>
      <c r="C2113" s="26">
        <v>1</v>
      </c>
      <c r="D2113" s="27" t="s">
        <v>110</v>
      </c>
      <c r="E2113" s="26">
        <v>149.80000000000001</v>
      </c>
      <c r="F2113" s="28" t="s">
        <v>618</v>
      </c>
      <c r="G2113" s="26">
        <f>ROUND(C2113*E2113,0)</f>
        <v>150</v>
      </c>
      <c r="H2113" t="s">
        <v>5070</v>
      </c>
    </row>
    <row r="2114" spans="1:8" ht="45" x14ac:dyDescent="0.25">
      <c r="A2114" s="21" t="s">
        <v>5072</v>
      </c>
      <c r="B2114" s="25" t="s">
        <v>5073</v>
      </c>
      <c r="C2114" s="26">
        <v>1</v>
      </c>
      <c r="D2114" s="27" t="s">
        <v>110</v>
      </c>
      <c r="E2114" s="26">
        <v>161.4</v>
      </c>
      <c r="F2114" s="28" t="s">
        <v>618</v>
      </c>
      <c r="G2114" s="26">
        <f>ROUND(C2114*E2114,0)</f>
        <v>161</v>
      </c>
      <c r="H2114" t="s">
        <v>5073</v>
      </c>
    </row>
    <row r="2115" spans="1:8" ht="105" x14ac:dyDescent="0.25">
      <c r="A2115" s="21" t="s">
        <v>5074</v>
      </c>
      <c r="B2115" s="25" t="s">
        <v>5076</v>
      </c>
      <c r="C2115" s="26"/>
      <c r="D2115" s="27"/>
      <c r="E2115" s="26"/>
      <c r="F2115" s="28"/>
      <c r="G2115" s="26"/>
      <c r="H2115" t="s">
        <v>5075</v>
      </c>
    </row>
    <row r="2116" spans="1:8" ht="45" x14ac:dyDescent="0.25">
      <c r="A2116" s="21" t="s">
        <v>5077</v>
      </c>
      <c r="B2116" s="25" t="s">
        <v>5079</v>
      </c>
      <c r="C2116" s="26">
        <v>1</v>
      </c>
      <c r="D2116" s="27" t="s">
        <v>110</v>
      </c>
      <c r="E2116" s="26">
        <v>332.4</v>
      </c>
      <c r="F2116" s="28" t="s">
        <v>618</v>
      </c>
      <c r="G2116" s="26">
        <f>ROUND(C2116*E2116,0)</f>
        <v>332</v>
      </c>
      <c r="H2116" t="s">
        <v>5078</v>
      </c>
    </row>
    <row r="2117" spans="1:8" ht="45" x14ac:dyDescent="0.25">
      <c r="A2117" s="21" t="s">
        <v>5080</v>
      </c>
      <c r="B2117" s="25" t="s">
        <v>5082</v>
      </c>
      <c r="C2117" s="26">
        <v>1</v>
      </c>
      <c r="D2117" s="27" t="s">
        <v>110</v>
      </c>
      <c r="E2117" s="26">
        <v>456.65</v>
      </c>
      <c r="F2117" s="28" t="s">
        <v>618</v>
      </c>
      <c r="G2117" s="26">
        <f>ROUND(C2117*E2117,0)</f>
        <v>457</v>
      </c>
      <c r="H2117" t="s">
        <v>5081</v>
      </c>
    </row>
    <row r="2118" spans="1:8" ht="45" x14ac:dyDescent="0.25">
      <c r="A2118" s="21" t="s">
        <v>5083</v>
      </c>
      <c r="B2118" s="25" t="s">
        <v>5085</v>
      </c>
      <c r="C2118" s="26">
        <v>1</v>
      </c>
      <c r="D2118" s="27" t="s">
        <v>110</v>
      </c>
      <c r="E2118" s="26">
        <v>614.29999999999995</v>
      </c>
      <c r="F2118" s="28" t="s">
        <v>618</v>
      </c>
      <c r="G2118" s="26">
        <f>ROUND(C2118*E2118,0)</f>
        <v>614</v>
      </c>
      <c r="H2118" t="s">
        <v>5084</v>
      </c>
    </row>
    <row r="2119" spans="1:8" ht="105" x14ac:dyDescent="0.25">
      <c r="A2119" s="21" t="s">
        <v>5086</v>
      </c>
      <c r="B2119" s="25" t="s">
        <v>5088</v>
      </c>
      <c r="C2119" s="26"/>
      <c r="D2119" s="27"/>
      <c r="E2119" s="26"/>
      <c r="F2119" s="28"/>
      <c r="G2119" s="26"/>
      <c r="H2119" t="s">
        <v>5087</v>
      </c>
    </row>
    <row r="2120" spans="1:8" ht="45" x14ac:dyDescent="0.25">
      <c r="A2120" s="21" t="s">
        <v>5089</v>
      </c>
      <c r="B2120" s="25" t="s">
        <v>5091</v>
      </c>
      <c r="C2120" s="26">
        <v>1</v>
      </c>
      <c r="D2120" s="27" t="s">
        <v>110</v>
      </c>
      <c r="E2120" s="26">
        <v>695.25</v>
      </c>
      <c r="F2120" s="28" t="s">
        <v>618</v>
      </c>
      <c r="G2120" s="26">
        <f>ROUND(C2120*E2120,0)</f>
        <v>695</v>
      </c>
      <c r="H2120" t="s">
        <v>5090</v>
      </c>
    </row>
    <row r="2121" spans="1:8" ht="45" x14ac:dyDescent="0.25">
      <c r="A2121" s="21" t="s">
        <v>5092</v>
      </c>
      <c r="B2121" s="25" t="s">
        <v>5094</v>
      </c>
      <c r="C2121" s="26">
        <v>1</v>
      </c>
      <c r="D2121" s="27" t="s">
        <v>110</v>
      </c>
      <c r="E2121" s="26">
        <v>1752.45</v>
      </c>
      <c r="F2121" s="28" t="s">
        <v>618</v>
      </c>
      <c r="G2121" s="26">
        <f>ROUND(C2121*E2121,0)</f>
        <v>1752</v>
      </c>
      <c r="H2121" t="s">
        <v>5093</v>
      </c>
    </row>
    <row r="2122" spans="1:8" ht="75" x14ac:dyDescent="0.25">
      <c r="A2122" s="21" t="s">
        <v>5095</v>
      </c>
      <c r="B2122" s="25" t="s">
        <v>5097</v>
      </c>
      <c r="C2122" s="26"/>
      <c r="D2122" s="27"/>
      <c r="E2122" s="26"/>
      <c r="F2122" s="28"/>
      <c r="G2122" s="26"/>
      <c r="H2122" t="s">
        <v>5096</v>
      </c>
    </row>
    <row r="2123" spans="1:8" ht="45" x14ac:dyDescent="0.25">
      <c r="A2123" s="21" t="s">
        <v>5098</v>
      </c>
      <c r="B2123" s="25" t="s">
        <v>5079</v>
      </c>
      <c r="C2123" s="26">
        <v>1</v>
      </c>
      <c r="D2123" s="27" t="s">
        <v>110</v>
      </c>
      <c r="E2123" s="26">
        <v>332.15</v>
      </c>
      <c r="F2123" s="28" t="s">
        <v>618</v>
      </c>
      <c r="G2123" s="26">
        <f t="shared" ref="G2123:G2129" si="53">ROUND(C2123*E2123,0)</f>
        <v>332</v>
      </c>
      <c r="H2123" t="s">
        <v>5078</v>
      </c>
    </row>
    <row r="2124" spans="1:8" ht="45" x14ac:dyDescent="0.25">
      <c r="A2124" s="21" t="s">
        <v>5099</v>
      </c>
      <c r="B2124" s="25" t="s">
        <v>5101</v>
      </c>
      <c r="C2124" s="26">
        <v>1</v>
      </c>
      <c r="D2124" s="27" t="s">
        <v>110</v>
      </c>
      <c r="E2124" s="26">
        <v>403.05</v>
      </c>
      <c r="F2124" s="28" t="s">
        <v>618</v>
      </c>
      <c r="G2124" s="26">
        <f t="shared" si="53"/>
        <v>403</v>
      </c>
      <c r="H2124" t="s">
        <v>5100</v>
      </c>
    </row>
    <row r="2125" spans="1:8" ht="105" x14ac:dyDescent="0.25">
      <c r="A2125" s="21" t="s">
        <v>5102</v>
      </c>
      <c r="B2125" s="25" t="s">
        <v>5104</v>
      </c>
      <c r="C2125" s="26">
        <v>1</v>
      </c>
      <c r="D2125" s="27" t="s">
        <v>201</v>
      </c>
      <c r="E2125" s="26">
        <v>697.4</v>
      </c>
      <c r="F2125" s="28" t="s">
        <v>202</v>
      </c>
      <c r="G2125" s="26">
        <f t="shared" si="53"/>
        <v>697</v>
      </c>
      <c r="H2125" t="s">
        <v>5103</v>
      </c>
    </row>
    <row r="2126" spans="1:8" ht="105" x14ac:dyDescent="0.25">
      <c r="A2126" s="21" t="s">
        <v>5105</v>
      </c>
      <c r="B2126" s="25" t="s">
        <v>5107</v>
      </c>
      <c r="C2126" s="26">
        <v>1</v>
      </c>
      <c r="D2126" s="27" t="s">
        <v>201</v>
      </c>
      <c r="E2126" s="26">
        <v>406.75</v>
      </c>
      <c r="F2126" s="28" t="s">
        <v>202</v>
      </c>
      <c r="G2126" s="26">
        <f t="shared" si="53"/>
        <v>407</v>
      </c>
      <c r="H2126" t="s">
        <v>5106</v>
      </c>
    </row>
    <row r="2127" spans="1:8" ht="90" x14ac:dyDescent="0.25">
      <c r="A2127" s="21" t="s">
        <v>5108</v>
      </c>
      <c r="B2127" s="25" t="s">
        <v>5110</v>
      </c>
      <c r="C2127" s="26">
        <v>1</v>
      </c>
      <c r="D2127" s="27" t="s">
        <v>201</v>
      </c>
      <c r="E2127" s="26">
        <v>4623.7</v>
      </c>
      <c r="F2127" s="28" t="s">
        <v>202</v>
      </c>
      <c r="G2127" s="26">
        <f t="shared" si="53"/>
        <v>4624</v>
      </c>
      <c r="H2127" t="s">
        <v>5109</v>
      </c>
    </row>
    <row r="2128" spans="1:8" ht="90" x14ac:dyDescent="0.25">
      <c r="A2128" s="21" t="s">
        <v>5111</v>
      </c>
      <c r="B2128" s="25" t="s">
        <v>5113</v>
      </c>
      <c r="C2128" s="26">
        <v>1</v>
      </c>
      <c r="D2128" s="27" t="s">
        <v>201</v>
      </c>
      <c r="E2128" s="26">
        <v>958.75</v>
      </c>
      <c r="F2128" s="28" t="s">
        <v>202</v>
      </c>
      <c r="G2128" s="26">
        <f t="shared" si="53"/>
        <v>959</v>
      </c>
      <c r="H2128" t="s">
        <v>5112</v>
      </c>
    </row>
    <row r="2129" spans="1:8" ht="60" x14ac:dyDescent="0.25">
      <c r="A2129" s="21" t="s">
        <v>5114</v>
      </c>
      <c r="B2129" s="25" t="s">
        <v>5116</v>
      </c>
      <c r="C2129" s="26">
        <v>1</v>
      </c>
      <c r="D2129" s="27" t="s">
        <v>201</v>
      </c>
      <c r="E2129" s="26">
        <v>112.05</v>
      </c>
      <c r="F2129" s="28" t="s">
        <v>202</v>
      </c>
      <c r="G2129" s="26">
        <f t="shared" si="53"/>
        <v>112</v>
      </c>
      <c r="H2129" t="s">
        <v>5115</v>
      </c>
    </row>
    <row r="2130" spans="1:8" ht="30" x14ac:dyDescent="0.25">
      <c r="A2130" s="21" t="s">
        <v>5117</v>
      </c>
      <c r="B2130" s="25" t="s">
        <v>5119</v>
      </c>
      <c r="C2130" s="26"/>
      <c r="D2130" s="27"/>
      <c r="E2130" s="26"/>
      <c r="F2130" s="28"/>
      <c r="G2130" s="26"/>
      <c r="H2130" t="s">
        <v>5118</v>
      </c>
    </row>
    <row r="2131" spans="1:8" x14ac:dyDescent="0.25">
      <c r="A2131" s="21" t="s">
        <v>5120</v>
      </c>
      <c r="B2131" s="25" t="s">
        <v>5079</v>
      </c>
      <c r="C2131" s="26">
        <v>1</v>
      </c>
      <c r="D2131" s="27" t="s">
        <v>201</v>
      </c>
      <c r="E2131" s="26">
        <v>319.5</v>
      </c>
      <c r="F2131" s="28" t="s">
        <v>202</v>
      </c>
      <c r="G2131" s="26">
        <f>ROUND(C2131*E2131,0)</f>
        <v>320</v>
      </c>
      <c r="H2131" t="s">
        <v>5079</v>
      </c>
    </row>
    <row r="2132" spans="1:8" x14ac:dyDescent="0.25">
      <c r="A2132" s="21" t="s">
        <v>5121</v>
      </c>
      <c r="B2132" s="25" t="s">
        <v>5101</v>
      </c>
      <c r="C2132" s="26">
        <v>1</v>
      </c>
      <c r="D2132" s="27" t="s">
        <v>201</v>
      </c>
      <c r="E2132" s="26">
        <v>1184.1500000000001</v>
      </c>
      <c r="F2132" s="28" t="s">
        <v>202</v>
      </c>
      <c r="G2132" s="26">
        <f>ROUND(C2132*E2132,0)</f>
        <v>1184</v>
      </c>
      <c r="H2132" t="s">
        <v>5100</v>
      </c>
    </row>
    <row r="2133" spans="1:8" ht="45" x14ac:dyDescent="0.25">
      <c r="A2133" s="21" t="s">
        <v>5122</v>
      </c>
      <c r="B2133" s="25" t="s">
        <v>5124</v>
      </c>
      <c r="C2133" s="26">
        <v>1</v>
      </c>
      <c r="D2133" s="27" t="s">
        <v>201</v>
      </c>
      <c r="E2133" s="26">
        <v>726.35</v>
      </c>
      <c r="F2133" s="28" t="s">
        <v>202</v>
      </c>
      <c r="G2133" s="26">
        <f>ROUND(C2133*E2133,0)</f>
        <v>726</v>
      </c>
      <c r="H2133" t="s">
        <v>5123</v>
      </c>
    </row>
    <row r="2134" spans="1:8" ht="75" x14ac:dyDescent="0.25">
      <c r="A2134" s="21" t="s">
        <v>5125</v>
      </c>
      <c r="B2134" s="25" t="s">
        <v>5127</v>
      </c>
      <c r="C2134" s="26"/>
      <c r="D2134" s="27"/>
      <c r="E2134" s="26"/>
      <c r="F2134" s="28"/>
      <c r="G2134" s="26"/>
      <c r="H2134" t="s">
        <v>5126</v>
      </c>
    </row>
    <row r="2135" spans="1:8" x14ac:dyDescent="0.25">
      <c r="A2135" s="21" t="s">
        <v>5128</v>
      </c>
      <c r="B2135" s="25" t="s">
        <v>5130</v>
      </c>
      <c r="C2135" s="26">
        <v>1</v>
      </c>
      <c r="D2135" s="27" t="s">
        <v>201</v>
      </c>
      <c r="E2135" s="26">
        <v>1104.05</v>
      </c>
      <c r="F2135" s="28" t="s">
        <v>202</v>
      </c>
      <c r="G2135" s="26">
        <f t="shared" ref="G2135:G2142" si="54">ROUND(C2135*E2135,0)</f>
        <v>1104</v>
      </c>
      <c r="H2135" t="s">
        <v>5129</v>
      </c>
    </row>
    <row r="2136" spans="1:8" x14ac:dyDescent="0.25">
      <c r="A2136" s="21" t="s">
        <v>5131</v>
      </c>
      <c r="B2136" s="25" t="s">
        <v>5133</v>
      </c>
      <c r="C2136" s="26">
        <v>1</v>
      </c>
      <c r="D2136" s="27" t="s">
        <v>201</v>
      </c>
      <c r="E2136" s="26">
        <v>1693.35</v>
      </c>
      <c r="F2136" s="28" t="s">
        <v>202</v>
      </c>
      <c r="G2136" s="26">
        <f t="shared" si="54"/>
        <v>1693</v>
      </c>
      <c r="H2136" t="s">
        <v>5132</v>
      </c>
    </row>
    <row r="2137" spans="1:8" x14ac:dyDescent="0.25">
      <c r="A2137" s="21" t="s">
        <v>5134</v>
      </c>
      <c r="B2137" s="25" t="s">
        <v>5135</v>
      </c>
      <c r="C2137" s="26">
        <v>1</v>
      </c>
      <c r="D2137" s="27" t="s">
        <v>201</v>
      </c>
      <c r="E2137" s="26">
        <v>2396.9499999999998</v>
      </c>
      <c r="F2137" s="28" t="s">
        <v>202</v>
      </c>
      <c r="G2137" s="26">
        <f t="shared" si="54"/>
        <v>2397</v>
      </c>
      <c r="H2137" t="s">
        <v>5135</v>
      </c>
    </row>
    <row r="2138" spans="1:8" ht="60" x14ac:dyDescent="0.25">
      <c r="A2138" s="21" t="s">
        <v>5136</v>
      </c>
      <c r="B2138" s="25" t="s">
        <v>5138</v>
      </c>
      <c r="C2138" s="26">
        <v>1</v>
      </c>
      <c r="D2138" s="27" t="s">
        <v>15</v>
      </c>
      <c r="E2138" s="26">
        <v>54.65</v>
      </c>
      <c r="F2138" s="28" t="s">
        <v>16</v>
      </c>
      <c r="G2138" s="26">
        <f t="shared" si="54"/>
        <v>55</v>
      </c>
      <c r="H2138" t="s">
        <v>5137</v>
      </c>
    </row>
    <row r="2139" spans="1:8" ht="75" x14ac:dyDescent="0.25">
      <c r="A2139" s="21" t="s">
        <v>5139</v>
      </c>
      <c r="B2139" s="25" t="s">
        <v>5141</v>
      </c>
      <c r="C2139" s="26">
        <v>1</v>
      </c>
      <c r="D2139" s="27" t="s">
        <v>15</v>
      </c>
      <c r="E2139" s="26">
        <v>56.35</v>
      </c>
      <c r="F2139" s="28" t="s">
        <v>16</v>
      </c>
      <c r="G2139" s="26">
        <f t="shared" si="54"/>
        <v>56</v>
      </c>
      <c r="H2139" t="s">
        <v>5140</v>
      </c>
    </row>
    <row r="2140" spans="1:8" ht="90" x14ac:dyDescent="0.25">
      <c r="A2140" s="21" t="s">
        <v>5142</v>
      </c>
      <c r="B2140" s="25" t="s">
        <v>5144</v>
      </c>
      <c r="C2140" s="26">
        <v>1</v>
      </c>
      <c r="D2140" s="27" t="s">
        <v>21</v>
      </c>
      <c r="E2140" s="26">
        <v>2818.9</v>
      </c>
      <c r="F2140" s="28" t="s">
        <v>22</v>
      </c>
      <c r="G2140" s="26">
        <f t="shared" si="54"/>
        <v>2819</v>
      </c>
      <c r="H2140" t="s">
        <v>5143</v>
      </c>
    </row>
    <row r="2141" spans="1:8" ht="60" x14ac:dyDescent="0.25">
      <c r="A2141" s="21" t="s">
        <v>5145</v>
      </c>
      <c r="B2141" s="25" t="s">
        <v>5147</v>
      </c>
      <c r="C2141" s="26">
        <v>1</v>
      </c>
      <c r="D2141" s="27" t="s">
        <v>21</v>
      </c>
      <c r="E2141" s="26">
        <v>420.8</v>
      </c>
      <c r="F2141" s="28" t="s">
        <v>22</v>
      </c>
      <c r="G2141" s="26">
        <f t="shared" si="54"/>
        <v>421</v>
      </c>
      <c r="H2141" t="s">
        <v>5146</v>
      </c>
    </row>
    <row r="2142" spans="1:8" ht="105" x14ac:dyDescent="0.25">
      <c r="A2142" s="21" t="s">
        <v>5148</v>
      </c>
      <c r="B2142" s="25" t="s">
        <v>5150</v>
      </c>
      <c r="C2142" s="26">
        <v>1</v>
      </c>
      <c r="D2142" s="27" t="s">
        <v>21</v>
      </c>
      <c r="E2142" s="26">
        <v>263.95</v>
      </c>
      <c r="F2142" s="28" t="s">
        <v>22</v>
      </c>
      <c r="G2142" s="26">
        <f t="shared" si="54"/>
        <v>264</v>
      </c>
      <c r="H2142" t="s">
        <v>5149</v>
      </c>
    </row>
    <row r="2143" spans="1:8" x14ac:dyDescent="0.25">
      <c r="A2143" s="21"/>
      <c r="B2143" s="45" t="s">
        <v>5151</v>
      </c>
      <c r="C2143" s="45"/>
      <c r="D2143" s="45"/>
      <c r="E2143" s="45"/>
      <c r="F2143" s="45"/>
      <c r="G2143" s="29">
        <f>SUM(G2026:G2142)</f>
        <v>82595</v>
      </c>
    </row>
    <row r="2144" spans="1:8" x14ac:dyDescent="0.25">
      <c r="A2144" s="46" t="s">
        <v>5152</v>
      </c>
      <c r="B2144" s="47"/>
      <c r="C2144" s="47"/>
      <c r="D2144" s="47"/>
      <c r="E2144" s="47"/>
      <c r="F2144" s="47"/>
      <c r="G2144" s="47"/>
    </row>
    <row r="2145" spans="1:8" ht="105" x14ac:dyDescent="0.25">
      <c r="A2145" s="21" t="s">
        <v>5153</v>
      </c>
      <c r="B2145" s="25" t="s">
        <v>5155</v>
      </c>
      <c r="C2145" s="26">
        <v>1</v>
      </c>
      <c r="D2145" s="27" t="s">
        <v>15</v>
      </c>
      <c r="E2145" s="26">
        <v>218.9</v>
      </c>
      <c r="F2145" s="28" t="s">
        <v>16</v>
      </c>
      <c r="G2145" s="26">
        <f>ROUND(C2145*E2145,0)</f>
        <v>219</v>
      </c>
      <c r="H2145" t="s">
        <v>5154</v>
      </c>
    </row>
    <row r="2146" spans="1:8" ht="60" x14ac:dyDescent="0.25">
      <c r="A2146" s="21" t="s">
        <v>5156</v>
      </c>
      <c r="B2146" s="25" t="s">
        <v>5158</v>
      </c>
      <c r="C2146" s="26">
        <v>1</v>
      </c>
      <c r="D2146" s="27" t="s">
        <v>21</v>
      </c>
      <c r="E2146" s="26">
        <v>24.85</v>
      </c>
      <c r="F2146" s="28" t="s">
        <v>22</v>
      </c>
      <c r="G2146" s="26">
        <f>ROUND(C2146*E2146,0)</f>
        <v>25</v>
      </c>
      <c r="H2146" t="s">
        <v>5157</v>
      </c>
    </row>
    <row r="2147" spans="1:8" x14ac:dyDescent="0.25">
      <c r="A2147" s="21" t="s">
        <v>5159</v>
      </c>
      <c r="B2147" s="25" t="s">
        <v>5161</v>
      </c>
      <c r="C2147" s="26"/>
      <c r="D2147" s="27"/>
      <c r="E2147" s="26"/>
      <c r="F2147" s="28"/>
      <c r="G2147" s="26"/>
      <c r="H2147" t="s">
        <v>5160</v>
      </c>
    </row>
    <row r="2148" spans="1:8" ht="30" x14ac:dyDescent="0.25">
      <c r="A2148" s="21" t="s">
        <v>5162</v>
      </c>
      <c r="B2148" s="25" t="s">
        <v>5164</v>
      </c>
      <c r="C2148" s="26">
        <v>1</v>
      </c>
      <c r="D2148" s="27" t="s">
        <v>21</v>
      </c>
      <c r="E2148" s="26">
        <v>2098.4</v>
      </c>
      <c r="F2148" s="28" t="s">
        <v>22</v>
      </c>
      <c r="G2148" s="26">
        <f t="shared" ref="G2148:G2158" si="55">ROUND(C2148*E2148,0)</f>
        <v>2098</v>
      </c>
      <c r="H2148" t="s">
        <v>5163</v>
      </c>
    </row>
    <row r="2149" spans="1:8" ht="30" x14ac:dyDescent="0.25">
      <c r="A2149" s="21" t="s">
        <v>5165</v>
      </c>
      <c r="B2149" s="25" t="s">
        <v>5167</v>
      </c>
      <c r="C2149" s="26">
        <v>1</v>
      </c>
      <c r="D2149" s="27" t="s">
        <v>21</v>
      </c>
      <c r="E2149" s="26">
        <v>1636.05</v>
      </c>
      <c r="F2149" s="28" t="s">
        <v>22</v>
      </c>
      <c r="G2149" s="26">
        <f t="shared" si="55"/>
        <v>1636</v>
      </c>
      <c r="H2149" t="s">
        <v>5166</v>
      </c>
    </row>
    <row r="2150" spans="1:8" ht="30" x14ac:dyDescent="0.25">
      <c r="A2150" s="21" t="s">
        <v>5168</v>
      </c>
      <c r="B2150" s="25" t="s">
        <v>5170</v>
      </c>
      <c r="C2150" s="26">
        <v>1</v>
      </c>
      <c r="D2150" s="27" t="s">
        <v>21</v>
      </c>
      <c r="E2150" s="26">
        <v>1842.3</v>
      </c>
      <c r="F2150" s="28" t="s">
        <v>22</v>
      </c>
      <c r="G2150" s="26">
        <f t="shared" si="55"/>
        <v>1842</v>
      </c>
      <c r="H2150" t="s">
        <v>5169</v>
      </c>
    </row>
    <row r="2151" spans="1:8" ht="30" x14ac:dyDescent="0.25">
      <c r="A2151" s="21" t="s">
        <v>5171</v>
      </c>
      <c r="B2151" s="25" t="s">
        <v>5173</v>
      </c>
      <c r="C2151" s="26">
        <v>1</v>
      </c>
      <c r="D2151" s="27" t="s">
        <v>21</v>
      </c>
      <c r="E2151" s="26">
        <v>798.1</v>
      </c>
      <c r="F2151" s="28" t="s">
        <v>22</v>
      </c>
      <c r="G2151" s="26">
        <f t="shared" si="55"/>
        <v>798</v>
      </c>
      <c r="H2151" t="s">
        <v>5172</v>
      </c>
    </row>
    <row r="2152" spans="1:8" ht="30" x14ac:dyDescent="0.25">
      <c r="A2152" s="21" t="s">
        <v>5174</v>
      </c>
      <c r="B2152" s="25" t="s">
        <v>5176</v>
      </c>
      <c r="C2152" s="26">
        <v>1</v>
      </c>
      <c r="D2152" s="27" t="s">
        <v>21</v>
      </c>
      <c r="E2152" s="26">
        <v>872.05</v>
      </c>
      <c r="F2152" s="28" t="s">
        <v>22</v>
      </c>
      <c r="G2152" s="26">
        <f t="shared" si="55"/>
        <v>872</v>
      </c>
      <c r="H2152" t="s">
        <v>5175</v>
      </c>
    </row>
    <row r="2153" spans="1:8" ht="30" x14ac:dyDescent="0.25">
      <c r="A2153" s="21" t="s">
        <v>5177</v>
      </c>
      <c r="B2153" s="25" t="s">
        <v>5178</v>
      </c>
      <c r="C2153" s="26">
        <v>1</v>
      </c>
      <c r="D2153" s="27" t="s">
        <v>21</v>
      </c>
      <c r="E2153" s="26">
        <v>2034.35</v>
      </c>
      <c r="F2153" s="28" t="s">
        <v>22</v>
      </c>
      <c r="G2153" s="26">
        <f t="shared" si="55"/>
        <v>2034</v>
      </c>
      <c r="H2153" t="s">
        <v>5178</v>
      </c>
    </row>
    <row r="2154" spans="1:8" ht="30" x14ac:dyDescent="0.25">
      <c r="A2154" s="21" t="s">
        <v>5179</v>
      </c>
      <c r="B2154" s="25" t="s">
        <v>5180</v>
      </c>
      <c r="C2154" s="26">
        <v>1</v>
      </c>
      <c r="D2154" s="27" t="s">
        <v>21</v>
      </c>
      <c r="E2154" s="26">
        <v>2247.75</v>
      </c>
      <c r="F2154" s="28" t="s">
        <v>22</v>
      </c>
      <c r="G2154" s="26">
        <f t="shared" si="55"/>
        <v>2248</v>
      </c>
      <c r="H2154" t="s">
        <v>5180</v>
      </c>
    </row>
    <row r="2155" spans="1:8" ht="30" x14ac:dyDescent="0.25">
      <c r="A2155" s="21" t="s">
        <v>5181</v>
      </c>
      <c r="B2155" s="25" t="s">
        <v>5183</v>
      </c>
      <c r="C2155" s="26">
        <v>1</v>
      </c>
      <c r="D2155" s="27" t="s">
        <v>21</v>
      </c>
      <c r="E2155" s="26">
        <v>1564.9</v>
      </c>
      <c r="F2155" s="28" t="s">
        <v>22</v>
      </c>
      <c r="G2155" s="26">
        <f t="shared" si="55"/>
        <v>1565</v>
      </c>
      <c r="H2155" t="s">
        <v>5182</v>
      </c>
    </row>
    <row r="2156" spans="1:8" ht="30" x14ac:dyDescent="0.25">
      <c r="A2156" s="21" t="s">
        <v>5184</v>
      </c>
      <c r="B2156" s="25" t="s">
        <v>5185</v>
      </c>
      <c r="C2156" s="26">
        <v>1</v>
      </c>
      <c r="D2156" s="27" t="s">
        <v>21</v>
      </c>
      <c r="E2156" s="26">
        <v>775.5</v>
      </c>
      <c r="F2156" s="28" t="s">
        <v>22</v>
      </c>
      <c r="G2156" s="26">
        <f t="shared" si="55"/>
        <v>776</v>
      </c>
      <c r="H2156" t="s">
        <v>5185</v>
      </c>
    </row>
    <row r="2157" spans="1:8" ht="30" x14ac:dyDescent="0.25">
      <c r="A2157" s="21" t="s">
        <v>5186</v>
      </c>
      <c r="B2157" s="25" t="s">
        <v>5187</v>
      </c>
      <c r="C2157" s="26">
        <v>1</v>
      </c>
      <c r="D2157" s="27" t="s">
        <v>21</v>
      </c>
      <c r="E2157" s="26">
        <v>768.25</v>
      </c>
      <c r="F2157" s="28" t="s">
        <v>22</v>
      </c>
      <c r="G2157" s="26">
        <f t="shared" si="55"/>
        <v>768</v>
      </c>
      <c r="H2157" t="s">
        <v>5187</v>
      </c>
    </row>
    <row r="2158" spans="1:8" ht="135" x14ac:dyDescent="0.25">
      <c r="A2158" s="21" t="s">
        <v>5188</v>
      </c>
      <c r="B2158" s="25" t="s">
        <v>5190</v>
      </c>
      <c r="C2158" s="26">
        <v>1</v>
      </c>
      <c r="D2158" s="27" t="s">
        <v>21</v>
      </c>
      <c r="E2158" s="26">
        <v>1046.95</v>
      </c>
      <c r="F2158" s="28" t="s">
        <v>22</v>
      </c>
      <c r="G2158" s="26">
        <f t="shared" si="55"/>
        <v>1047</v>
      </c>
      <c r="H2158" t="s">
        <v>5189</v>
      </c>
    </row>
    <row r="2159" spans="1:8" ht="105" x14ac:dyDescent="0.25">
      <c r="A2159" s="21" t="s">
        <v>5191</v>
      </c>
      <c r="B2159" s="25" t="s">
        <v>5193</v>
      </c>
      <c r="C2159" s="26"/>
      <c r="D2159" s="27"/>
      <c r="E2159" s="26"/>
      <c r="F2159" s="28"/>
      <c r="G2159" s="26"/>
      <c r="H2159" t="s">
        <v>5192</v>
      </c>
    </row>
    <row r="2160" spans="1:8" ht="30" x14ac:dyDescent="0.25">
      <c r="A2160" s="21" t="s">
        <v>5194</v>
      </c>
      <c r="B2160" s="25" t="s">
        <v>5173</v>
      </c>
      <c r="C2160" s="26">
        <v>1</v>
      </c>
      <c r="D2160" s="27" t="s">
        <v>21</v>
      </c>
      <c r="E2160" s="26">
        <v>879.7</v>
      </c>
      <c r="F2160" s="28" t="s">
        <v>22</v>
      </c>
      <c r="G2160" s="26">
        <f>ROUND(C2160*E2160,0)</f>
        <v>880</v>
      </c>
      <c r="H2160" t="s">
        <v>5172</v>
      </c>
    </row>
    <row r="2161" spans="1:8" ht="30" x14ac:dyDescent="0.25">
      <c r="A2161" s="21" t="s">
        <v>5195</v>
      </c>
      <c r="B2161" s="25" t="s">
        <v>5176</v>
      </c>
      <c r="C2161" s="26">
        <v>1</v>
      </c>
      <c r="D2161" s="27" t="s">
        <v>21</v>
      </c>
      <c r="E2161" s="26">
        <v>879.7</v>
      </c>
      <c r="F2161" s="28" t="s">
        <v>22</v>
      </c>
      <c r="G2161" s="26">
        <f>ROUND(C2161*E2161,0)</f>
        <v>880</v>
      </c>
      <c r="H2161" t="s">
        <v>5175</v>
      </c>
    </row>
    <row r="2162" spans="1:8" ht="45" x14ac:dyDescent="0.25">
      <c r="A2162" s="21" t="s">
        <v>5196</v>
      </c>
      <c r="B2162" s="25" t="s">
        <v>5198</v>
      </c>
      <c r="C2162" s="26"/>
      <c r="D2162" s="27"/>
      <c r="E2162" s="26"/>
      <c r="F2162" s="28"/>
      <c r="G2162" s="26"/>
      <c r="H2162" t="s">
        <v>5197</v>
      </c>
    </row>
    <row r="2163" spans="1:8" ht="30" x14ac:dyDescent="0.25">
      <c r="A2163" s="21" t="s">
        <v>5199</v>
      </c>
      <c r="B2163" s="25" t="s">
        <v>5200</v>
      </c>
      <c r="C2163" s="26">
        <v>1</v>
      </c>
      <c r="D2163" s="27" t="s">
        <v>15</v>
      </c>
      <c r="E2163" s="26">
        <v>24.45</v>
      </c>
      <c r="F2163" s="28" t="s">
        <v>16</v>
      </c>
      <c r="G2163" s="26">
        <f>ROUND(C2163*E2163,0)</f>
        <v>24</v>
      </c>
      <c r="H2163" t="s">
        <v>5200</v>
      </c>
    </row>
    <row r="2164" spans="1:8" ht="45" x14ac:dyDescent="0.25">
      <c r="A2164" s="21" t="s">
        <v>5201</v>
      </c>
      <c r="B2164" s="25" t="s">
        <v>5203</v>
      </c>
      <c r="C2164" s="26"/>
      <c r="D2164" s="27"/>
      <c r="E2164" s="26"/>
      <c r="F2164" s="28"/>
      <c r="G2164" s="26"/>
      <c r="H2164" t="s">
        <v>5202</v>
      </c>
    </row>
    <row r="2165" spans="1:8" ht="45" x14ac:dyDescent="0.25">
      <c r="A2165" s="21" t="s">
        <v>5204</v>
      </c>
      <c r="B2165" s="25" t="s">
        <v>5206</v>
      </c>
      <c r="C2165" s="26">
        <v>1</v>
      </c>
      <c r="D2165" s="27" t="s">
        <v>110</v>
      </c>
      <c r="E2165" s="26">
        <v>194.3</v>
      </c>
      <c r="F2165" s="28" t="s">
        <v>618</v>
      </c>
      <c r="G2165" s="26">
        <f>ROUND(C2165*E2165,0)</f>
        <v>194</v>
      </c>
      <c r="H2165" t="s">
        <v>5205</v>
      </c>
    </row>
    <row r="2166" spans="1:8" ht="45" x14ac:dyDescent="0.25">
      <c r="A2166" s="21" t="s">
        <v>5207</v>
      </c>
      <c r="B2166" s="25" t="s">
        <v>5209</v>
      </c>
      <c r="C2166" s="26"/>
      <c r="D2166" s="27"/>
      <c r="E2166" s="26"/>
      <c r="F2166" s="28"/>
      <c r="G2166" s="26"/>
      <c r="H2166" t="s">
        <v>5208</v>
      </c>
    </row>
    <row r="2167" spans="1:8" ht="45" x14ac:dyDescent="0.25">
      <c r="A2167" s="21" t="s">
        <v>5210</v>
      </c>
      <c r="B2167" s="25" t="s">
        <v>5206</v>
      </c>
      <c r="C2167" s="26">
        <v>1</v>
      </c>
      <c r="D2167" s="27" t="s">
        <v>110</v>
      </c>
      <c r="E2167" s="26">
        <v>53.45</v>
      </c>
      <c r="F2167" s="28" t="s">
        <v>618</v>
      </c>
      <c r="G2167" s="26">
        <f>ROUND(C2167*E2167,0)</f>
        <v>53</v>
      </c>
      <c r="H2167" t="s">
        <v>5205</v>
      </c>
    </row>
    <row r="2168" spans="1:8" ht="75" x14ac:dyDescent="0.25">
      <c r="A2168" s="21" t="s">
        <v>5211</v>
      </c>
      <c r="B2168" s="25" t="s">
        <v>5213</v>
      </c>
      <c r="C2168" s="26">
        <v>1</v>
      </c>
      <c r="D2168" s="27" t="s">
        <v>15</v>
      </c>
      <c r="E2168" s="26">
        <v>33.299999999999997</v>
      </c>
      <c r="F2168" s="28" t="s">
        <v>16</v>
      </c>
      <c r="G2168" s="26">
        <f>ROUND(C2168*E2168,0)</f>
        <v>33</v>
      </c>
      <c r="H2168" t="s">
        <v>5212</v>
      </c>
    </row>
    <row r="2169" spans="1:8" ht="75" x14ac:dyDescent="0.25">
      <c r="A2169" s="21" t="s">
        <v>5214</v>
      </c>
      <c r="B2169" s="25" t="s">
        <v>5216</v>
      </c>
      <c r="C2169" s="26">
        <v>1</v>
      </c>
      <c r="D2169" s="27" t="s">
        <v>15</v>
      </c>
      <c r="E2169" s="26">
        <v>191.25</v>
      </c>
      <c r="F2169" s="28" t="s">
        <v>16</v>
      </c>
      <c r="G2169" s="26">
        <f>ROUND(C2169*E2169,0)</f>
        <v>191</v>
      </c>
      <c r="H2169" t="s">
        <v>5215</v>
      </c>
    </row>
    <row r="2170" spans="1:8" ht="30" x14ac:dyDescent="0.25">
      <c r="A2170" s="21" t="s">
        <v>5217</v>
      </c>
      <c r="B2170" s="25" t="s">
        <v>5219</v>
      </c>
      <c r="C2170" s="26">
        <v>1</v>
      </c>
      <c r="D2170" s="27" t="s">
        <v>15</v>
      </c>
      <c r="E2170" s="26">
        <v>883.15</v>
      </c>
      <c r="F2170" s="28" t="s">
        <v>16</v>
      </c>
      <c r="G2170" s="26">
        <f>ROUND(C2170*E2170,0)</f>
        <v>883</v>
      </c>
      <c r="H2170" t="s">
        <v>5218</v>
      </c>
    </row>
    <row r="2171" spans="1:8" ht="45" x14ac:dyDescent="0.25">
      <c r="A2171" s="21" t="s">
        <v>5220</v>
      </c>
      <c r="B2171" s="25" t="s">
        <v>5222</v>
      </c>
      <c r="C2171" s="26"/>
      <c r="D2171" s="27"/>
      <c r="E2171" s="26"/>
      <c r="F2171" s="28"/>
      <c r="G2171" s="26"/>
      <c r="H2171" t="s">
        <v>5221</v>
      </c>
    </row>
    <row r="2172" spans="1:8" ht="30" x14ac:dyDescent="0.25">
      <c r="A2172" s="21" t="s">
        <v>5223</v>
      </c>
      <c r="B2172" s="25" t="s">
        <v>5206</v>
      </c>
      <c r="C2172" s="26">
        <v>1</v>
      </c>
      <c r="D2172" s="27" t="s">
        <v>15</v>
      </c>
      <c r="E2172" s="26">
        <v>644.04999999999995</v>
      </c>
      <c r="F2172" s="28" t="s">
        <v>16</v>
      </c>
      <c r="G2172" s="26">
        <f>ROUND(C2172*E2172,0)</f>
        <v>644</v>
      </c>
      <c r="H2172" t="s">
        <v>5224</v>
      </c>
    </row>
    <row r="2173" spans="1:8" ht="60" x14ac:dyDescent="0.25">
      <c r="A2173" s="21" t="s">
        <v>5225</v>
      </c>
      <c r="B2173" s="25" t="s">
        <v>5227</v>
      </c>
      <c r="C2173" s="26"/>
      <c r="D2173" s="27"/>
      <c r="E2173" s="26"/>
      <c r="F2173" s="28"/>
      <c r="G2173" s="26"/>
      <c r="H2173" t="s">
        <v>5226</v>
      </c>
    </row>
    <row r="2174" spans="1:8" ht="30" x14ac:dyDescent="0.25">
      <c r="A2174" s="21" t="s">
        <v>5228</v>
      </c>
      <c r="B2174" s="25" t="s">
        <v>5230</v>
      </c>
      <c r="C2174" s="26">
        <v>1</v>
      </c>
      <c r="D2174" s="27" t="s">
        <v>21</v>
      </c>
      <c r="E2174" s="26">
        <v>5032.25</v>
      </c>
      <c r="F2174" s="28" t="s">
        <v>22</v>
      </c>
      <c r="G2174" s="26">
        <f>ROUND(C2174*E2174,0)</f>
        <v>5032</v>
      </c>
      <c r="H2174" t="s">
        <v>5229</v>
      </c>
    </row>
    <row r="2175" spans="1:8" ht="30" x14ac:dyDescent="0.25">
      <c r="A2175" s="21" t="s">
        <v>5231</v>
      </c>
      <c r="B2175" s="25" t="s">
        <v>5232</v>
      </c>
      <c r="C2175" s="26">
        <v>1</v>
      </c>
      <c r="D2175" s="27" t="s">
        <v>21</v>
      </c>
      <c r="E2175" s="26">
        <v>3078.05</v>
      </c>
      <c r="F2175" s="28" t="s">
        <v>22</v>
      </c>
      <c r="G2175" s="26">
        <f>ROUND(C2175*E2175,0)</f>
        <v>3078</v>
      </c>
      <c r="H2175" t="s">
        <v>5232</v>
      </c>
    </row>
    <row r="2176" spans="1:8" ht="45" x14ac:dyDescent="0.25">
      <c r="A2176" s="21" t="s">
        <v>5233</v>
      </c>
      <c r="B2176" s="25" t="s">
        <v>5235</v>
      </c>
      <c r="C2176" s="26">
        <v>1</v>
      </c>
      <c r="D2176" s="27" t="s">
        <v>15</v>
      </c>
      <c r="E2176" s="26">
        <v>284.2</v>
      </c>
      <c r="F2176" s="28" t="s">
        <v>16</v>
      </c>
      <c r="G2176" s="26">
        <f>ROUND(C2176*E2176,0)</f>
        <v>284</v>
      </c>
      <c r="H2176" t="s">
        <v>5234</v>
      </c>
    </row>
    <row r="2177" spans="1:8" x14ac:dyDescent="0.25">
      <c r="A2177" s="21" t="s">
        <v>5236</v>
      </c>
      <c r="B2177" s="25" t="s">
        <v>5237</v>
      </c>
      <c r="C2177" s="26"/>
      <c r="D2177" s="27"/>
      <c r="E2177" s="26"/>
      <c r="F2177" s="28"/>
      <c r="G2177" s="26"/>
      <c r="H2177" t="s">
        <v>5237</v>
      </c>
    </row>
    <row r="2178" spans="1:8" ht="105" x14ac:dyDescent="0.25">
      <c r="A2178" s="21" t="s">
        <v>5238</v>
      </c>
      <c r="B2178" s="25" t="s">
        <v>5240</v>
      </c>
      <c r="C2178" s="26">
        <v>1</v>
      </c>
      <c r="D2178" s="27" t="s">
        <v>21</v>
      </c>
      <c r="E2178" s="26">
        <v>32891.199999999997</v>
      </c>
      <c r="F2178" s="28" t="s">
        <v>22</v>
      </c>
      <c r="G2178" s="26">
        <f>ROUND(C2178*E2178,0)</f>
        <v>32891</v>
      </c>
      <c r="H2178" t="s">
        <v>5239</v>
      </c>
    </row>
    <row r="2179" spans="1:8" ht="75" x14ac:dyDescent="0.25">
      <c r="A2179" s="21" t="s">
        <v>5241</v>
      </c>
      <c r="B2179" s="25" t="s">
        <v>5243</v>
      </c>
      <c r="C2179" s="26">
        <v>1</v>
      </c>
      <c r="D2179" s="27" t="s">
        <v>725</v>
      </c>
      <c r="E2179" s="26">
        <v>78.95</v>
      </c>
      <c r="F2179" s="28" t="s">
        <v>726</v>
      </c>
      <c r="G2179" s="26">
        <f>ROUND(C2179*E2179,0)</f>
        <v>79</v>
      </c>
      <c r="H2179" t="s">
        <v>5242</v>
      </c>
    </row>
    <row r="2180" spans="1:8" ht="30" x14ac:dyDescent="0.25">
      <c r="A2180" s="21" t="s">
        <v>5244</v>
      </c>
      <c r="B2180" s="25" t="s">
        <v>5246</v>
      </c>
      <c r="C2180" s="26">
        <v>1</v>
      </c>
      <c r="D2180" s="27" t="s">
        <v>639</v>
      </c>
      <c r="E2180" s="26">
        <v>274.3</v>
      </c>
      <c r="F2180" s="28" t="s">
        <v>5247</v>
      </c>
      <c r="G2180" s="26">
        <f>ROUND(C2180*E2180,0)</f>
        <v>274</v>
      </c>
      <c r="H2180" t="s">
        <v>5245</v>
      </c>
    </row>
    <row r="2181" spans="1:8" ht="210" x14ac:dyDescent="0.25">
      <c r="A2181" s="21" t="s">
        <v>5248</v>
      </c>
      <c r="B2181" s="25" t="s">
        <v>5250</v>
      </c>
      <c r="C2181" s="26"/>
      <c r="D2181" s="27"/>
      <c r="E2181" s="26"/>
      <c r="F2181" s="28"/>
      <c r="G2181" s="26"/>
      <c r="H2181" t="s">
        <v>5249</v>
      </c>
    </row>
    <row r="2182" spans="1:8" ht="45" x14ac:dyDescent="0.25">
      <c r="A2182" s="21" t="s">
        <v>5251</v>
      </c>
      <c r="B2182" s="25" t="s">
        <v>5253</v>
      </c>
      <c r="C2182" s="26">
        <v>1</v>
      </c>
      <c r="D2182" s="27" t="s">
        <v>110</v>
      </c>
      <c r="E2182" s="26">
        <v>14</v>
      </c>
      <c r="F2182" s="28" t="s">
        <v>618</v>
      </c>
      <c r="G2182" s="26">
        <f>ROUND(C2182*E2182,0)</f>
        <v>14</v>
      </c>
      <c r="H2182" t="s">
        <v>5252</v>
      </c>
    </row>
    <row r="2183" spans="1:8" ht="195" x14ac:dyDescent="0.25">
      <c r="A2183" s="21" t="s">
        <v>5254</v>
      </c>
      <c r="B2183" s="25" t="s">
        <v>5256</v>
      </c>
      <c r="C2183" s="26"/>
      <c r="D2183" s="27"/>
      <c r="E2183" s="26"/>
      <c r="F2183" s="28"/>
      <c r="G2183" s="26"/>
      <c r="H2183" t="s">
        <v>5255</v>
      </c>
    </row>
    <row r="2184" spans="1:8" ht="45" x14ac:dyDescent="0.25">
      <c r="A2184" s="21" t="s">
        <v>5257</v>
      </c>
      <c r="B2184" s="25" t="s">
        <v>5253</v>
      </c>
      <c r="C2184" s="26">
        <v>1</v>
      </c>
      <c r="D2184" s="27" t="s">
        <v>110</v>
      </c>
      <c r="E2184" s="26">
        <v>22.1</v>
      </c>
      <c r="F2184" s="28" t="s">
        <v>618</v>
      </c>
      <c r="G2184" s="26">
        <f t="shared" ref="G2184:G2189" si="56">ROUND(C2184*E2184,0)</f>
        <v>22</v>
      </c>
      <c r="H2184" t="s">
        <v>5252</v>
      </c>
    </row>
    <row r="2185" spans="1:8" ht="75" x14ac:dyDescent="0.25">
      <c r="A2185" s="21" t="s">
        <v>5258</v>
      </c>
      <c r="B2185" s="25" t="s">
        <v>5260</v>
      </c>
      <c r="C2185" s="26">
        <v>1</v>
      </c>
      <c r="D2185" s="27" t="s">
        <v>725</v>
      </c>
      <c r="E2185" s="26">
        <v>125.75</v>
      </c>
      <c r="F2185" s="28" t="s">
        <v>726</v>
      </c>
      <c r="G2185" s="26">
        <f t="shared" si="56"/>
        <v>126</v>
      </c>
      <c r="H2185" t="s">
        <v>5259</v>
      </c>
    </row>
    <row r="2186" spans="1:8" ht="240" x14ac:dyDescent="0.25">
      <c r="A2186" s="21" t="s">
        <v>5261</v>
      </c>
      <c r="B2186" s="25" t="s">
        <v>5263</v>
      </c>
      <c r="C2186" s="26">
        <v>1</v>
      </c>
      <c r="D2186" s="27" t="s">
        <v>15</v>
      </c>
      <c r="E2186" s="26">
        <v>66.150000000000006</v>
      </c>
      <c r="F2186" s="28" t="s">
        <v>16</v>
      </c>
      <c r="G2186" s="26">
        <f t="shared" si="56"/>
        <v>66</v>
      </c>
      <c r="H2186" t="s">
        <v>5262</v>
      </c>
    </row>
    <row r="2187" spans="1:8" ht="45" x14ac:dyDescent="0.25">
      <c r="A2187" s="21" t="s">
        <v>5264</v>
      </c>
      <c r="B2187" s="25" t="s">
        <v>5266</v>
      </c>
      <c r="C2187" s="26">
        <v>1</v>
      </c>
      <c r="D2187" s="27" t="s">
        <v>429</v>
      </c>
      <c r="E2187" s="26">
        <v>10.55</v>
      </c>
      <c r="F2187" s="28" t="s">
        <v>5267</v>
      </c>
      <c r="G2187" s="26">
        <f t="shared" si="56"/>
        <v>11</v>
      </c>
      <c r="H2187" t="s">
        <v>5265</v>
      </c>
    </row>
    <row r="2188" spans="1:8" ht="75" x14ac:dyDescent="0.25">
      <c r="A2188" s="21" t="s">
        <v>5268</v>
      </c>
      <c r="B2188" s="25" t="s">
        <v>5270</v>
      </c>
      <c r="C2188" s="26">
        <v>1</v>
      </c>
      <c r="D2188" s="27" t="s">
        <v>201</v>
      </c>
      <c r="E2188" s="26">
        <v>252.9</v>
      </c>
      <c r="F2188" s="28" t="s">
        <v>202</v>
      </c>
      <c r="G2188" s="26">
        <f t="shared" si="56"/>
        <v>253</v>
      </c>
      <c r="H2188" t="s">
        <v>5269</v>
      </c>
    </row>
    <row r="2189" spans="1:8" ht="120" x14ac:dyDescent="0.25">
      <c r="A2189" s="21" t="s">
        <v>5271</v>
      </c>
      <c r="B2189" s="25" t="s">
        <v>5273</v>
      </c>
      <c r="C2189" s="26">
        <v>1</v>
      </c>
      <c r="D2189" s="27" t="s">
        <v>201</v>
      </c>
      <c r="E2189" s="26">
        <v>852.4</v>
      </c>
      <c r="F2189" s="28" t="s">
        <v>202</v>
      </c>
      <c r="G2189" s="26">
        <f t="shared" si="56"/>
        <v>852</v>
      </c>
      <c r="H2189" t="s">
        <v>5272</v>
      </c>
    </row>
    <row r="2190" spans="1:8" ht="120" x14ac:dyDescent="0.25">
      <c r="A2190" s="21" t="s">
        <v>5274</v>
      </c>
      <c r="B2190" s="25" t="s">
        <v>5276</v>
      </c>
      <c r="C2190" s="26"/>
      <c r="D2190" s="27"/>
      <c r="E2190" s="26"/>
      <c r="F2190" s="28"/>
      <c r="G2190" s="26"/>
      <c r="H2190" t="s">
        <v>5275</v>
      </c>
    </row>
    <row r="2191" spans="1:8" x14ac:dyDescent="0.25">
      <c r="A2191" s="21" t="s">
        <v>5277</v>
      </c>
      <c r="B2191" s="25" t="s">
        <v>5279</v>
      </c>
      <c r="C2191" s="26">
        <v>1</v>
      </c>
      <c r="D2191" s="27" t="s">
        <v>201</v>
      </c>
      <c r="E2191" s="26">
        <v>2876.7</v>
      </c>
      <c r="F2191" s="28" t="s">
        <v>202</v>
      </c>
      <c r="G2191" s="26">
        <f t="shared" ref="G2191:G2196" si="57">ROUND(C2191*E2191,0)</f>
        <v>2877</v>
      </c>
      <c r="H2191" t="s">
        <v>5278</v>
      </c>
    </row>
    <row r="2192" spans="1:8" x14ac:dyDescent="0.25">
      <c r="A2192" s="21" t="s">
        <v>5280</v>
      </c>
      <c r="B2192" s="25" t="s">
        <v>5282</v>
      </c>
      <c r="C2192" s="26">
        <v>1</v>
      </c>
      <c r="D2192" s="27" t="s">
        <v>201</v>
      </c>
      <c r="E2192" s="26">
        <v>5170.25</v>
      </c>
      <c r="F2192" s="28" t="s">
        <v>202</v>
      </c>
      <c r="G2192" s="26">
        <f t="shared" si="57"/>
        <v>5170</v>
      </c>
      <c r="H2192" t="s">
        <v>5281</v>
      </c>
    </row>
    <row r="2193" spans="1:8" x14ac:dyDescent="0.25">
      <c r="A2193" s="21" t="s">
        <v>5283</v>
      </c>
      <c r="B2193" s="25" t="s">
        <v>5285</v>
      </c>
      <c r="C2193" s="26">
        <v>1</v>
      </c>
      <c r="D2193" s="27" t="s">
        <v>201</v>
      </c>
      <c r="E2193" s="26">
        <v>1924.5</v>
      </c>
      <c r="F2193" s="28" t="s">
        <v>202</v>
      </c>
      <c r="G2193" s="26">
        <f t="shared" si="57"/>
        <v>1925</v>
      </c>
      <c r="H2193" t="s">
        <v>5284</v>
      </c>
    </row>
    <row r="2194" spans="1:8" ht="90" x14ac:dyDescent="0.25">
      <c r="A2194" s="21" t="s">
        <v>5286</v>
      </c>
      <c r="B2194" s="25" t="s">
        <v>5288</v>
      </c>
      <c r="C2194" s="26">
        <v>1</v>
      </c>
      <c r="D2194" s="27" t="s">
        <v>15</v>
      </c>
      <c r="E2194" s="26">
        <v>225.35</v>
      </c>
      <c r="F2194" s="28" t="s">
        <v>16</v>
      </c>
      <c r="G2194" s="26">
        <f t="shared" si="57"/>
        <v>225</v>
      </c>
      <c r="H2194" t="s">
        <v>5287</v>
      </c>
    </row>
    <row r="2195" spans="1:8" ht="150" x14ac:dyDescent="0.25">
      <c r="A2195" s="21" t="s">
        <v>5289</v>
      </c>
      <c r="B2195" s="25" t="s">
        <v>5291</v>
      </c>
      <c r="C2195" s="26">
        <v>1</v>
      </c>
      <c r="D2195" s="27" t="s">
        <v>15</v>
      </c>
      <c r="E2195" s="26">
        <v>311.85000000000002</v>
      </c>
      <c r="F2195" s="28" t="s">
        <v>16</v>
      </c>
      <c r="G2195" s="26">
        <f t="shared" si="57"/>
        <v>312</v>
      </c>
      <c r="H2195" t="s">
        <v>5290</v>
      </c>
    </row>
    <row r="2196" spans="1:8" ht="90" x14ac:dyDescent="0.25">
      <c r="A2196" s="21" t="s">
        <v>5292</v>
      </c>
      <c r="B2196" s="25" t="s">
        <v>5294</v>
      </c>
      <c r="C2196" s="26">
        <v>1</v>
      </c>
      <c r="D2196" s="27" t="s">
        <v>15</v>
      </c>
      <c r="E2196" s="26">
        <v>175.1</v>
      </c>
      <c r="F2196" s="28" t="s">
        <v>16</v>
      </c>
      <c r="G2196" s="26">
        <f t="shared" si="57"/>
        <v>175</v>
      </c>
      <c r="H2196" t="s">
        <v>5293</v>
      </c>
    </row>
    <row r="2197" spans="1:8" ht="90" x14ac:dyDescent="0.25">
      <c r="A2197" s="21" t="s">
        <v>5295</v>
      </c>
      <c r="B2197" s="25" t="s">
        <v>5297</v>
      </c>
      <c r="C2197" s="26"/>
      <c r="D2197" s="27"/>
      <c r="E2197" s="26"/>
      <c r="F2197" s="28"/>
      <c r="G2197" s="26"/>
      <c r="H2197" t="s">
        <v>5296</v>
      </c>
    </row>
    <row r="2198" spans="1:8" ht="30" x14ac:dyDescent="0.25">
      <c r="A2198" s="21" t="s">
        <v>5298</v>
      </c>
      <c r="B2198" s="25" t="s">
        <v>5300</v>
      </c>
      <c r="C2198" s="26">
        <v>1</v>
      </c>
      <c r="D2198" s="27" t="s">
        <v>15</v>
      </c>
      <c r="E2198" s="26">
        <v>198.45</v>
      </c>
      <c r="F2198" s="28" t="s">
        <v>16</v>
      </c>
      <c r="G2198" s="26">
        <f>ROUND(C2198*E2198,0)</f>
        <v>198</v>
      </c>
      <c r="H2198" t="s">
        <v>5299</v>
      </c>
    </row>
    <row r="2199" spans="1:8" ht="90" x14ac:dyDescent="0.25">
      <c r="A2199" s="21" t="s">
        <v>5301</v>
      </c>
      <c r="B2199" s="25" t="s">
        <v>5303</v>
      </c>
      <c r="C2199" s="26"/>
      <c r="D2199" s="27"/>
      <c r="E2199" s="26"/>
      <c r="F2199" s="28"/>
      <c r="G2199" s="26"/>
      <c r="H2199" t="s">
        <v>5302</v>
      </c>
    </row>
    <row r="2200" spans="1:8" ht="30" x14ac:dyDescent="0.25">
      <c r="A2200" s="21" t="s">
        <v>5304</v>
      </c>
      <c r="B2200" s="25" t="s">
        <v>5300</v>
      </c>
      <c r="C2200" s="26">
        <v>1</v>
      </c>
      <c r="D2200" s="27" t="s">
        <v>15</v>
      </c>
      <c r="E2200" s="26">
        <v>125.3</v>
      </c>
      <c r="F2200" s="28" t="s">
        <v>16</v>
      </c>
      <c r="G2200" s="26">
        <f>ROUND(C2200*E2200,0)</f>
        <v>125</v>
      </c>
      <c r="H2200" t="s">
        <v>5305</v>
      </c>
    </row>
    <row r="2201" spans="1:8" ht="90" x14ac:dyDescent="0.25">
      <c r="A2201" s="21" t="s">
        <v>5306</v>
      </c>
      <c r="B2201" s="25" t="s">
        <v>5308</v>
      </c>
      <c r="C2201" s="26"/>
      <c r="D2201" s="27"/>
      <c r="E2201" s="26"/>
      <c r="F2201" s="28"/>
      <c r="G2201" s="26"/>
      <c r="H2201" t="s">
        <v>5307</v>
      </c>
    </row>
    <row r="2202" spans="1:8" ht="30" x14ac:dyDescent="0.25">
      <c r="A2202" s="21" t="s">
        <v>5309</v>
      </c>
      <c r="B2202" s="25" t="s">
        <v>5311</v>
      </c>
      <c r="C2202" s="26">
        <v>1</v>
      </c>
      <c r="D2202" s="27" t="s">
        <v>15</v>
      </c>
      <c r="E2202" s="26">
        <v>60.5</v>
      </c>
      <c r="F2202" s="28" t="s">
        <v>16</v>
      </c>
      <c r="G2202" s="26">
        <f>ROUND(C2202*E2202,0)</f>
        <v>61</v>
      </c>
      <c r="H2202" t="s">
        <v>5310</v>
      </c>
    </row>
    <row r="2203" spans="1:8" ht="30" x14ac:dyDescent="0.25">
      <c r="A2203" s="21" t="s">
        <v>5312</v>
      </c>
      <c r="B2203" s="25" t="s">
        <v>5314</v>
      </c>
      <c r="C2203" s="26">
        <v>1</v>
      </c>
      <c r="D2203" s="27" t="s">
        <v>15</v>
      </c>
      <c r="E2203" s="26">
        <v>48.2</v>
      </c>
      <c r="F2203" s="28" t="s">
        <v>16</v>
      </c>
      <c r="G2203" s="26">
        <f>ROUND(C2203*E2203,0)</f>
        <v>48</v>
      </c>
      <c r="H2203" t="s">
        <v>5313</v>
      </c>
    </row>
    <row r="2204" spans="1:8" ht="60" x14ac:dyDescent="0.25">
      <c r="A2204" s="21" t="s">
        <v>5315</v>
      </c>
      <c r="B2204" s="25" t="s">
        <v>5317</v>
      </c>
      <c r="C2204" s="26"/>
      <c r="D2204" s="27"/>
      <c r="E2204" s="26"/>
      <c r="F2204" s="28"/>
      <c r="G2204" s="26"/>
      <c r="H2204" t="s">
        <v>5316</v>
      </c>
    </row>
    <row r="2205" spans="1:8" x14ac:dyDescent="0.25">
      <c r="A2205" s="21" t="s">
        <v>5318</v>
      </c>
      <c r="B2205" s="25" t="s">
        <v>5320</v>
      </c>
      <c r="C2205" s="26"/>
      <c r="D2205" s="27"/>
      <c r="E2205" s="26"/>
      <c r="F2205" s="28"/>
      <c r="G2205" s="26"/>
      <c r="H2205" t="s">
        <v>5319</v>
      </c>
    </row>
    <row r="2206" spans="1:8" ht="30" x14ac:dyDescent="0.25">
      <c r="A2206" s="21" t="s">
        <v>5321</v>
      </c>
      <c r="B2206" s="25" t="s">
        <v>5322</v>
      </c>
      <c r="C2206" s="26">
        <v>1</v>
      </c>
      <c r="D2206" s="27" t="s">
        <v>15</v>
      </c>
      <c r="E2206" s="26">
        <v>13.45</v>
      </c>
      <c r="F2206" s="28" t="s">
        <v>16</v>
      </c>
      <c r="G2206" s="26">
        <f>ROUND(C2206*E2206,0)</f>
        <v>13</v>
      </c>
      <c r="H2206" t="s">
        <v>5322</v>
      </c>
    </row>
    <row r="2207" spans="1:8" ht="30" x14ac:dyDescent="0.25">
      <c r="A2207" s="21" t="s">
        <v>5323</v>
      </c>
      <c r="B2207" s="25" t="s">
        <v>5324</v>
      </c>
      <c r="C2207" s="26">
        <v>1</v>
      </c>
      <c r="D2207" s="27" t="s">
        <v>15</v>
      </c>
      <c r="E2207" s="26">
        <v>9.1999999999999993</v>
      </c>
      <c r="F2207" s="28" t="s">
        <v>16</v>
      </c>
      <c r="G2207" s="26">
        <f>ROUND(C2207*E2207,0)</f>
        <v>9</v>
      </c>
      <c r="H2207" t="s">
        <v>5324</v>
      </c>
    </row>
    <row r="2208" spans="1:8" x14ac:dyDescent="0.25">
      <c r="A2208" s="21" t="s">
        <v>5325</v>
      </c>
      <c r="B2208" s="25" t="s">
        <v>5327</v>
      </c>
      <c r="C2208" s="26"/>
      <c r="D2208" s="27"/>
      <c r="E2208" s="26"/>
      <c r="F2208" s="28"/>
      <c r="G2208" s="26"/>
      <c r="H2208" t="s">
        <v>5326</v>
      </c>
    </row>
    <row r="2209" spans="1:8" ht="30" x14ac:dyDescent="0.25">
      <c r="A2209" s="21" t="s">
        <v>5328</v>
      </c>
      <c r="B2209" s="25" t="s">
        <v>5322</v>
      </c>
      <c r="C2209" s="26">
        <v>1</v>
      </c>
      <c r="D2209" s="27" t="s">
        <v>15</v>
      </c>
      <c r="E2209" s="26">
        <v>21.2</v>
      </c>
      <c r="F2209" s="28" t="s">
        <v>16</v>
      </c>
      <c r="G2209" s="26">
        <f>ROUND(C2209*E2209,0)</f>
        <v>21</v>
      </c>
      <c r="H2209" t="s">
        <v>5322</v>
      </c>
    </row>
    <row r="2210" spans="1:8" ht="30" x14ac:dyDescent="0.25">
      <c r="A2210" s="21" t="s">
        <v>5329</v>
      </c>
      <c r="B2210" s="25" t="s">
        <v>5324</v>
      </c>
      <c r="C2210" s="26">
        <v>1</v>
      </c>
      <c r="D2210" s="27" t="s">
        <v>15</v>
      </c>
      <c r="E2210" s="26">
        <v>14.05</v>
      </c>
      <c r="F2210" s="28" t="s">
        <v>16</v>
      </c>
      <c r="G2210" s="26">
        <f>ROUND(C2210*E2210,0)</f>
        <v>14</v>
      </c>
      <c r="H2210" t="s">
        <v>5324</v>
      </c>
    </row>
    <row r="2211" spans="1:8" ht="135" x14ac:dyDescent="0.25">
      <c r="A2211" s="21" t="s">
        <v>5330</v>
      </c>
      <c r="B2211" s="25" t="s">
        <v>5332</v>
      </c>
      <c r="C2211" s="26"/>
      <c r="D2211" s="27"/>
      <c r="E2211" s="26"/>
      <c r="F2211" s="28"/>
      <c r="G2211" s="26"/>
      <c r="H2211" t="s">
        <v>5331</v>
      </c>
    </row>
    <row r="2212" spans="1:8" ht="45" x14ac:dyDescent="0.25">
      <c r="A2212" s="21" t="s">
        <v>5333</v>
      </c>
      <c r="B2212" s="25" t="s">
        <v>5335</v>
      </c>
      <c r="C2212" s="26">
        <v>1</v>
      </c>
      <c r="D2212" s="27" t="s">
        <v>15</v>
      </c>
      <c r="E2212" s="26">
        <v>234.05</v>
      </c>
      <c r="F2212" s="28" t="s">
        <v>16</v>
      </c>
      <c r="G2212" s="26">
        <f>ROUND(C2212*E2212,0)</f>
        <v>234</v>
      </c>
      <c r="H2212" t="s">
        <v>5334</v>
      </c>
    </row>
    <row r="2213" spans="1:8" ht="30" x14ac:dyDescent="0.25">
      <c r="A2213" s="21" t="s">
        <v>5336</v>
      </c>
      <c r="B2213" s="25" t="s">
        <v>5338</v>
      </c>
      <c r="C2213" s="26">
        <v>1</v>
      </c>
      <c r="D2213" s="27" t="s">
        <v>15</v>
      </c>
      <c r="E2213" s="26">
        <v>245.15</v>
      </c>
      <c r="F2213" s="28" t="s">
        <v>16</v>
      </c>
      <c r="G2213" s="26">
        <f>ROUND(C2213*E2213,0)</f>
        <v>245</v>
      </c>
      <c r="H2213" t="s">
        <v>5337</v>
      </c>
    </row>
    <row r="2214" spans="1:8" ht="30" x14ac:dyDescent="0.25">
      <c r="A2214" s="21" t="s">
        <v>5339</v>
      </c>
      <c r="B2214" s="25" t="s">
        <v>5341</v>
      </c>
      <c r="C2214" s="26">
        <v>1</v>
      </c>
      <c r="D2214" s="27" t="s">
        <v>15</v>
      </c>
      <c r="E2214" s="26">
        <v>233.15</v>
      </c>
      <c r="F2214" s="28" t="s">
        <v>16</v>
      </c>
      <c r="G2214" s="26">
        <f>ROUND(C2214*E2214,0)</f>
        <v>233</v>
      </c>
      <c r="H2214" t="s">
        <v>5340</v>
      </c>
    </row>
    <row r="2215" spans="1:8" ht="135" x14ac:dyDescent="0.25">
      <c r="A2215" s="21" t="s">
        <v>5342</v>
      </c>
      <c r="B2215" s="25" t="s">
        <v>5344</v>
      </c>
      <c r="C2215" s="26"/>
      <c r="D2215" s="27"/>
      <c r="E2215" s="26"/>
      <c r="F2215" s="28"/>
      <c r="G2215" s="26"/>
      <c r="H2215" t="s">
        <v>5343</v>
      </c>
    </row>
    <row r="2216" spans="1:8" ht="45" x14ac:dyDescent="0.25">
      <c r="A2216" s="21" t="s">
        <v>5345</v>
      </c>
      <c r="B2216" s="25" t="s">
        <v>5335</v>
      </c>
      <c r="C2216" s="26">
        <v>1</v>
      </c>
      <c r="D2216" s="27" t="s">
        <v>15</v>
      </c>
      <c r="E2216" s="26">
        <v>281</v>
      </c>
      <c r="F2216" s="28" t="s">
        <v>16</v>
      </c>
      <c r="G2216" s="26">
        <f>ROUND(C2216*E2216,0)</f>
        <v>281</v>
      </c>
      <c r="H2216" t="s">
        <v>5334</v>
      </c>
    </row>
    <row r="2217" spans="1:8" ht="30" x14ac:dyDescent="0.25">
      <c r="A2217" s="21" t="s">
        <v>5346</v>
      </c>
      <c r="B2217" s="25" t="s">
        <v>5338</v>
      </c>
      <c r="C2217" s="26">
        <v>1</v>
      </c>
      <c r="D2217" s="27" t="s">
        <v>15</v>
      </c>
      <c r="E2217" s="26">
        <v>294.95</v>
      </c>
      <c r="F2217" s="28" t="s">
        <v>16</v>
      </c>
      <c r="G2217" s="26">
        <f>ROUND(C2217*E2217,0)</f>
        <v>295</v>
      </c>
      <c r="H2217" t="s">
        <v>5337</v>
      </c>
    </row>
    <row r="2218" spans="1:8" ht="30" x14ac:dyDescent="0.25">
      <c r="A2218" s="21" t="s">
        <v>5347</v>
      </c>
      <c r="B2218" s="25" t="s">
        <v>5341</v>
      </c>
      <c r="C2218" s="26">
        <v>1</v>
      </c>
      <c r="D2218" s="27" t="s">
        <v>15</v>
      </c>
      <c r="E2218" s="26">
        <v>279.89999999999998</v>
      </c>
      <c r="F2218" s="28" t="s">
        <v>16</v>
      </c>
      <c r="G2218" s="26">
        <f>ROUND(C2218*E2218,0)</f>
        <v>280</v>
      </c>
      <c r="H2218" t="s">
        <v>5340</v>
      </c>
    </row>
    <row r="2219" spans="1:8" ht="105" x14ac:dyDescent="0.25">
      <c r="A2219" s="21" t="s">
        <v>5348</v>
      </c>
      <c r="B2219" s="25" t="s">
        <v>5350</v>
      </c>
      <c r="C2219" s="26">
        <v>1</v>
      </c>
      <c r="D2219" s="27" t="s">
        <v>15</v>
      </c>
      <c r="E2219" s="26">
        <v>208.9</v>
      </c>
      <c r="F2219" s="28" t="s">
        <v>16</v>
      </c>
      <c r="G2219" s="26">
        <f>ROUND(C2219*E2219,0)</f>
        <v>209</v>
      </c>
      <c r="H2219" t="s">
        <v>5349</v>
      </c>
    </row>
    <row r="2220" spans="1:8" ht="105" x14ac:dyDescent="0.25">
      <c r="A2220" s="21" t="s">
        <v>5351</v>
      </c>
      <c r="B2220" s="25" t="s">
        <v>5353</v>
      </c>
      <c r="C2220" s="26">
        <v>1</v>
      </c>
      <c r="D2220" s="27" t="s">
        <v>15</v>
      </c>
      <c r="E2220" s="26">
        <v>252.15</v>
      </c>
      <c r="F2220" s="28" t="s">
        <v>16</v>
      </c>
      <c r="G2220" s="26">
        <f>ROUND(C2220*E2220,0)</f>
        <v>252</v>
      </c>
      <c r="H2220" t="s">
        <v>5352</v>
      </c>
    </row>
    <row r="2221" spans="1:8" ht="195" x14ac:dyDescent="0.25">
      <c r="A2221" s="21" t="s">
        <v>5354</v>
      </c>
      <c r="B2221" s="25" t="s">
        <v>5356</v>
      </c>
      <c r="C2221" s="26"/>
      <c r="D2221" s="27"/>
      <c r="E2221" s="26"/>
      <c r="F2221" s="28"/>
      <c r="G2221" s="26"/>
      <c r="H2221" t="s">
        <v>5355</v>
      </c>
    </row>
    <row r="2222" spans="1:8" ht="75" x14ac:dyDescent="0.25">
      <c r="A2222" s="21" t="s">
        <v>5357</v>
      </c>
      <c r="B2222" s="25" t="s">
        <v>5359</v>
      </c>
      <c r="C2222" s="26">
        <v>1</v>
      </c>
      <c r="D2222" s="27" t="s">
        <v>15</v>
      </c>
      <c r="E2222" s="26">
        <v>505.65</v>
      </c>
      <c r="F2222" s="28" t="s">
        <v>16</v>
      </c>
      <c r="G2222" s="26">
        <f>ROUND(C2222*E2222,0)</f>
        <v>506</v>
      </c>
      <c r="H2222" t="s">
        <v>5358</v>
      </c>
    </row>
    <row r="2223" spans="1:8" ht="75" x14ac:dyDescent="0.25">
      <c r="A2223" s="21" t="s">
        <v>5360</v>
      </c>
      <c r="B2223" s="25" t="s">
        <v>5362</v>
      </c>
      <c r="C2223" s="26">
        <v>1</v>
      </c>
      <c r="D2223" s="27" t="s">
        <v>15</v>
      </c>
      <c r="E2223" s="26">
        <v>744.15</v>
      </c>
      <c r="F2223" s="28" t="s">
        <v>16</v>
      </c>
      <c r="G2223" s="26">
        <f>ROUND(C2223*E2223,0)</f>
        <v>744</v>
      </c>
      <c r="H2223" t="s">
        <v>5361</v>
      </c>
    </row>
    <row r="2224" spans="1:8" ht="210" x14ac:dyDescent="0.25">
      <c r="A2224" s="21" t="s">
        <v>5363</v>
      </c>
      <c r="B2224" s="25" t="s">
        <v>5365</v>
      </c>
      <c r="C2224" s="26"/>
      <c r="D2224" s="27"/>
      <c r="E2224" s="26"/>
      <c r="F2224" s="28"/>
      <c r="G2224" s="26"/>
      <c r="H2224" t="s">
        <v>5364</v>
      </c>
    </row>
    <row r="2225" spans="1:8" ht="30" x14ac:dyDescent="0.25">
      <c r="A2225" s="21" t="s">
        <v>5366</v>
      </c>
      <c r="B2225" s="25" t="s">
        <v>5367</v>
      </c>
      <c r="C2225" s="26">
        <v>1</v>
      </c>
      <c r="D2225" s="27" t="s">
        <v>15</v>
      </c>
      <c r="E2225" s="26">
        <v>854.15</v>
      </c>
      <c r="F2225" s="28" t="s">
        <v>16</v>
      </c>
      <c r="G2225" s="26">
        <f>ROUND(C2225*E2225,0)</f>
        <v>854</v>
      </c>
      <c r="H2225" t="s">
        <v>702</v>
      </c>
    </row>
    <row r="2226" spans="1:8" ht="30" x14ac:dyDescent="0.25">
      <c r="A2226" s="21" t="s">
        <v>5368</v>
      </c>
      <c r="B2226" s="25" t="s">
        <v>700</v>
      </c>
      <c r="C2226" s="26">
        <v>1</v>
      </c>
      <c r="D2226" s="27" t="s">
        <v>15</v>
      </c>
      <c r="E2226" s="26">
        <v>1365.5</v>
      </c>
      <c r="F2226" s="28" t="s">
        <v>16</v>
      </c>
      <c r="G2226" s="26">
        <f>ROUND(C2226*E2226,0)</f>
        <v>1366</v>
      </c>
      <c r="H2226" t="s">
        <v>702</v>
      </c>
    </row>
    <row r="2227" spans="1:8" ht="150" x14ac:dyDescent="0.25">
      <c r="A2227" s="21" t="s">
        <v>5369</v>
      </c>
      <c r="B2227" s="25" t="s">
        <v>5371</v>
      </c>
      <c r="C2227" s="26"/>
      <c r="D2227" s="27"/>
      <c r="E2227" s="26"/>
      <c r="F2227" s="28"/>
      <c r="G2227" s="26"/>
      <c r="H2227" t="s">
        <v>5370</v>
      </c>
    </row>
    <row r="2228" spans="1:8" ht="45" x14ac:dyDescent="0.25">
      <c r="A2228" s="21" t="s">
        <v>5372</v>
      </c>
      <c r="B2228" s="25" t="s">
        <v>5335</v>
      </c>
      <c r="C2228" s="26">
        <v>1</v>
      </c>
      <c r="D2228" s="27" t="s">
        <v>15</v>
      </c>
      <c r="E2228" s="26">
        <v>353.65</v>
      </c>
      <c r="F2228" s="28" t="s">
        <v>16</v>
      </c>
      <c r="G2228" s="26">
        <f>ROUND(C2228*E2228,0)</f>
        <v>354</v>
      </c>
      <c r="H2228" t="s">
        <v>5334</v>
      </c>
    </row>
    <row r="2229" spans="1:8" ht="30" x14ac:dyDescent="0.25">
      <c r="A2229" s="21" t="s">
        <v>5373</v>
      </c>
      <c r="B2229" s="25" t="s">
        <v>5375</v>
      </c>
      <c r="C2229" s="26">
        <v>1</v>
      </c>
      <c r="D2229" s="27" t="s">
        <v>15</v>
      </c>
      <c r="E2229" s="26">
        <v>377.05</v>
      </c>
      <c r="F2229" s="28" t="s">
        <v>16</v>
      </c>
      <c r="G2229" s="26">
        <f>ROUND(C2229*E2229,0)</f>
        <v>377</v>
      </c>
      <c r="H2229" t="s">
        <v>5374</v>
      </c>
    </row>
    <row r="2230" spans="1:8" ht="30" x14ac:dyDescent="0.25">
      <c r="A2230" s="21" t="s">
        <v>5376</v>
      </c>
      <c r="B2230" s="25" t="s">
        <v>5378</v>
      </c>
      <c r="C2230" s="26">
        <v>1</v>
      </c>
      <c r="D2230" s="27" t="s">
        <v>15</v>
      </c>
      <c r="E2230" s="26">
        <v>351.8</v>
      </c>
      <c r="F2230" s="28" t="s">
        <v>16</v>
      </c>
      <c r="G2230" s="26">
        <f>ROUND(C2230*E2230,0)</f>
        <v>352</v>
      </c>
      <c r="H2230" t="s">
        <v>5377</v>
      </c>
    </row>
    <row r="2231" spans="1:8" ht="150" x14ac:dyDescent="0.25">
      <c r="A2231" s="21" t="s">
        <v>5379</v>
      </c>
      <c r="B2231" s="25" t="s">
        <v>5381</v>
      </c>
      <c r="C2231" s="26"/>
      <c r="D2231" s="27"/>
      <c r="E2231" s="26"/>
      <c r="F2231" s="28"/>
      <c r="G2231" s="26"/>
      <c r="H2231" t="s">
        <v>5380</v>
      </c>
    </row>
    <row r="2232" spans="1:8" ht="45" x14ac:dyDescent="0.25">
      <c r="A2232" s="21" t="s">
        <v>5382</v>
      </c>
      <c r="B2232" s="25" t="s">
        <v>5335</v>
      </c>
      <c r="C2232" s="26">
        <v>1</v>
      </c>
      <c r="D2232" s="27" t="s">
        <v>15</v>
      </c>
      <c r="E2232" s="26">
        <v>531.6</v>
      </c>
      <c r="F2232" s="28" t="s">
        <v>16</v>
      </c>
      <c r="G2232" s="26">
        <f t="shared" ref="G2232:G2237" si="58">ROUND(C2232*E2232,0)</f>
        <v>532</v>
      </c>
      <c r="H2232" t="s">
        <v>5383</v>
      </c>
    </row>
    <row r="2233" spans="1:8" ht="30" x14ac:dyDescent="0.25">
      <c r="A2233" s="21" t="s">
        <v>5384</v>
      </c>
      <c r="B2233" s="25" t="s">
        <v>5385</v>
      </c>
      <c r="C2233" s="26">
        <v>1</v>
      </c>
      <c r="D2233" s="27" t="s">
        <v>15</v>
      </c>
      <c r="E2233" s="26">
        <v>568.6</v>
      </c>
      <c r="F2233" s="28" t="s">
        <v>16</v>
      </c>
      <c r="G2233" s="26">
        <f t="shared" si="58"/>
        <v>569</v>
      </c>
      <c r="H2233" t="s">
        <v>5337</v>
      </c>
    </row>
    <row r="2234" spans="1:8" ht="30" x14ac:dyDescent="0.25">
      <c r="A2234" s="21" t="s">
        <v>5386</v>
      </c>
      <c r="B2234" s="25" t="s">
        <v>5378</v>
      </c>
      <c r="C2234" s="26">
        <v>1</v>
      </c>
      <c r="D2234" s="27" t="s">
        <v>15</v>
      </c>
      <c r="E2234" s="26">
        <v>528.65</v>
      </c>
      <c r="F2234" s="28" t="s">
        <v>16</v>
      </c>
      <c r="G2234" s="26">
        <f t="shared" si="58"/>
        <v>529</v>
      </c>
      <c r="H2234" t="s">
        <v>5377</v>
      </c>
    </row>
    <row r="2235" spans="1:8" ht="105" x14ac:dyDescent="0.25">
      <c r="A2235" s="21" t="s">
        <v>5387</v>
      </c>
      <c r="B2235" s="25" t="s">
        <v>5389</v>
      </c>
      <c r="C2235" s="26">
        <v>1</v>
      </c>
      <c r="D2235" s="27" t="s">
        <v>15</v>
      </c>
      <c r="E2235" s="26">
        <v>88.55</v>
      </c>
      <c r="F2235" s="28" t="s">
        <v>16</v>
      </c>
      <c r="G2235" s="26">
        <f t="shared" si="58"/>
        <v>89</v>
      </c>
      <c r="H2235" t="s">
        <v>5388</v>
      </c>
    </row>
    <row r="2236" spans="1:8" ht="165" x14ac:dyDescent="0.25">
      <c r="A2236" s="21" t="s">
        <v>5390</v>
      </c>
      <c r="B2236" s="25" t="s">
        <v>5392</v>
      </c>
      <c r="C2236" s="26">
        <v>1</v>
      </c>
      <c r="D2236" s="27" t="s">
        <v>15</v>
      </c>
      <c r="E2236" s="26">
        <v>130.85</v>
      </c>
      <c r="F2236" s="28" t="s">
        <v>16</v>
      </c>
      <c r="G2236" s="26">
        <f t="shared" si="58"/>
        <v>131</v>
      </c>
      <c r="H2236" t="s">
        <v>5391</v>
      </c>
    </row>
    <row r="2237" spans="1:8" ht="75" x14ac:dyDescent="0.25">
      <c r="A2237" s="21" t="s">
        <v>5393</v>
      </c>
      <c r="B2237" s="25" t="s">
        <v>5395</v>
      </c>
      <c r="C2237" s="26">
        <v>1</v>
      </c>
      <c r="D2237" s="27" t="s">
        <v>21</v>
      </c>
      <c r="E2237" s="26">
        <v>7993.8</v>
      </c>
      <c r="F2237" s="28" t="s">
        <v>22</v>
      </c>
      <c r="G2237" s="26">
        <f t="shared" si="58"/>
        <v>7994</v>
      </c>
      <c r="H2237" t="s">
        <v>5394</v>
      </c>
    </row>
    <row r="2238" spans="1:8" ht="300" x14ac:dyDescent="0.25">
      <c r="A2238" s="21" t="s">
        <v>5396</v>
      </c>
      <c r="B2238" s="25" t="s">
        <v>5398</v>
      </c>
      <c r="C2238" s="26"/>
      <c r="D2238" s="27"/>
      <c r="E2238" s="26"/>
      <c r="F2238" s="28"/>
      <c r="G2238" s="26"/>
      <c r="H2238" t="s">
        <v>5397</v>
      </c>
    </row>
    <row r="2239" spans="1:8" ht="45" x14ac:dyDescent="0.25">
      <c r="A2239" s="21"/>
      <c r="B2239" s="25" t="s">
        <v>5399</v>
      </c>
      <c r="C2239" s="26"/>
      <c r="D2239" s="27"/>
      <c r="E2239" s="26"/>
      <c r="F2239" s="28"/>
      <c r="G2239" s="26"/>
    </row>
    <row r="2240" spans="1:8" ht="30" x14ac:dyDescent="0.25">
      <c r="A2240" s="21" t="s">
        <v>5400</v>
      </c>
      <c r="B2240" s="25" t="s">
        <v>5401</v>
      </c>
      <c r="C2240" s="26">
        <v>1</v>
      </c>
      <c r="D2240" s="27" t="s">
        <v>21</v>
      </c>
      <c r="E2240" s="26">
        <v>10529.35</v>
      </c>
      <c r="F2240" s="28" t="s">
        <v>22</v>
      </c>
      <c r="G2240" s="26">
        <f>ROUND(C2240*E2240,0)</f>
        <v>10529</v>
      </c>
      <c r="H2240" t="s">
        <v>5401</v>
      </c>
    </row>
    <row r="2241" spans="1:8" ht="45" x14ac:dyDescent="0.25">
      <c r="A2241" s="21" t="s">
        <v>5402</v>
      </c>
      <c r="B2241" s="25" t="s">
        <v>5403</v>
      </c>
      <c r="C2241" s="26">
        <v>1</v>
      </c>
      <c r="D2241" s="27" t="s">
        <v>21</v>
      </c>
      <c r="E2241" s="26">
        <v>11098.45</v>
      </c>
      <c r="F2241" s="28" t="s">
        <v>22</v>
      </c>
      <c r="G2241" s="26">
        <f>ROUND(C2241*E2241,0)</f>
        <v>11098</v>
      </c>
      <c r="H2241" t="s">
        <v>105</v>
      </c>
    </row>
    <row r="2242" spans="1:8" ht="45" x14ac:dyDescent="0.25">
      <c r="A2242" s="21" t="s">
        <v>5404</v>
      </c>
      <c r="B2242" s="25" t="s">
        <v>5406</v>
      </c>
      <c r="C2242" s="26">
        <v>1</v>
      </c>
      <c r="D2242" s="27" t="s">
        <v>230</v>
      </c>
      <c r="E2242" s="26">
        <v>55.5</v>
      </c>
      <c r="F2242" s="28" t="s">
        <v>231</v>
      </c>
      <c r="G2242" s="26">
        <f>ROUND(C2242*E2242,0)</f>
        <v>56</v>
      </c>
      <c r="H2242" t="s">
        <v>5405</v>
      </c>
    </row>
    <row r="2243" spans="1:8" ht="150" x14ac:dyDescent="0.25">
      <c r="A2243" s="21" t="s">
        <v>5407</v>
      </c>
      <c r="B2243" s="25" t="s">
        <v>5409</v>
      </c>
      <c r="C2243" s="26">
        <v>1</v>
      </c>
      <c r="D2243" s="27" t="s">
        <v>429</v>
      </c>
      <c r="E2243" s="26">
        <v>5.3</v>
      </c>
      <c r="F2243" s="28" t="s">
        <v>5410</v>
      </c>
      <c r="G2243" s="26">
        <f>ROUND(C2243*E2243,0)</f>
        <v>5</v>
      </c>
      <c r="H2243" t="s">
        <v>5408</v>
      </c>
    </row>
    <row r="2244" spans="1:8" ht="75" x14ac:dyDescent="0.25">
      <c r="A2244" s="21" t="s">
        <v>5411</v>
      </c>
      <c r="B2244" s="25" t="s">
        <v>5413</v>
      </c>
      <c r="C2244" s="26"/>
      <c r="D2244" s="27"/>
      <c r="E2244" s="26"/>
      <c r="F2244" s="28"/>
      <c r="G2244" s="26"/>
      <c r="H2244" t="s">
        <v>5412</v>
      </c>
    </row>
    <row r="2245" spans="1:8" ht="75" x14ac:dyDescent="0.25">
      <c r="A2245" s="21" t="s">
        <v>5414</v>
      </c>
      <c r="B2245" s="25" t="s">
        <v>5416</v>
      </c>
      <c r="C2245" s="26">
        <v>1</v>
      </c>
      <c r="D2245" s="27" t="s">
        <v>429</v>
      </c>
      <c r="E2245" s="26">
        <v>8.65</v>
      </c>
      <c r="F2245" s="28" t="s">
        <v>5417</v>
      </c>
      <c r="G2245" s="26">
        <f>ROUND(C2245*E2245,0)</f>
        <v>9</v>
      </c>
      <c r="H2245" t="s">
        <v>5415</v>
      </c>
    </row>
    <row r="2246" spans="1:8" ht="90" x14ac:dyDescent="0.25">
      <c r="A2246" s="21" t="s">
        <v>5418</v>
      </c>
      <c r="B2246" s="25" t="s">
        <v>5420</v>
      </c>
      <c r="C2246" s="26"/>
      <c r="D2246" s="27"/>
      <c r="E2246" s="26"/>
      <c r="F2246" s="28"/>
      <c r="G2246" s="26"/>
      <c r="H2246" t="s">
        <v>5419</v>
      </c>
    </row>
    <row r="2247" spans="1:8" ht="30" x14ac:dyDescent="0.25">
      <c r="A2247" s="21" t="s">
        <v>5421</v>
      </c>
      <c r="B2247" s="25" t="s">
        <v>5423</v>
      </c>
      <c r="C2247" s="26">
        <v>1</v>
      </c>
      <c r="D2247" s="27" t="s">
        <v>15</v>
      </c>
      <c r="E2247" s="26">
        <v>188.2</v>
      </c>
      <c r="F2247" s="28" t="s">
        <v>16</v>
      </c>
      <c r="G2247" s="26">
        <f>ROUND(C2247*E2247,0)</f>
        <v>188</v>
      </c>
      <c r="H2247" t="s">
        <v>5422</v>
      </c>
    </row>
    <row r="2248" spans="1:8" ht="30" x14ac:dyDescent="0.25">
      <c r="A2248" s="21" t="s">
        <v>5424</v>
      </c>
      <c r="B2248" s="25" t="s">
        <v>5426</v>
      </c>
      <c r="C2248" s="26">
        <v>1</v>
      </c>
      <c r="D2248" s="27" t="s">
        <v>15</v>
      </c>
      <c r="E2248" s="26">
        <v>120.8</v>
      </c>
      <c r="F2248" s="28" t="s">
        <v>16</v>
      </c>
      <c r="G2248" s="26">
        <f>ROUND(C2248*E2248,0)</f>
        <v>121</v>
      </c>
      <c r="H2248" t="s">
        <v>5425</v>
      </c>
    </row>
    <row r="2249" spans="1:8" ht="90" x14ac:dyDescent="0.25">
      <c r="A2249" s="21" t="s">
        <v>5427</v>
      </c>
      <c r="B2249" s="25" t="s">
        <v>5429</v>
      </c>
      <c r="C2249" s="26"/>
      <c r="D2249" s="27"/>
      <c r="E2249" s="26"/>
      <c r="F2249" s="28"/>
      <c r="G2249" s="26"/>
      <c r="H2249" t="s">
        <v>5428</v>
      </c>
    </row>
    <row r="2250" spans="1:8" ht="30" x14ac:dyDescent="0.25">
      <c r="A2250" s="21" t="s">
        <v>5430</v>
      </c>
      <c r="B2250" s="25" t="s">
        <v>5422</v>
      </c>
      <c r="C2250" s="26">
        <v>1</v>
      </c>
      <c r="D2250" s="27" t="s">
        <v>15</v>
      </c>
      <c r="E2250" s="26">
        <v>288.89999999999998</v>
      </c>
      <c r="F2250" s="28" t="s">
        <v>16</v>
      </c>
      <c r="G2250" s="26">
        <f>ROUND(C2250*E2250,0)</f>
        <v>289</v>
      </c>
      <c r="H2250" t="s">
        <v>5422</v>
      </c>
    </row>
    <row r="2251" spans="1:8" ht="30" x14ac:dyDescent="0.25">
      <c r="A2251" s="21" t="s">
        <v>5431</v>
      </c>
      <c r="B2251" s="25" t="s">
        <v>5426</v>
      </c>
      <c r="C2251" s="26">
        <v>1</v>
      </c>
      <c r="D2251" s="27" t="s">
        <v>15</v>
      </c>
      <c r="E2251" s="26">
        <v>189.85</v>
      </c>
      <c r="F2251" s="28" t="s">
        <v>16</v>
      </c>
      <c r="G2251" s="26">
        <f>ROUND(C2251*E2251,0)</f>
        <v>190</v>
      </c>
      <c r="H2251" t="s">
        <v>5432</v>
      </c>
    </row>
    <row r="2252" spans="1:8" ht="180" x14ac:dyDescent="0.25">
      <c r="A2252" s="21" t="s">
        <v>5433</v>
      </c>
      <c r="B2252" s="25" t="s">
        <v>5435</v>
      </c>
      <c r="C2252" s="26">
        <v>1</v>
      </c>
      <c r="D2252" s="27" t="s">
        <v>201</v>
      </c>
      <c r="E2252" s="26">
        <v>3050.4</v>
      </c>
      <c r="F2252" s="28" t="s">
        <v>202</v>
      </c>
      <c r="G2252" s="26">
        <f>ROUND(C2252*E2252,0)</f>
        <v>3050</v>
      </c>
      <c r="H2252" t="s">
        <v>5434</v>
      </c>
    </row>
    <row r="2253" spans="1:8" ht="285" x14ac:dyDescent="0.25">
      <c r="A2253" s="21" t="s">
        <v>5436</v>
      </c>
      <c r="B2253" s="25" t="s">
        <v>5438</v>
      </c>
      <c r="C2253" s="26">
        <v>1</v>
      </c>
      <c r="D2253" s="27" t="s">
        <v>201</v>
      </c>
      <c r="E2253" s="26">
        <v>206.3</v>
      </c>
      <c r="F2253" s="28" t="s">
        <v>202</v>
      </c>
      <c r="G2253" s="26">
        <f>ROUND(C2253*E2253,0)</f>
        <v>206</v>
      </c>
      <c r="H2253" t="s">
        <v>5437</v>
      </c>
    </row>
    <row r="2254" spans="1:8" ht="90" x14ac:dyDescent="0.25">
      <c r="A2254" s="21" t="s">
        <v>5439</v>
      </c>
      <c r="B2254" s="25" t="s">
        <v>5441</v>
      </c>
      <c r="C2254" s="26"/>
      <c r="D2254" s="27"/>
      <c r="E2254" s="26"/>
      <c r="F2254" s="28"/>
      <c r="G2254" s="26"/>
      <c r="H2254" t="s">
        <v>5440</v>
      </c>
    </row>
    <row r="2255" spans="1:8" ht="30" x14ac:dyDescent="0.25">
      <c r="A2255" s="21" t="s">
        <v>5442</v>
      </c>
      <c r="B2255" s="25" t="s">
        <v>5443</v>
      </c>
      <c r="C2255" s="26">
        <v>1</v>
      </c>
      <c r="D2255" s="27" t="s">
        <v>15</v>
      </c>
      <c r="E2255" s="26">
        <v>1514.4</v>
      </c>
      <c r="F2255" s="28" t="s">
        <v>22</v>
      </c>
      <c r="G2255" s="26">
        <f>ROUND(C2255*E2255,0)</f>
        <v>1514</v>
      </c>
      <c r="H2255" t="s">
        <v>5443</v>
      </c>
    </row>
    <row r="2256" spans="1:8" ht="135" x14ac:dyDescent="0.25">
      <c r="A2256" s="21" t="s">
        <v>5444</v>
      </c>
      <c r="B2256" s="25" t="s">
        <v>5446</v>
      </c>
      <c r="C2256" s="26">
        <v>1</v>
      </c>
      <c r="D2256" s="27" t="s">
        <v>15</v>
      </c>
      <c r="E2256" s="26">
        <v>13719.05</v>
      </c>
      <c r="F2256" s="28" t="s">
        <v>22</v>
      </c>
      <c r="G2256" s="26">
        <f>ROUND(C2256*E2256,0)</f>
        <v>13719</v>
      </c>
      <c r="H2256" t="s">
        <v>5445</v>
      </c>
    </row>
    <row r="2257" spans="1:8" ht="240" x14ac:dyDescent="0.25">
      <c r="A2257" s="21" t="s">
        <v>5447</v>
      </c>
      <c r="B2257" s="25" t="s">
        <v>5449</v>
      </c>
      <c r="C2257" s="26">
        <v>1</v>
      </c>
      <c r="D2257" s="27" t="s">
        <v>110</v>
      </c>
      <c r="E2257" s="26">
        <v>375.8</v>
      </c>
      <c r="F2257" s="28" t="s">
        <v>618</v>
      </c>
      <c r="G2257" s="26">
        <f>ROUND(C2257*E2257,0)</f>
        <v>376</v>
      </c>
      <c r="H2257" t="s">
        <v>5448</v>
      </c>
    </row>
    <row r="2258" spans="1:8" ht="180" x14ac:dyDescent="0.25">
      <c r="A2258" s="21" t="s">
        <v>5450</v>
      </c>
      <c r="B2258" s="25" t="s">
        <v>5452</v>
      </c>
      <c r="C2258" s="26"/>
      <c r="D2258" s="27"/>
      <c r="E2258" s="26"/>
      <c r="F2258" s="28"/>
      <c r="G2258" s="26"/>
      <c r="H2258" t="s">
        <v>5451</v>
      </c>
    </row>
    <row r="2259" spans="1:8" ht="75" x14ac:dyDescent="0.25">
      <c r="A2259" s="21" t="s">
        <v>5453</v>
      </c>
      <c r="B2259" s="25" t="s">
        <v>5455</v>
      </c>
      <c r="C2259" s="26">
        <v>1</v>
      </c>
      <c r="D2259" s="27" t="s">
        <v>15</v>
      </c>
      <c r="E2259" s="26">
        <v>11129.55</v>
      </c>
      <c r="F2259" s="28" t="s">
        <v>22</v>
      </c>
      <c r="G2259" s="26">
        <f>ROUND(C2259*E2259,0)</f>
        <v>11130</v>
      </c>
      <c r="H2259" t="s">
        <v>5454</v>
      </c>
    </row>
    <row r="2260" spans="1:8" ht="75" x14ac:dyDescent="0.25">
      <c r="A2260" s="21" t="s">
        <v>5456</v>
      </c>
      <c r="B2260" s="25" t="s">
        <v>5458</v>
      </c>
      <c r="C2260" s="26">
        <v>1</v>
      </c>
      <c r="D2260" s="27" t="s">
        <v>15</v>
      </c>
      <c r="E2260" s="26">
        <v>11032.2</v>
      </c>
      <c r="F2260" s="28" t="s">
        <v>22</v>
      </c>
      <c r="G2260" s="26">
        <f>ROUND(C2260*E2260,0)</f>
        <v>11032</v>
      </c>
      <c r="H2260" t="s">
        <v>5457</v>
      </c>
    </row>
    <row r="2261" spans="1:8" ht="165" x14ac:dyDescent="0.25">
      <c r="A2261" s="21" t="s">
        <v>5459</v>
      </c>
      <c r="B2261" s="25" t="s">
        <v>5461</v>
      </c>
      <c r="C2261" s="26"/>
      <c r="D2261" s="27"/>
      <c r="E2261" s="26"/>
      <c r="F2261" s="28"/>
      <c r="G2261" s="26"/>
      <c r="H2261" t="s">
        <v>5460</v>
      </c>
    </row>
    <row r="2262" spans="1:8" ht="60" x14ac:dyDescent="0.25">
      <c r="A2262" s="21" t="s">
        <v>5462</v>
      </c>
      <c r="B2262" s="25" t="s">
        <v>5464</v>
      </c>
      <c r="C2262" s="26">
        <v>1</v>
      </c>
      <c r="D2262" s="27" t="s">
        <v>15</v>
      </c>
      <c r="E2262" s="26">
        <v>8505.65</v>
      </c>
      <c r="F2262" s="28" t="s">
        <v>22</v>
      </c>
      <c r="G2262" s="26">
        <f>ROUND(C2262*E2262,0)</f>
        <v>8506</v>
      </c>
      <c r="H2262" t="s">
        <v>5463</v>
      </c>
    </row>
    <row r="2263" spans="1:8" ht="60" x14ac:dyDescent="0.25">
      <c r="A2263" s="21" t="s">
        <v>5465</v>
      </c>
      <c r="B2263" s="25" t="s">
        <v>5467</v>
      </c>
      <c r="C2263" s="26">
        <v>1</v>
      </c>
      <c r="D2263" s="27" t="s">
        <v>15</v>
      </c>
      <c r="E2263" s="26">
        <v>8413</v>
      </c>
      <c r="F2263" s="28" t="s">
        <v>22</v>
      </c>
      <c r="G2263" s="26">
        <f>ROUND(C2263*E2263,0)</f>
        <v>8413</v>
      </c>
      <c r="H2263" t="s">
        <v>5466</v>
      </c>
    </row>
    <row r="2264" spans="1:8" ht="165" x14ac:dyDescent="0.25">
      <c r="A2264" s="21" t="s">
        <v>5468</v>
      </c>
      <c r="B2264" s="25" t="s">
        <v>5470</v>
      </c>
      <c r="C2264" s="26"/>
      <c r="D2264" s="27"/>
      <c r="E2264" s="26"/>
      <c r="F2264" s="28"/>
      <c r="G2264" s="26"/>
      <c r="H2264" t="s">
        <v>5469</v>
      </c>
    </row>
    <row r="2265" spans="1:8" ht="75" x14ac:dyDescent="0.25">
      <c r="A2265" s="21" t="s">
        <v>5471</v>
      </c>
      <c r="B2265" s="25" t="s">
        <v>5473</v>
      </c>
      <c r="C2265" s="26">
        <v>1</v>
      </c>
      <c r="D2265" s="27" t="s">
        <v>15</v>
      </c>
      <c r="E2265" s="26">
        <v>277.7</v>
      </c>
      <c r="F2265" s="28" t="s">
        <v>16</v>
      </c>
      <c r="G2265" s="26">
        <f>ROUND(C2265*E2265,0)</f>
        <v>278</v>
      </c>
      <c r="H2265" t="s">
        <v>5472</v>
      </c>
    </row>
    <row r="2266" spans="1:8" ht="75" x14ac:dyDescent="0.25">
      <c r="A2266" s="21" t="s">
        <v>5474</v>
      </c>
      <c r="B2266" s="25" t="s">
        <v>5476</v>
      </c>
      <c r="C2266" s="26">
        <v>1</v>
      </c>
      <c r="D2266" s="27" t="s">
        <v>15</v>
      </c>
      <c r="E2266" s="26">
        <v>275.3</v>
      </c>
      <c r="F2266" s="28" t="s">
        <v>16</v>
      </c>
      <c r="G2266" s="26">
        <f>ROUND(C2266*E2266,0)</f>
        <v>275</v>
      </c>
      <c r="H2266" t="s">
        <v>5475</v>
      </c>
    </row>
    <row r="2267" spans="1:8" ht="165" x14ac:dyDescent="0.25">
      <c r="A2267" s="21" t="s">
        <v>5477</v>
      </c>
      <c r="B2267" s="25" t="s">
        <v>5479</v>
      </c>
      <c r="C2267" s="26"/>
      <c r="D2267" s="27"/>
      <c r="E2267" s="26"/>
      <c r="F2267" s="28"/>
      <c r="G2267" s="26"/>
      <c r="H2267" t="s">
        <v>5478</v>
      </c>
    </row>
    <row r="2268" spans="1:8" ht="75" x14ac:dyDescent="0.25">
      <c r="A2268" s="21" t="s">
        <v>5480</v>
      </c>
      <c r="B2268" s="25" t="s">
        <v>5482</v>
      </c>
      <c r="C2268" s="26">
        <v>1</v>
      </c>
      <c r="D2268" s="27" t="s">
        <v>15</v>
      </c>
      <c r="E2268" s="26">
        <v>12126.2</v>
      </c>
      <c r="F2268" s="28" t="s">
        <v>22</v>
      </c>
      <c r="G2268" s="26">
        <f t="shared" ref="G2268:G2275" si="59">ROUND(C2268*E2268,0)</f>
        <v>12126</v>
      </c>
      <c r="H2268" t="s">
        <v>5481</v>
      </c>
    </row>
    <row r="2269" spans="1:8" ht="105" x14ac:dyDescent="0.25">
      <c r="A2269" s="21" t="s">
        <v>5483</v>
      </c>
      <c r="B2269" s="25" t="s">
        <v>5485</v>
      </c>
      <c r="C2269" s="26">
        <v>1</v>
      </c>
      <c r="D2269" s="27" t="s">
        <v>15</v>
      </c>
      <c r="E2269" s="26">
        <v>12708.75</v>
      </c>
      <c r="F2269" s="28" t="s">
        <v>22</v>
      </c>
      <c r="G2269" s="26">
        <f t="shared" si="59"/>
        <v>12709</v>
      </c>
      <c r="H2269" t="s">
        <v>5484</v>
      </c>
    </row>
    <row r="2270" spans="1:8" ht="75" x14ac:dyDescent="0.25">
      <c r="A2270" s="21" t="s">
        <v>5486</v>
      </c>
      <c r="B2270" s="25" t="s">
        <v>5488</v>
      </c>
      <c r="C2270" s="26">
        <v>1</v>
      </c>
      <c r="D2270" s="27" t="s">
        <v>15</v>
      </c>
      <c r="E2270" s="26">
        <v>11204.1</v>
      </c>
      <c r="F2270" s="28" t="s">
        <v>22</v>
      </c>
      <c r="G2270" s="26">
        <f t="shared" si="59"/>
        <v>11204</v>
      </c>
      <c r="H2270" t="s">
        <v>5487</v>
      </c>
    </row>
    <row r="2271" spans="1:8" ht="75" x14ac:dyDescent="0.25">
      <c r="A2271" s="21" t="s">
        <v>5489</v>
      </c>
      <c r="B2271" s="25" t="s">
        <v>5491</v>
      </c>
      <c r="C2271" s="26">
        <v>1</v>
      </c>
      <c r="D2271" s="27" t="s">
        <v>15</v>
      </c>
      <c r="E2271" s="26">
        <v>10660.3</v>
      </c>
      <c r="F2271" s="28" t="s">
        <v>22</v>
      </c>
      <c r="G2271" s="26">
        <f t="shared" si="59"/>
        <v>10660</v>
      </c>
      <c r="H2271" t="s">
        <v>5490</v>
      </c>
    </row>
    <row r="2272" spans="1:8" ht="75" x14ac:dyDescent="0.25">
      <c r="A2272" s="21" t="s">
        <v>5492</v>
      </c>
      <c r="B2272" s="25" t="s">
        <v>5493</v>
      </c>
      <c r="C2272" s="26">
        <v>1</v>
      </c>
      <c r="D2272" s="27" t="s">
        <v>15</v>
      </c>
      <c r="E2272" s="26">
        <v>12026.8</v>
      </c>
      <c r="F2272" s="28" t="s">
        <v>22</v>
      </c>
      <c r="G2272" s="26">
        <f t="shared" si="59"/>
        <v>12027</v>
      </c>
      <c r="H2272" t="s">
        <v>5490</v>
      </c>
    </row>
    <row r="2273" spans="1:8" ht="105" x14ac:dyDescent="0.25">
      <c r="A2273" s="21" t="s">
        <v>5494</v>
      </c>
      <c r="B2273" s="25" t="s">
        <v>5496</v>
      </c>
      <c r="C2273" s="26">
        <v>1</v>
      </c>
      <c r="D2273" s="27" t="s">
        <v>15</v>
      </c>
      <c r="E2273" s="26">
        <v>12609.3</v>
      </c>
      <c r="F2273" s="28" t="s">
        <v>22</v>
      </c>
      <c r="G2273" s="26">
        <f t="shared" si="59"/>
        <v>12609</v>
      </c>
      <c r="H2273" t="s">
        <v>5495</v>
      </c>
    </row>
    <row r="2274" spans="1:8" ht="75" x14ac:dyDescent="0.25">
      <c r="A2274" s="21" t="s">
        <v>5497</v>
      </c>
      <c r="B2274" s="25" t="s">
        <v>5499</v>
      </c>
      <c r="C2274" s="26">
        <v>1</v>
      </c>
      <c r="D2274" s="27" t="s">
        <v>15</v>
      </c>
      <c r="E2274" s="26">
        <v>11104.65</v>
      </c>
      <c r="F2274" s="28" t="s">
        <v>22</v>
      </c>
      <c r="G2274" s="26">
        <f t="shared" si="59"/>
        <v>11105</v>
      </c>
      <c r="H2274" t="s">
        <v>5498</v>
      </c>
    </row>
    <row r="2275" spans="1:8" ht="75" x14ac:dyDescent="0.25">
      <c r="A2275" s="21" t="s">
        <v>5500</v>
      </c>
      <c r="B2275" s="25" t="s">
        <v>5502</v>
      </c>
      <c r="C2275" s="26">
        <v>1</v>
      </c>
      <c r="D2275" s="27" t="s">
        <v>15</v>
      </c>
      <c r="E2275" s="26">
        <v>10560.85</v>
      </c>
      <c r="F2275" s="28" t="s">
        <v>22</v>
      </c>
      <c r="G2275" s="26">
        <f t="shared" si="59"/>
        <v>10561</v>
      </c>
      <c r="H2275" t="s">
        <v>5501</v>
      </c>
    </row>
    <row r="2276" spans="1:8" ht="240" x14ac:dyDescent="0.25">
      <c r="A2276" s="21" t="s">
        <v>5503</v>
      </c>
      <c r="B2276" s="25" t="s">
        <v>5505</v>
      </c>
      <c r="C2276" s="26"/>
      <c r="D2276" s="27"/>
      <c r="E2276" s="26"/>
      <c r="F2276" s="28"/>
      <c r="G2276" s="26"/>
      <c r="H2276" t="s">
        <v>5504</v>
      </c>
    </row>
    <row r="2277" spans="1:8" ht="180" x14ac:dyDescent="0.25">
      <c r="A2277" s="21"/>
      <c r="B2277" s="25" t="s">
        <v>5506</v>
      </c>
      <c r="C2277" s="26"/>
      <c r="D2277" s="27"/>
      <c r="E2277" s="26"/>
      <c r="F2277" s="28"/>
      <c r="G2277" s="26"/>
    </row>
    <row r="2278" spans="1:8" ht="75" x14ac:dyDescent="0.25">
      <c r="A2278" s="21"/>
      <c r="B2278" s="25" t="s">
        <v>5507</v>
      </c>
      <c r="C2278" s="26"/>
      <c r="D2278" s="27"/>
      <c r="E2278" s="26"/>
      <c r="F2278" s="28"/>
      <c r="G2278" s="26"/>
    </row>
    <row r="2279" spans="1:8" ht="30" x14ac:dyDescent="0.25">
      <c r="A2279" s="21" t="s">
        <v>5508</v>
      </c>
      <c r="B2279" s="25" t="s">
        <v>5510</v>
      </c>
      <c r="C2279" s="26">
        <v>1</v>
      </c>
      <c r="D2279" s="27" t="s">
        <v>201</v>
      </c>
      <c r="E2279" s="26">
        <v>7183.35</v>
      </c>
      <c r="F2279" s="28" t="s">
        <v>202</v>
      </c>
      <c r="G2279" s="26">
        <f>ROUND(C2279*E2279,0)</f>
        <v>7183</v>
      </c>
      <c r="H2279" t="s">
        <v>5509</v>
      </c>
    </row>
    <row r="2280" spans="1:8" ht="45" x14ac:dyDescent="0.25">
      <c r="A2280" s="21" t="s">
        <v>5511</v>
      </c>
      <c r="B2280" s="25" t="s">
        <v>5513</v>
      </c>
      <c r="C2280" s="26">
        <v>1</v>
      </c>
      <c r="D2280" s="27" t="s">
        <v>201</v>
      </c>
      <c r="E2280" s="26">
        <v>5559.75</v>
      </c>
      <c r="F2280" s="28" t="s">
        <v>202</v>
      </c>
      <c r="G2280" s="26">
        <f>ROUND(C2280*E2280,0)</f>
        <v>5560</v>
      </c>
      <c r="H2280" t="s">
        <v>5512</v>
      </c>
    </row>
    <row r="2281" spans="1:8" ht="315" x14ac:dyDescent="0.25">
      <c r="A2281" s="21" t="s">
        <v>5514</v>
      </c>
      <c r="B2281" s="25" t="s">
        <v>5516</v>
      </c>
      <c r="C2281" s="26"/>
      <c r="D2281" s="27"/>
      <c r="E2281" s="26"/>
      <c r="F2281" s="28"/>
      <c r="G2281" s="26"/>
      <c r="H2281" t="s">
        <v>5515</v>
      </c>
    </row>
    <row r="2282" spans="1:8" ht="135" x14ac:dyDescent="0.25">
      <c r="A2282" s="21"/>
      <c r="B2282" s="25" t="s">
        <v>5517</v>
      </c>
      <c r="C2282" s="26"/>
      <c r="D2282" s="27"/>
      <c r="E2282" s="26"/>
      <c r="F2282" s="28"/>
      <c r="G2282" s="26"/>
    </row>
    <row r="2283" spans="1:8" ht="30" x14ac:dyDescent="0.25">
      <c r="A2283" s="21" t="s">
        <v>5518</v>
      </c>
      <c r="B2283" s="25" t="s">
        <v>5520</v>
      </c>
      <c r="C2283" s="26">
        <v>1</v>
      </c>
      <c r="D2283" s="27" t="s">
        <v>15</v>
      </c>
      <c r="E2283" s="26">
        <v>5879.9</v>
      </c>
      <c r="F2283" s="28" t="s">
        <v>16</v>
      </c>
      <c r="G2283" s="26">
        <f t="shared" ref="G2283:G2288" si="60">ROUND(C2283*E2283,0)</f>
        <v>5880</v>
      </c>
      <c r="H2283" t="s">
        <v>5519</v>
      </c>
    </row>
    <row r="2284" spans="1:8" ht="300" x14ac:dyDescent="0.25">
      <c r="A2284" s="21" t="s">
        <v>5521</v>
      </c>
      <c r="B2284" s="25" t="s">
        <v>5523</v>
      </c>
      <c r="C2284" s="26">
        <v>1</v>
      </c>
      <c r="D2284" s="27" t="s">
        <v>201</v>
      </c>
      <c r="E2284" s="26">
        <v>8154.35</v>
      </c>
      <c r="F2284" s="28" t="s">
        <v>202</v>
      </c>
      <c r="G2284" s="26">
        <f t="shared" si="60"/>
        <v>8154</v>
      </c>
      <c r="H2284" t="s">
        <v>5522</v>
      </c>
    </row>
    <row r="2285" spans="1:8" ht="180" x14ac:dyDescent="0.25">
      <c r="A2285" s="21" t="s">
        <v>5524</v>
      </c>
      <c r="B2285" s="25" t="s">
        <v>5526</v>
      </c>
      <c r="C2285" s="26">
        <v>1</v>
      </c>
      <c r="D2285" s="27" t="s">
        <v>15</v>
      </c>
      <c r="E2285" s="26">
        <v>747.8</v>
      </c>
      <c r="F2285" s="28" t="s">
        <v>16</v>
      </c>
      <c r="G2285" s="26">
        <f t="shared" si="60"/>
        <v>748</v>
      </c>
      <c r="H2285" t="s">
        <v>5525</v>
      </c>
    </row>
    <row r="2286" spans="1:8" ht="135" x14ac:dyDescent="0.25">
      <c r="A2286" s="21" t="s">
        <v>5527</v>
      </c>
      <c r="B2286" s="25" t="s">
        <v>5529</v>
      </c>
      <c r="C2286" s="26">
        <v>1</v>
      </c>
      <c r="D2286" s="27" t="s">
        <v>15</v>
      </c>
      <c r="E2286" s="26">
        <v>558.29999999999995</v>
      </c>
      <c r="F2286" s="28" t="s">
        <v>16</v>
      </c>
      <c r="G2286" s="26">
        <f t="shared" si="60"/>
        <v>558</v>
      </c>
      <c r="H2286" t="s">
        <v>5528</v>
      </c>
    </row>
    <row r="2287" spans="1:8" ht="90" x14ac:dyDescent="0.25">
      <c r="A2287" s="21" t="s">
        <v>5530</v>
      </c>
      <c r="B2287" s="25" t="s">
        <v>5532</v>
      </c>
      <c r="C2287" s="26">
        <v>1</v>
      </c>
      <c r="D2287" s="27" t="s">
        <v>15</v>
      </c>
      <c r="E2287" s="26">
        <v>199.35</v>
      </c>
      <c r="F2287" s="28" t="s">
        <v>16</v>
      </c>
      <c r="G2287" s="26">
        <f t="shared" si="60"/>
        <v>199</v>
      </c>
      <c r="H2287" t="s">
        <v>5531</v>
      </c>
    </row>
    <row r="2288" spans="1:8" ht="90" x14ac:dyDescent="0.25">
      <c r="A2288" s="21" t="s">
        <v>5533</v>
      </c>
      <c r="B2288" s="25" t="s">
        <v>5535</v>
      </c>
      <c r="C2288" s="26">
        <v>1</v>
      </c>
      <c r="D2288" s="27" t="s">
        <v>201</v>
      </c>
      <c r="E2288" s="26">
        <v>904.2</v>
      </c>
      <c r="F2288" s="28" t="s">
        <v>202</v>
      </c>
      <c r="G2288" s="26">
        <f t="shared" si="60"/>
        <v>904</v>
      </c>
      <c r="H2288" t="s">
        <v>5534</v>
      </c>
    </row>
    <row r="2289" spans="1:8" ht="105" x14ac:dyDescent="0.25">
      <c r="A2289" s="21" t="s">
        <v>5536</v>
      </c>
      <c r="B2289" s="25" t="s">
        <v>5538</v>
      </c>
      <c r="C2289" s="26"/>
      <c r="D2289" s="27"/>
      <c r="E2289" s="26"/>
      <c r="F2289" s="28"/>
      <c r="G2289" s="26"/>
      <c r="H2289" t="s">
        <v>5537</v>
      </c>
    </row>
    <row r="2290" spans="1:8" x14ac:dyDescent="0.25">
      <c r="A2290" s="21" t="s">
        <v>5539</v>
      </c>
      <c r="B2290" s="25" t="s">
        <v>5540</v>
      </c>
      <c r="C2290" s="26">
        <v>1</v>
      </c>
      <c r="D2290" s="27" t="s">
        <v>201</v>
      </c>
      <c r="E2290" s="26">
        <v>27.5</v>
      </c>
      <c r="F2290" s="28" t="s">
        <v>202</v>
      </c>
      <c r="G2290" s="26">
        <f>ROUND(C2290*E2290,0)</f>
        <v>28</v>
      </c>
      <c r="H2290" t="s">
        <v>5540</v>
      </c>
    </row>
    <row r="2291" spans="1:8" ht="180" x14ac:dyDescent="0.25">
      <c r="A2291" s="21" t="s">
        <v>5541</v>
      </c>
      <c r="B2291" s="25" t="s">
        <v>5543</v>
      </c>
      <c r="C2291" s="26">
        <v>1</v>
      </c>
      <c r="D2291" s="27" t="s">
        <v>15</v>
      </c>
      <c r="E2291" s="26">
        <v>1600.55</v>
      </c>
      <c r="F2291" s="28" t="s">
        <v>16</v>
      </c>
      <c r="G2291" s="26">
        <f>ROUND(C2291*E2291,0)</f>
        <v>1601</v>
      </c>
      <c r="H2291" t="s">
        <v>5542</v>
      </c>
    </row>
    <row r="2292" spans="1:8" ht="135" x14ac:dyDescent="0.25">
      <c r="A2292" s="21" t="s">
        <v>5544</v>
      </c>
      <c r="B2292" s="25" t="s">
        <v>5546</v>
      </c>
      <c r="C2292" s="26">
        <v>1</v>
      </c>
      <c r="D2292" s="27" t="s">
        <v>15</v>
      </c>
      <c r="E2292" s="26">
        <v>972</v>
      </c>
      <c r="F2292" s="28" t="s">
        <v>16</v>
      </c>
      <c r="G2292" s="26">
        <f>ROUND(C2292*E2292,0)</f>
        <v>972</v>
      </c>
      <c r="H2292" t="s">
        <v>5545</v>
      </c>
    </row>
    <row r="2293" spans="1:8" ht="195" x14ac:dyDescent="0.25">
      <c r="A2293" s="21" t="s">
        <v>5547</v>
      </c>
      <c r="B2293" s="25" t="s">
        <v>5549</v>
      </c>
      <c r="C2293" s="26">
        <v>1</v>
      </c>
      <c r="D2293" s="27" t="s">
        <v>15</v>
      </c>
      <c r="E2293" s="26">
        <v>10117.6</v>
      </c>
      <c r="F2293" s="28" t="s">
        <v>22</v>
      </c>
      <c r="G2293" s="26">
        <f>ROUND(C2293*E2293,0)</f>
        <v>10118</v>
      </c>
      <c r="H2293" t="s">
        <v>5548</v>
      </c>
    </row>
    <row r="2294" spans="1:8" ht="75" x14ac:dyDescent="0.25">
      <c r="A2294" s="21" t="s">
        <v>5550</v>
      </c>
      <c r="B2294" s="25" t="s">
        <v>5552</v>
      </c>
      <c r="C2294" s="26"/>
      <c r="D2294" s="27"/>
      <c r="E2294" s="26"/>
      <c r="F2294" s="28"/>
      <c r="G2294" s="26"/>
      <c r="H2294" t="s">
        <v>5551</v>
      </c>
    </row>
    <row r="2295" spans="1:8" ht="30" x14ac:dyDescent="0.25">
      <c r="A2295" s="21" t="s">
        <v>5553</v>
      </c>
      <c r="B2295" s="25" t="s">
        <v>5555</v>
      </c>
      <c r="C2295" s="26">
        <v>1</v>
      </c>
      <c r="D2295" s="27" t="s">
        <v>15</v>
      </c>
      <c r="E2295" s="26">
        <v>1017.8</v>
      </c>
      <c r="F2295" s="28" t="s">
        <v>16</v>
      </c>
      <c r="G2295" s="26">
        <f>ROUND(C2295*E2295,0)</f>
        <v>1018</v>
      </c>
      <c r="H2295" t="s">
        <v>5554</v>
      </c>
    </row>
    <row r="2296" spans="1:8" ht="45" x14ac:dyDescent="0.25">
      <c r="A2296" s="21" t="s">
        <v>5556</v>
      </c>
      <c r="B2296" s="25" t="s">
        <v>5558</v>
      </c>
      <c r="C2296" s="26">
        <v>1</v>
      </c>
      <c r="D2296" s="27" t="s">
        <v>15</v>
      </c>
      <c r="E2296" s="26">
        <v>1067.0999999999999</v>
      </c>
      <c r="F2296" s="28" t="s">
        <v>16</v>
      </c>
      <c r="G2296" s="26">
        <f>ROUND(C2296*E2296,0)</f>
        <v>1067</v>
      </c>
      <c r="H2296" t="s">
        <v>5557</v>
      </c>
    </row>
    <row r="2297" spans="1:8" ht="90" x14ac:dyDescent="0.25">
      <c r="A2297" s="21" t="s">
        <v>5559</v>
      </c>
      <c r="B2297" s="25" t="s">
        <v>5561</v>
      </c>
      <c r="C2297" s="26">
        <v>1</v>
      </c>
      <c r="D2297" s="27" t="s">
        <v>15</v>
      </c>
      <c r="E2297" s="26">
        <v>1149.25</v>
      </c>
      <c r="F2297" s="28" t="s">
        <v>16</v>
      </c>
      <c r="G2297" s="26">
        <f>ROUND(C2297*E2297,0)</f>
        <v>1149</v>
      </c>
      <c r="H2297" t="s">
        <v>5560</v>
      </c>
    </row>
    <row r="2298" spans="1:8" ht="30" x14ac:dyDescent="0.25">
      <c r="A2298" s="21" t="s">
        <v>5562</v>
      </c>
      <c r="B2298" s="25" t="s">
        <v>5564</v>
      </c>
      <c r="C2298" s="26">
        <v>1</v>
      </c>
      <c r="D2298" s="27" t="s">
        <v>15</v>
      </c>
      <c r="E2298" s="26">
        <v>995.85</v>
      </c>
      <c r="F2298" s="28" t="s">
        <v>22</v>
      </c>
      <c r="G2298" s="26">
        <f>ROUND(C2298*E2298,0)</f>
        <v>996</v>
      </c>
      <c r="H2298" t="s">
        <v>5563</v>
      </c>
    </row>
    <row r="2299" spans="1:8" ht="90" x14ac:dyDescent="0.25">
      <c r="A2299" s="21" t="s">
        <v>5565</v>
      </c>
      <c r="B2299" s="25" t="s">
        <v>5567</v>
      </c>
      <c r="C2299" s="26">
        <v>1</v>
      </c>
      <c r="D2299" s="27" t="s">
        <v>15</v>
      </c>
      <c r="E2299" s="26">
        <v>659.05</v>
      </c>
      <c r="F2299" s="28" t="s">
        <v>16</v>
      </c>
      <c r="G2299" s="26">
        <f>ROUND(C2299*E2299,0)</f>
        <v>659</v>
      </c>
      <c r="H2299" t="s">
        <v>5566</v>
      </c>
    </row>
    <row r="2300" spans="1:8" ht="45" x14ac:dyDescent="0.25">
      <c r="A2300" s="21" t="s">
        <v>5568</v>
      </c>
      <c r="B2300" s="25" t="s">
        <v>5569</v>
      </c>
      <c r="C2300" s="26"/>
      <c r="D2300" s="27"/>
      <c r="E2300" s="26"/>
      <c r="F2300" s="28"/>
      <c r="G2300" s="26"/>
      <c r="H2300" t="s">
        <v>5569</v>
      </c>
    </row>
    <row r="2301" spans="1:8" ht="30" x14ac:dyDescent="0.25">
      <c r="A2301" s="21" t="s">
        <v>5570</v>
      </c>
      <c r="B2301" s="25" t="s">
        <v>5571</v>
      </c>
      <c r="C2301" s="26">
        <v>1</v>
      </c>
      <c r="D2301" s="27" t="s">
        <v>15</v>
      </c>
      <c r="E2301" s="26">
        <v>76.3</v>
      </c>
      <c r="F2301" s="28" t="s">
        <v>16</v>
      </c>
      <c r="G2301" s="26">
        <f t="shared" ref="G2301:G2306" si="61">ROUND(C2301*E2301,0)</f>
        <v>76</v>
      </c>
      <c r="H2301" t="s">
        <v>5187</v>
      </c>
    </row>
    <row r="2302" spans="1:8" ht="30" x14ac:dyDescent="0.25">
      <c r="A2302" s="21" t="s">
        <v>5572</v>
      </c>
      <c r="B2302" s="25" t="s">
        <v>5574</v>
      </c>
      <c r="C2302" s="26">
        <v>1</v>
      </c>
      <c r="D2302" s="27" t="s">
        <v>15</v>
      </c>
      <c r="E2302" s="26">
        <v>175</v>
      </c>
      <c r="F2302" s="28" t="s">
        <v>16</v>
      </c>
      <c r="G2302" s="26">
        <f t="shared" si="61"/>
        <v>175</v>
      </c>
      <c r="H2302" t="s">
        <v>5573</v>
      </c>
    </row>
    <row r="2303" spans="1:8" ht="30" x14ac:dyDescent="0.25">
      <c r="A2303" s="21" t="s">
        <v>5575</v>
      </c>
      <c r="B2303" s="25" t="s">
        <v>5577</v>
      </c>
      <c r="C2303" s="26">
        <v>1</v>
      </c>
      <c r="D2303" s="27" t="s">
        <v>15</v>
      </c>
      <c r="E2303" s="26">
        <v>172.35</v>
      </c>
      <c r="F2303" s="28" t="s">
        <v>16</v>
      </c>
      <c r="G2303" s="26">
        <f t="shared" si="61"/>
        <v>172</v>
      </c>
      <c r="H2303" t="s">
        <v>5576</v>
      </c>
    </row>
    <row r="2304" spans="1:8" ht="180" x14ac:dyDescent="0.25">
      <c r="A2304" s="21" t="s">
        <v>5578</v>
      </c>
      <c r="B2304" s="25" t="s">
        <v>5580</v>
      </c>
      <c r="C2304" s="26">
        <v>1</v>
      </c>
      <c r="D2304" s="27" t="s">
        <v>15</v>
      </c>
      <c r="E2304" s="26">
        <v>9823.7999999999993</v>
      </c>
      <c r="F2304" s="28" t="s">
        <v>22</v>
      </c>
      <c r="G2304" s="26">
        <f t="shared" si="61"/>
        <v>9824</v>
      </c>
      <c r="H2304" t="s">
        <v>5579</v>
      </c>
    </row>
    <row r="2305" spans="1:8" ht="30" x14ac:dyDescent="0.25">
      <c r="A2305" s="21" t="s">
        <v>5581</v>
      </c>
      <c r="B2305" s="25" t="s">
        <v>5582</v>
      </c>
      <c r="C2305" s="26">
        <v>1</v>
      </c>
      <c r="D2305" s="27" t="s">
        <v>15</v>
      </c>
      <c r="E2305" s="26">
        <v>-203.8</v>
      </c>
      <c r="F2305" s="28" t="s">
        <v>22</v>
      </c>
      <c r="G2305" s="26">
        <f t="shared" si="61"/>
        <v>-204</v>
      </c>
      <c r="H2305" t="s">
        <v>5582</v>
      </c>
    </row>
    <row r="2306" spans="1:8" ht="60" x14ac:dyDescent="0.25">
      <c r="A2306" s="21" t="s">
        <v>5583</v>
      </c>
      <c r="B2306" s="25" t="s">
        <v>5585</v>
      </c>
      <c r="C2306" s="26">
        <v>1</v>
      </c>
      <c r="D2306" s="27" t="s">
        <v>15</v>
      </c>
      <c r="E2306" s="26">
        <v>7</v>
      </c>
      <c r="F2306" s="28" t="s">
        <v>16</v>
      </c>
      <c r="G2306" s="26">
        <f t="shared" si="61"/>
        <v>7</v>
      </c>
      <c r="H2306" t="s">
        <v>5584</v>
      </c>
    </row>
    <row r="2307" spans="1:8" ht="150" x14ac:dyDescent="0.25">
      <c r="A2307" s="21" t="s">
        <v>5586</v>
      </c>
      <c r="B2307" s="25" t="s">
        <v>5588</v>
      </c>
      <c r="C2307" s="26"/>
      <c r="D2307" s="27"/>
      <c r="E2307" s="26"/>
      <c r="F2307" s="28"/>
      <c r="G2307" s="26"/>
      <c r="H2307" t="s">
        <v>5587</v>
      </c>
    </row>
    <row r="2308" spans="1:8" ht="30" x14ac:dyDescent="0.25">
      <c r="A2308" s="21" t="s">
        <v>5589</v>
      </c>
      <c r="B2308" s="25" t="s">
        <v>5591</v>
      </c>
      <c r="C2308" s="26">
        <v>1</v>
      </c>
      <c r="D2308" s="27" t="s">
        <v>15</v>
      </c>
      <c r="E2308" s="26">
        <v>2784</v>
      </c>
      <c r="F2308" s="28" t="s">
        <v>22</v>
      </c>
      <c r="G2308" s="26">
        <f>ROUND(C2308*E2308,0)</f>
        <v>2784</v>
      </c>
      <c r="H2308" t="s">
        <v>5590</v>
      </c>
    </row>
    <row r="2309" spans="1:8" ht="30" x14ac:dyDescent="0.25">
      <c r="A2309" s="21" t="s">
        <v>5592</v>
      </c>
      <c r="B2309" s="25" t="s">
        <v>5594</v>
      </c>
      <c r="C2309" s="26">
        <v>1</v>
      </c>
      <c r="D2309" s="27" t="s">
        <v>15</v>
      </c>
      <c r="E2309" s="26">
        <v>2924.85</v>
      </c>
      <c r="F2309" s="28" t="s">
        <v>22</v>
      </c>
      <c r="G2309" s="26">
        <f>ROUND(C2309*E2309,0)</f>
        <v>2925</v>
      </c>
      <c r="H2309" t="s">
        <v>5593</v>
      </c>
    </row>
    <row r="2310" spans="1:8" ht="30" x14ac:dyDescent="0.25">
      <c r="A2310" s="21" t="s">
        <v>5595</v>
      </c>
      <c r="B2310" s="25" t="s">
        <v>5597</v>
      </c>
      <c r="C2310" s="26">
        <v>1</v>
      </c>
      <c r="D2310" s="27" t="s">
        <v>15</v>
      </c>
      <c r="E2310" s="26">
        <v>2808.55</v>
      </c>
      <c r="F2310" s="28" t="s">
        <v>22</v>
      </c>
      <c r="G2310" s="26">
        <f>ROUND(C2310*E2310,0)</f>
        <v>2809</v>
      </c>
      <c r="H2310" t="s">
        <v>5596</v>
      </c>
    </row>
    <row r="2311" spans="1:8" ht="165" x14ac:dyDescent="0.25">
      <c r="A2311" s="21" t="s">
        <v>5598</v>
      </c>
      <c r="B2311" s="25" t="s">
        <v>5600</v>
      </c>
      <c r="C2311" s="26">
        <v>1</v>
      </c>
      <c r="D2311" s="27" t="s">
        <v>15</v>
      </c>
      <c r="E2311" s="26">
        <v>2914.3</v>
      </c>
      <c r="F2311" s="28" t="s">
        <v>22</v>
      </c>
      <c r="G2311" s="26">
        <f>ROUND(C2311*E2311,0)</f>
        <v>2914</v>
      </c>
      <c r="H2311" t="s">
        <v>5599</v>
      </c>
    </row>
    <row r="2312" spans="1:8" ht="225" x14ac:dyDescent="0.25">
      <c r="A2312" s="21" t="s">
        <v>5601</v>
      </c>
      <c r="B2312" s="25" t="s">
        <v>5603</v>
      </c>
      <c r="C2312" s="26">
        <v>1</v>
      </c>
      <c r="D2312" s="27" t="s">
        <v>15</v>
      </c>
      <c r="E2312" s="26">
        <v>4148.6499999999996</v>
      </c>
      <c r="F2312" s="28" t="s">
        <v>22</v>
      </c>
      <c r="G2312" s="26">
        <f>ROUND(C2312*E2312,0)</f>
        <v>4149</v>
      </c>
      <c r="H2312" t="s">
        <v>5602</v>
      </c>
    </row>
    <row r="2313" spans="1:8" ht="195" x14ac:dyDescent="0.25">
      <c r="A2313" s="21" t="s">
        <v>5604</v>
      </c>
      <c r="B2313" s="25" t="s">
        <v>5606</v>
      </c>
      <c r="C2313" s="26"/>
      <c r="D2313" s="27"/>
      <c r="E2313" s="26"/>
      <c r="F2313" s="28"/>
      <c r="G2313" s="26"/>
      <c r="H2313" t="s">
        <v>5605</v>
      </c>
    </row>
    <row r="2314" spans="1:8" ht="60" x14ac:dyDescent="0.25">
      <c r="A2314" s="21"/>
      <c r="B2314" s="25" t="s">
        <v>5607</v>
      </c>
      <c r="C2314" s="26"/>
      <c r="D2314" s="27"/>
      <c r="E2314" s="26"/>
      <c r="F2314" s="28"/>
      <c r="G2314" s="26"/>
    </row>
    <row r="2315" spans="1:8" ht="255" x14ac:dyDescent="0.25">
      <c r="A2315" s="21"/>
      <c r="B2315" s="25" t="s">
        <v>5608</v>
      </c>
      <c r="C2315" s="26"/>
      <c r="D2315" s="27"/>
      <c r="E2315" s="26"/>
      <c r="F2315" s="28"/>
      <c r="G2315" s="26"/>
    </row>
    <row r="2316" spans="1:8" ht="75" x14ac:dyDescent="0.25">
      <c r="A2316" s="21"/>
      <c r="B2316" s="25" t="s">
        <v>5609</v>
      </c>
      <c r="C2316" s="26">
        <v>1</v>
      </c>
      <c r="D2316" s="27" t="s">
        <v>15</v>
      </c>
      <c r="E2316" s="26">
        <v>3439.5</v>
      </c>
      <c r="F2316" s="28" t="s">
        <v>618</v>
      </c>
      <c r="G2316" s="26">
        <f>ROUND(C2316*E2316,0)</f>
        <v>3440</v>
      </c>
    </row>
    <row r="2317" spans="1:8" ht="105" x14ac:dyDescent="0.25">
      <c r="A2317" s="21" t="s">
        <v>5610</v>
      </c>
      <c r="B2317" s="25" t="s">
        <v>5612</v>
      </c>
      <c r="C2317" s="26">
        <v>1</v>
      </c>
      <c r="D2317" s="27" t="s">
        <v>110</v>
      </c>
      <c r="E2317" s="26">
        <v>39.35</v>
      </c>
      <c r="F2317" s="28" t="s">
        <v>618</v>
      </c>
      <c r="G2317" s="26">
        <f>ROUND(C2317*E2317,0)</f>
        <v>39</v>
      </c>
      <c r="H2317" t="s">
        <v>5611</v>
      </c>
    </row>
    <row r="2318" spans="1:8" ht="105" x14ac:dyDescent="0.25">
      <c r="A2318" s="21" t="s">
        <v>5613</v>
      </c>
      <c r="B2318" s="25" t="s">
        <v>5615</v>
      </c>
      <c r="C2318" s="26">
        <v>1</v>
      </c>
      <c r="D2318" s="27" t="s">
        <v>15</v>
      </c>
      <c r="E2318" s="26">
        <v>131.75</v>
      </c>
      <c r="F2318" s="28" t="s">
        <v>16</v>
      </c>
      <c r="G2318" s="26">
        <f>ROUND(C2318*E2318,0)</f>
        <v>132</v>
      </c>
      <c r="H2318" t="s">
        <v>5614</v>
      </c>
    </row>
    <row r="2319" spans="1:8" ht="120" x14ac:dyDescent="0.25">
      <c r="A2319" s="21" t="s">
        <v>5616</v>
      </c>
      <c r="B2319" s="25" t="s">
        <v>5618</v>
      </c>
      <c r="C2319" s="26">
        <v>1</v>
      </c>
      <c r="D2319" s="27" t="s">
        <v>15</v>
      </c>
      <c r="E2319" s="26">
        <v>402.95</v>
      </c>
      <c r="F2319" s="28" t="s">
        <v>16</v>
      </c>
      <c r="G2319" s="26">
        <f>ROUND(C2319*E2319,0)</f>
        <v>403</v>
      </c>
      <c r="H2319" t="s">
        <v>5617</v>
      </c>
    </row>
    <row r="2320" spans="1:8" ht="180" x14ac:dyDescent="0.25">
      <c r="A2320" s="21" t="s">
        <v>5619</v>
      </c>
      <c r="B2320" s="25" t="s">
        <v>5621</v>
      </c>
      <c r="C2320" s="26">
        <v>1</v>
      </c>
      <c r="D2320" s="27" t="s">
        <v>110</v>
      </c>
      <c r="E2320" s="26">
        <v>109.45</v>
      </c>
      <c r="F2320" s="28" t="s">
        <v>68</v>
      </c>
      <c r="G2320" s="26">
        <f>ROUND(C2320*E2320,0)</f>
        <v>109</v>
      </c>
      <c r="H2320" t="s">
        <v>5620</v>
      </c>
    </row>
    <row r="2321" spans="1:8" ht="150" x14ac:dyDescent="0.25">
      <c r="A2321" s="21" t="s">
        <v>5622</v>
      </c>
      <c r="B2321" s="25" t="s">
        <v>5624</v>
      </c>
      <c r="C2321" s="26"/>
      <c r="D2321" s="27"/>
      <c r="E2321" s="26"/>
      <c r="F2321" s="28"/>
      <c r="G2321" s="26"/>
      <c r="H2321" t="s">
        <v>5623</v>
      </c>
    </row>
    <row r="2322" spans="1:8" ht="30" x14ac:dyDescent="0.25">
      <c r="A2322" s="21" t="s">
        <v>5625</v>
      </c>
      <c r="B2322" s="25" t="s">
        <v>5627</v>
      </c>
      <c r="C2322" s="26">
        <v>1</v>
      </c>
      <c r="D2322" s="27" t="s">
        <v>15</v>
      </c>
      <c r="E2322" s="26">
        <v>4746.2</v>
      </c>
      <c r="F2322" s="28" t="s">
        <v>16</v>
      </c>
      <c r="G2322" s="26">
        <f>ROUND(C2322*E2322,0)</f>
        <v>4746</v>
      </c>
      <c r="H2322" t="s">
        <v>5626</v>
      </c>
    </row>
    <row r="2323" spans="1:8" ht="150" x14ac:dyDescent="0.25">
      <c r="A2323" s="21" t="s">
        <v>5628</v>
      </c>
      <c r="B2323" s="25" t="s">
        <v>5630</v>
      </c>
      <c r="C2323" s="26"/>
      <c r="D2323" s="27"/>
      <c r="E2323" s="26"/>
      <c r="F2323" s="28"/>
      <c r="G2323" s="26"/>
      <c r="H2323" t="s">
        <v>5629</v>
      </c>
    </row>
    <row r="2324" spans="1:8" ht="30" x14ac:dyDescent="0.25">
      <c r="A2324" s="21" t="s">
        <v>5631</v>
      </c>
      <c r="B2324" s="25" t="s">
        <v>5632</v>
      </c>
      <c r="C2324" s="26">
        <v>1</v>
      </c>
      <c r="D2324" s="27" t="s">
        <v>15</v>
      </c>
      <c r="E2324" s="26">
        <v>4950.8999999999996</v>
      </c>
      <c r="F2324" s="28" t="s">
        <v>16</v>
      </c>
      <c r="G2324" s="26">
        <f>ROUND(C2324*E2324,0)</f>
        <v>4951</v>
      </c>
      <c r="H2324" t="s">
        <v>5632</v>
      </c>
    </row>
    <row r="2325" spans="1:8" ht="30" x14ac:dyDescent="0.25">
      <c r="A2325" s="21" t="s">
        <v>5633</v>
      </c>
      <c r="B2325" s="25" t="s">
        <v>5634</v>
      </c>
      <c r="C2325" s="26">
        <v>1</v>
      </c>
      <c r="D2325" s="27" t="s">
        <v>15</v>
      </c>
      <c r="E2325" s="26">
        <v>5272.05</v>
      </c>
      <c r="F2325" s="28" t="s">
        <v>16</v>
      </c>
      <c r="G2325" s="26">
        <f>ROUND(C2325*E2325,0)</f>
        <v>5272</v>
      </c>
      <c r="H2325" t="s">
        <v>5634</v>
      </c>
    </row>
    <row r="2326" spans="1:8" ht="165" x14ac:dyDescent="0.25">
      <c r="A2326" s="21" t="s">
        <v>5635</v>
      </c>
      <c r="B2326" s="25" t="s">
        <v>5637</v>
      </c>
      <c r="C2326" s="26">
        <v>1</v>
      </c>
      <c r="D2326" s="27" t="s">
        <v>15</v>
      </c>
      <c r="E2326" s="26">
        <v>2159.85</v>
      </c>
      <c r="F2326" s="28" t="s">
        <v>16</v>
      </c>
      <c r="G2326" s="26">
        <f>ROUND(C2326*E2326,0)</f>
        <v>2160</v>
      </c>
      <c r="H2326" t="s">
        <v>5636</v>
      </c>
    </row>
    <row r="2327" spans="1:8" ht="165" x14ac:dyDescent="0.25">
      <c r="A2327" s="21" t="s">
        <v>5638</v>
      </c>
      <c r="B2327" s="25" t="s">
        <v>5640</v>
      </c>
      <c r="C2327" s="26">
        <v>1</v>
      </c>
      <c r="D2327" s="27" t="s">
        <v>15</v>
      </c>
      <c r="E2327" s="26">
        <v>1455.65</v>
      </c>
      <c r="F2327" s="28" t="s">
        <v>16</v>
      </c>
      <c r="G2327" s="26">
        <f>ROUND(C2327*E2327,0)</f>
        <v>1456</v>
      </c>
      <c r="H2327" t="s">
        <v>5639</v>
      </c>
    </row>
    <row r="2328" spans="1:8" ht="180" x14ac:dyDescent="0.25">
      <c r="A2328" s="21" t="s">
        <v>5641</v>
      </c>
      <c r="B2328" s="25" t="s">
        <v>5643</v>
      </c>
      <c r="C2328" s="26">
        <v>1</v>
      </c>
      <c r="D2328" s="27" t="s">
        <v>15</v>
      </c>
      <c r="E2328" s="26">
        <v>2017.6</v>
      </c>
      <c r="F2328" s="28" t="s">
        <v>16</v>
      </c>
      <c r="G2328" s="26">
        <f>ROUND(C2328*E2328,0)</f>
        <v>2018</v>
      </c>
      <c r="H2328" t="s">
        <v>5642</v>
      </c>
    </row>
    <row r="2329" spans="1:8" ht="225" x14ac:dyDescent="0.25">
      <c r="A2329" s="21" t="s">
        <v>5644</v>
      </c>
      <c r="B2329" s="25" t="s">
        <v>5646</v>
      </c>
      <c r="C2329" s="26"/>
      <c r="D2329" s="27"/>
      <c r="E2329" s="26"/>
      <c r="F2329" s="28"/>
      <c r="G2329" s="26"/>
      <c r="H2329" t="s">
        <v>5645</v>
      </c>
    </row>
    <row r="2330" spans="1:8" ht="30" x14ac:dyDescent="0.25">
      <c r="A2330" s="21" t="s">
        <v>5647</v>
      </c>
      <c r="B2330" s="25" t="s">
        <v>5648</v>
      </c>
      <c r="C2330" s="26">
        <v>1</v>
      </c>
      <c r="D2330" s="27" t="s">
        <v>15</v>
      </c>
      <c r="E2330" s="26">
        <v>1045.6500000000001</v>
      </c>
      <c r="F2330" s="28" t="s">
        <v>16</v>
      </c>
      <c r="G2330" s="26">
        <f t="shared" ref="G2330:G2336" si="62">ROUND(C2330*E2330,0)</f>
        <v>1046</v>
      </c>
      <c r="H2330" t="s">
        <v>5648</v>
      </c>
    </row>
    <row r="2331" spans="1:8" ht="30" x14ac:dyDescent="0.25">
      <c r="A2331" s="21" t="s">
        <v>5649</v>
      </c>
      <c r="B2331" s="25" t="s">
        <v>5650</v>
      </c>
      <c r="C2331" s="26">
        <v>1</v>
      </c>
      <c r="D2331" s="27" t="s">
        <v>15</v>
      </c>
      <c r="E2331" s="26">
        <v>1091.5</v>
      </c>
      <c r="F2331" s="28" t="s">
        <v>16</v>
      </c>
      <c r="G2331" s="26">
        <f t="shared" si="62"/>
        <v>1092</v>
      </c>
      <c r="H2331" t="s">
        <v>5650</v>
      </c>
    </row>
    <row r="2332" spans="1:8" ht="105" x14ac:dyDescent="0.25">
      <c r="A2332" s="21" t="s">
        <v>5651</v>
      </c>
      <c r="B2332" s="25" t="s">
        <v>5653</v>
      </c>
      <c r="C2332" s="26">
        <v>1</v>
      </c>
      <c r="D2332" s="27" t="s">
        <v>15</v>
      </c>
      <c r="E2332" s="26">
        <v>2189.15</v>
      </c>
      <c r="F2332" s="28" t="s">
        <v>16</v>
      </c>
      <c r="G2332" s="26">
        <f t="shared" si="62"/>
        <v>2189</v>
      </c>
      <c r="H2332" t="s">
        <v>5652</v>
      </c>
    </row>
    <row r="2333" spans="1:8" ht="225" x14ac:dyDescent="0.25">
      <c r="A2333" s="21" t="s">
        <v>5654</v>
      </c>
      <c r="B2333" s="25" t="s">
        <v>5656</v>
      </c>
      <c r="C2333" s="26">
        <v>1</v>
      </c>
      <c r="D2333" s="27" t="s">
        <v>15</v>
      </c>
      <c r="E2333" s="26">
        <v>3081.95</v>
      </c>
      <c r="F2333" s="28" t="s">
        <v>16</v>
      </c>
      <c r="G2333" s="26">
        <f t="shared" si="62"/>
        <v>3082</v>
      </c>
      <c r="H2333" t="s">
        <v>5655</v>
      </c>
    </row>
    <row r="2334" spans="1:8" ht="210" x14ac:dyDescent="0.25">
      <c r="A2334" s="21" t="s">
        <v>5657</v>
      </c>
      <c r="B2334" s="25" t="s">
        <v>5659</v>
      </c>
      <c r="C2334" s="26">
        <v>1</v>
      </c>
      <c r="D2334" s="27" t="s">
        <v>15</v>
      </c>
      <c r="E2334" s="26">
        <v>4178</v>
      </c>
      <c r="F2334" s="28" t="s">
        <v>22</v>
      </c>
      <c r="G2334" s="26">
        <f t="shared" si="62"/>
        <v>4178</v>
      </c>
      <c r="H2334" t="s">
        <v>5658</v>
      </c>
    </row>
    <row r="2335" spans="1:8" ht="225" x14ac:dyDescent="0.25">
      <c r="A2335" s="21" t="s">
        <v>5660</v>
      </c>
      <c r="B2335" s="25" t="s">
        <v>5662</v>
      </c>
      <c r="C2335" s="26">
        <v>1</v>
      </c>
      <c r="D2335" s="27" t="s">
        <v>15</v>
      </c>
      <c r="E2335" s="26">
        <v>4569.25</v>
      </c>
      <c r="F2335" s="28" t="s">
        <v>22</v>
      </c>
      <c r="G2335" s="26">
        <f t="shared" si="62"/>
        <v>4569</v>
      </c>
      <c r="H2335" t="s">
        <v>5661</v>
      </c>
    </row>
    <row r="2336" spans="1:8" ht="240" x14ac:dyDescent="0.25">
      <c r="A2336" s="21" t="s">
        <v>5663</v>
      </c>
      <c r="B2336" s="25" t="s">
        <v>5665</v>
      </c>
      <c r="C2336" s="26">
        <v>1</v>
      </c>
      <c r="D2336" s="27" t="s">
        <v>15</v>
      </c>
      <c r="E2336" s="26">
        <v>4882.2</v>
      </c>
      <c r="F2336" s="28" t="s">
        <v>22</v>
      </c>
      <c r="G2336" s="26">
        <f t="shared" si="62"/>
        <v>4882</v>
      </c>
      <c r="H2336" t="s">
        <v>5664</v>
      </c>
    </row>
    <row r="2337" spans="1:8" x14ac:dyDescent="0.25">
      <c r="A2337" s="21"/>
      <c r="B2337" s="45" t="s">
        <v>5666</v>
      </c>
      <c r="C2337" s="45"/>
      <c r="D2337" s="45"/>
      <c r="E2337" s="45"/>
      <c r="F2337" s="45"/>
      <c r="G2337" s="29">
        <f>SUM(G2145:G2336)</f>
        <v>382465</v>
      </c>
    </row>
    <row r="2338" spans="1:8" x14ac:dyDescent="0.25">
      <c r="A2338" s="46" t="s">
        <v>5667</v>
      </c>
      <c r="B2338" s="47"/>
      <c r="C2338" s="47"/>
      <c r="D2338" s="47"/>
      <c r="E2338" s="47"/>
      <c r="F2338" s="47"/>
      <c r="G2338" s="47"/>
    </row>
    <row r="2339" spans="1:8" ht="120" x14ac:dyDescent="0.25">
      <c r="A2339" s="21" t="s">
        <v>5668</v>
      </c>
      <c r="B2339" s="25" t="s">
        <v>5669</v>
      </c>
      <c r="C2339" s="26"/>
      <c r="D2339" s="27"/>
      <c r="E2339" s="26"/>
      <c r="F2339" s="28"/>
      <c r="G2339" s="26"/>
      <c r="H2339" t="s">
        <v>5669</v>
      </c>
    </row>
    <row r="2340" spans="1:8" ht="30" x14ac:dyDescent="0.25">
      <c r="A2340" s="21" t="s">
        <v>5670</v>
      </c>
      <c r="B2340" s="25" t="s">
        <v>5672</v>
      </c>
      <c r="C2340" s="26">
        <v>1</v>
      </c>
      <c r="D2340" s="27" t="s">
        <v>201</v>
      </c>
      <c r="E2340" s="26">
        <v>6767.4</v>
      </c>
      <c r="F2340" s="28" t="s">
        <v>202</v>
      </c>
      <c r="G2340" s="26">
        <f>ROUND(C2340*E2340,0)</f>
        <v>6767</v>
      </c>
      <c r="H2340" t="s">
        <v>5671</v>
      </c>
    </row>
    <row r="2341" spans="1:8" ht="45" x14ac:dyDescent="0.25">
      <c r="A2341" s="21" t="s">
        <v>5673</v>
      </c>
      <c r="B2341" s="25" t="s">
        <v>5675</v>
      </c>
      <c r="C2341" s="26">
        <v>1</v>
      </c>
      <c r="D2341" s="27" t="s">
        <v>201</v>
      </c>
      <c r="E2341" s="26">
        <v>11390.95</v>
      </c>
      <c r="F2341" s="28" t="s">
        <v>202</v>
      </c>
      <c r="G2341" s="26">
        <f>ROUND(C2341*E2341,0)</f>
        <v>11391</v>
      </c>
      <c r="H2341" t="s">
        <v>5674</v>
      </c>
    </row>
    <row r="2342" spans="1:8" ht="135" x14ac:dyDescent="0.25">
      <c r="A2342" s="21" t="s">
        <v>5676</v>
      </c>
      <c r="B2342" s="25" t="s">
        <v>5678</v>
      </c>
      <c r="C2342" s="26"/>
      <c r="D2342" s="27"/>
      <c r="E2342" s="26"/>
      <c r="F2342" s="28"/>
      <c r="G2342" s="26"/>
      <c r="H2342" t="s">
        <v>5677</v>
      </c>
    </row>
    <row r="2343" spans="1:8" ht="30" x14ac:dyDescent="0.25">
      <c r="A2343" s="21" t="s">
        <v>5679</v>
      </c>
      <c r="B2343" s="25" t="s">
        <v>5681</v>
      </c>
      <c r="C2343" s="26">
        <v>1</v>
      </c>
      <c r="D2343" s="27" t="s">
        <v>201</v>
      </c>
      <c r="E2343" s="26">
        <v>6515.55</v>
      </c>
      <c r="F2343" s="28" t="s">
        <v>202</v>
      </c>
      <c r="G2343" s="26">
        <f>ROUND(C2343*E2343,0)</f>
        <v>6516</v>
      </c>
      <c r="H2343" t="s">
        <v>5680</v>
      </c>
    </row>
    <row r="2344" spans="1:8" ht="30" x14ac:dyDescent="0.25">
      <c r="A2344" s="21" t="s">
        <v>5682</v>
      </c>
      <c r="B2344" s="25" t="s">
        <v>5684</v>
      </c>
      <c r="C2344" s="26">
        <v>1</v>
      </c>
      <c r="D2344" s="27" t="s">
        <v>201</v>
      </c>
      <c r="E2344" s="26">
        <v>6383.25</v>
      </c>
      <c r="F2344" s="28" t="s">
        <v>202</v>
      </c>
      <c r="G2344" s="26">
        <f>ROUND(C2344*E2344,0)</f>
        <v>6383</v>
      </c>
      <c r="H2344" t="s">
        <v>5683</v>
      </c>
    </row>
    <row r="2345" spans="1:8" ht="150" x14ac:dyDescent="0.25">
      <c r="A2345" s="21" t="s">
        <v>5685</v>
      </c>
      <c r="B2345" s="25" t="s">
        <v>5687</v>
      </c>
      <c r="C2345" s="26"/>
      <c r="D2345" s="27"/>
      <c r="E2345" s="26"/>
      <c r="F2345" s="28"/>
      <c r="G2345" s="26"/>
      <c r="H2345" t="s">
        <v>5686</v>
      </c>
    </row>
    <row r="2346" spans="1:8" ht="30" x14ac:dyDescent="0.25">
      <c r="A2346" s="21" t="s">
        <v>5688</v>
      </c>
      <c r="B2346" s="25" t="s">
        <v>5681</v>
      </c>
      <c r="C2346" s="26">
        <v>1</v>
      </c>
      <c r="D2346" s="27" t="s">
        <v>201</v>
      </c>
      <c r="E2346" s="26">
        <v>8006.6</v>
      </c>
      <c r="F2346" s="28" t="s">
        <v>202</v>
      </c>
      <c r="G2346" s="26">
        <f>ROUND(C2346*E2346,0)</f>
        <v>8007</v>
      </c>
      <c r="H2346" t="s">
        <v>5680</v>
      </c>
    </row>
    <row r="2347" spans="1:8" ht="30" x14ac:dyDescent="0.25">
      <c r="A2347" s="21" t="s">
        <v>5689</v>
      </c>
      <c r="B2347" s="25" t="s">
        <v>5684</v>
      </c>
      <c r="C2347" s="26">
        <v>1</v>
      </c>
      <c r="D2347" s="27" t="s">
        <v>201</v>
      </c>
      <c r="E2347" s="26">
        <v>7874.3</v>
      </c>
      <c r="F2347" s="28" t="s">
        <v>202</v>
      </c>
      <c r="G2347" s="26">
        <f>ROUND(C2347*E2347,0)</f>
        <v>7874</v>
      </c>
      <c r="H2347" t="s">
        <v>5690</v>
      </c>
    </row>
    <row r="2348" spans="1:8" ht="135" x14ac:dyDescent="0.25">
      <c r="A2348" s="21" t="s">
        <v>5691</v>
      </c>
      <c r="B2348" s="25" t="s">
        <v>5693</v>
      </c>
      <c r="C2348" s="26"/>
      <c r="D2348" s="27"/>
      <c r="E2348" s="26"/>
      <c r="F2348" s="28"/>
      <c r="G2348" s="26"/>
      <c r="H2348" t="s">
        <v>5692</v>
      </c>
    </row>
    <row r="2349" spans="1:8" ht="30" x14ac:dyDescent="0.25">
      <c r="A2349" s="21" t="s">
        <v>5694</v>
      </c>
      <c r="B2349" s="25" t="s">
        <v>5696</v>
      </c>
      <c r="C2349" s="26">
        <v>1</v>
      </c>
      <c r="D2349" s="27" t="s">
        <v>201</v>
      </c>
      <c r="E2349" s="26">
        <v>6258.75</v>
      </c>
      <c r="F2349" s="28" t="s">
        <v>202</v>
      </c>
      <c r="G2349" s="26">
        <f>ROUND(C2349*E2349,0)</f>
        <v>6259</v>
      </c>
      <c r="H2349" t="s">
        <v>5695</v>
      </c>
    </row>
    <row r="2350" spans="1:8" ht="30" x14ac:dyDescent="0.25">
      <c r="A2350" s="21" t="s">
        <v>5697</v>
      </c>
      <c r="B2350" s="25" t="s">
        <v>5699</v>
      </c>
      <c r="C2350" s="26">
        <v>1</v>
      </c>
      <c r="D2350" s="27" t="s">
        <v>201</v>
      </c>
      <c r="E2350" s="26">
        <v>9612.4</v>
      </c>
      <c r="F2350" s="28" t="s">
        <v>202</v>
      </c>
      <c r="G2350" s="26">
        <f>ROUND(C2350*E2350,0)</f>
        <v>9612</v>
      </c>
      <c r="H2350" t="s">
        <v>5698</v>
      </c>
    </row>
    <row r="2351" spans="1:8" ht="30" x14ac:dyDescent="0.25">
      <c r="A2351" s="21" t="s">
        <v>5700</v>
      </c>
      <c r="B2351" s="25" t="s">
        <v>5702</v>
      </c>
      <c r="C2351" s="26">
        <v>1</v>
      </c>
      <c r="D2351" s="27" t="s">
        <v>201</v>
      </c>
      <c r="E2351" s="26">
        <v>13417.3</v>
      </c>
      <c r="F2351" s="28" t="s">
        <v>202</v>
      </c>
      <c r="G2351" s="26">
        <f>ROUND(C2351*E2351,0)</f>
        <v>13417</v>
      </c>
      <c r="H2351" t="s">
        <v>5701</v>
      </c>
    </row>
    <row r="2352" spans="1:8" ht="30" x14ac:dyDescent="0.25">
      <c r="A2352" s="21" t="s">
        <v>5703</v>
      </c>
      <c r="B2352" s="25" t="s">
        <v>5705</v>
      </c>
      <c r="C2352" s="26">
        <v>1</v>
      </c>
      <c r="D2352" s="27" t="s">
        <v>201</v>
      </c>
      <c r="E2352" s="26">
        <v>18579.95</v>
      </c>
      <c r="F2352" s="28" t="s">
        <v>202</v>
      </c>
      <c r="G2352" s="26">
        <f>ROUND(C2352*E2352,0)</f>
        <v>18580</v>
      </c>
      <c r="H2352" t="s">
        <v>5704</v>
      </c>
    </row>
    <row r="2353" spans="1:8" ht="150" x14ac:dyDescent="0.25">
      <c r="A2353" s="21" t="s">
        <v>5706</v>
      </c>
      <c r="B2353" s="25" t="s">
        <v>5708</v>
      </c>
      <c r="C2353" s="26"/>
      <c r="D2353" s="27"/>
      <c r="E2353" s="26"/>
      <c r="F2353" s="28"/>
      <c r="G2353" s="26"/>
      <c r="H2353" t="s">
        <v>5707</v>
      </c>
    </row>
    <row r="2354" spans="1:8" ht="30" x14ac:dyDescent="0.25">
      <c r="A2354" s="21" t="s">
        <v>5709</v>
      </c>
      <c r="B2354" s="25" t="s">
        <v>5711</v>
      </c>
      <c r="C2354" s="26">
        <v>1</v>
      </c>
      <c r="D2354" s="27" t="s">
        <v>201</v>
      </c>
      <c r="E2354" s="26">
        <v>12071.75</v>
      </c>
      <c r="F2354" s="28" t="s">
        <v>202</v>
      </c>
      <c r="G2354" s="26">
        <f>ROUND(C2354*E2354,0)</f>
        <v>12072</v>
      </c>
      <c r="H2354" t="s">
        <v>5710</v>
      </c>
    </row>
    <row r="2355" spans="1:8" ht="30" x14ac:dyDescent="0.25">
      <c r="A2355" s="21" t="s">
        <v>5712</v>
      </c>
      <c r="B2355" s="25" t="s">
        <v>5714</v>
      </c>
      <c r="C2355" s="26">
        <v>1</v>
      </c>
      <c r="D2355" s="27" t="s">
        <v>201</v>
      </c>
      <c r="E2355" s="26">
        <v>18008.75</v>
      </c>
      <c r="F2355" s="28" t="s">
        <v>202</v>
      </c>
      <c r="G2355" s="26">
        <f>ROUND(C2355*E2355,0)</f>
        <v>18009</v>
      </c>
      <c r="H2355" t="s">
        <v>5713</v>
      </c>
    </row>
    <row r="2356" spans="1:8" ht="30" x14ac:dyDescent="0.25">
      <c r="A2356" s="21" t="s">
        <v>5715</v>
      </c>
      <c r="B2356" s="25" t="s">
        <v>5717</v>
      </c>
      <c r="C2356" s="26">
        <v>1</v>
      </c>
      <c r="D2356" s="27" t="s">
        <v>201</v>
      </c>
      <c r="E2356" s="26">
        <v>22058.25</v>
      </c>
      <c r="F2356" s="28" t="s">
        <v>202</v>
      </c>
      <c r="G2356" s="26">
        <f>ROUND(C2356*E2356,0)</f>
        <v>22058</v>
      </c>
      <c r="H2356" t="s">
        <v>5716</v>
      </c>
    </row>
    <row r="2357" spans="1:8" ht="30" x14ac:dyDescent="0.25">
      <c r="A2357" s="21" t="s">
        <v>5718</v>
      </c>
      <c r="B2357" s="25" t="s">
        <v>5720</v>
      </c>
      <c r="C2357" s="26">
        <v>1</v>
      </c>
      <c r="D2357" s="27" t="s">
        <v>201</v>
      </c>
      <c r="E2357" s="26">
        <v>25969.45</v>
      </c>
      <c r="F2357" s="28" t="s">
        <v>202</v>
      </c>
      <c r="G2357" s="26">
        <f>ROUND(C2357*E2357,0)</f>
        <v>25969</v>
      </c>
      <c r="H2357" t="s">
        <v>5719</v>
      </c>
    </row>
    <row r="2358" spans="1:8" ht="150" x14ac:dyDescent="0.25">
      <c r="A2358" s="21" t="s">
        <v>5721</v>
      </c>
      <c r="B2358" s="25" t="s">
        <v>5723</v>
      </c>
      <c r="C2358" s="26"/>
      <c r="D2358" s="27"/>
      <c r="E2358" s="26"/>
      <c r="F2358" s="28"/>
      <c r="G2358" s="26"/>
      <c r="H2358" t="s">
        <v>5722</v>
      </c>
    </row>
    <row r="2359" spans="1:8" ht="30" x14ac:dyDescent="0.25">
      <c r="A2359" s="21" t="s">
        <v>5724</v>
      </c>
      <c r="B2359" s="25" t="s">
        <v>5726</v>
      </c>
      <c r="C2359" s="26">
        <v>1</v>
      </c>
      <c r="D2359" s="27" t="s">
        <v>201</v>
      </c>
      <c r="E2359" s="26">
        <v>9256.4500000000007</v>
      </c>
      <c r="F2359" s="28" t="s">
        <v>202</v>
      </c>
      <c r="G2359" s="26">
        <f>ROUND(C2359*E2359,0)</f>
        <v>9256</v>
      </c>
      <c r="H2359" t="s">
        <v>5725</v>
      </c>
    </row>
    <row r="2360" spans="1:8" ht="30" x14ac:dyDescent="0.25">
      <c r="A2360" s="21" t="s">
        <v>5727</v>
      </c>
      <c r="B2360" s="25" t="s">
        <v>5729</v>
      </c>
      <c r="C2360" s="26">
        <v>1</v>
      </c>
      <c r="D2360" s="27" t="s">
        <v>201</v>
      </c>
      <c r="E2360" s="26">
        <v>13476.35</v>
      </c>
      <c r="F2360" s="28" t="s">
        <v>202</v>
      </c>
      <c r="G2360" s="26">
        <f>ROUND(C2360*E2360,0)</f>
        <v>13476</v>
      </c>
      <c r="H2360" t="s">
        <v>5728</v>
      </c>
    </row>
    <row r="2361" spans="1:8" ht="30" x14ac:dyDescent="0.25">
      <c r="A2361" s="21" t="s">
        <v>5730</v>
      </c>
      <c r="B2361" s="25" t="s">
        <v>5732</v>
      </c>
      <c r="C2361" s="26">
        <v>1</v>
      </c>
      <c r="D2361" s="27" t="s">
        <v>201</v>
      </c>
      <c r="E2361" s="26">
        <v>17702.2</v>
      </c>
      <c r="F2361" s="28" t="s">
        <v>202</v>
      </c>
      <c r="G2361" s="26">
        <f>ROUND(C2361*E2361,0)</f>
        <v>17702</v>
      </c>
      <c r="H2361" t="s">
        <v>5731</v>
      </c>
    </row>
    <row r="2362" spans="1:8" ht="30" x14ac:dyDescent="0.25">
      <c r="A2362" s="21" t="s">
        <v>5733</v>
      </c>
      <c r="B2362" s="25" t="s">
        <v>5735</v>
      </c>
      <c r="C2362" s="26">
        <v>1</v>
      </c>
      <c r="D2362" s="27" t="s">
        <v>201</v>
      </c>
      <c r="E2362" s="26">
        <v>21203.200000000001</v>
      </c>
      <c r="F2362" s="28" t="s">
        <v>202</v>
      </c>
      <c r="G2362" s="26">
        <f>ROUND(C2362*E2362,0)</f>
        <v>21203</v>
      </c>
      <c r="H2362" t="s">
        <v>5734</v>
      </c>
    </row>
    <row r="2363" spans="1:8" ht="75" x14ac:dyDescent="0.25">
      <c r="A2363" s="21" t="s">
        <v>5736</v>
      </c>
      <c r="B2363" s="25" t="s">
        <v>5738</v>
      </c>
      <c r="C2363" s="26"/>
      <c r="D2363" s="27"/>
      <c r="E2363" s="26"/>
      <c r="F2363" s="28"/>
      <c r="G2363" s="26"/>
      <c r="H2363" t="s">
        <v>5737</v>
      </c>
    </row>
    <row r="2364" spans="1:8" ht="30" x14ac:dyDescent="0.25">
      <c r="A2364" s="21" t="s">
        <v>5739</v>
      </c>
      <c r="B2364" s="25" t="s">
        <v>5741</v>
      </c>
      <c r="C2364" s="26">
        <v>1</v>
      </c>
      <c r="D2364" s="27" t="s">
        <v>201</v>
      </c>
      <c r="E2364" s="26">
        <v>2648.85</v>
      </c>
      <c r="F2364" s="28" t="s">
        <v>202</v>
      </c>
      <c r="G2364" s="26">
        <f t="shared" ref="G2364:G2374" si="63">ROUND(C2364*E2364,0)</f>
        <v>2649</v>
      </c>
      <c r="H2364" t="s">
        <v>5740</v>
      </c>
    </row>
    <row r="2365" spans="1:8" ht="30" x14ac:dyDescent="0.25">
      <c r="A2365" s="21" t="s">
        <v>5742</v>
      </c>
      <c r="B2365" s="25" t="s">
        <v>5744</v>
      </c>
      <c r="C2365" s="26">
        <v>1</v>
      </c>
      <c r="D2365" s="27" t="s">
        <v>201</v>
      </c>
      <c r="E2365" s="26">
        <v>2226.35</v>
      </c>
      <c r="F2365" s="28" t="s">
        <v>202</v>
      </c>
      <c r="G2365" s="26">
        <f t="shared" si="63"/>
        <v>2226</v>
      </c>
      <c r="H2365" t="s">
        <v>5743</v>
      </c>
    </row>
    <row r="2366" spans="1:8" ht="30" x14ac:dyDescent="0.25">
      <c r="A2366" s="21" t="s">
        <v>5745</v>
      </c>
      <c r="B2366" s="25" t="s">
        <v>5747</v>
      </c>
      <c r="C2366" s="26">
        <v>1</v>
      </c>
      <c r="D2366" s="27" t="s">
        <v>201</v>
      </c>
      <c r="E2366" s="26">
        <v>2301.75</v>
      </c>
      <c r="F2366" s="28" t="s">
        <v>202</v>
      </c>
      <c r="G2366" s="26">
        <f t="shared" si="63"/>
        <v>2302</v>
      </c>
      <c r="H2366" t="s">
        <v>5746</v>
      </c>
    </row>
    <row r="2367" spans="1:8" ht="45" x14ac:dyDescent="0.25">
      <c r="A2367" s="21" t="s">
        <v>5748</v>
      </c>
      <c r="B2367" s="25" t="s">
        <v>5750</v>
      </c>
      <c r="C2367" s="26">
        <v>1</v>
      </c>
      <c r="D2367" s="27" t="s">
        <v>201</v>
      </c>
      <c r="E2367" s="26">
        <v>1879.2</v>
      </c>
      <c r="F2367" s="28" t="s">
        <v>202</v>
      </c>
      <c r="G2367" s="26">
        <f t="shared" si="63"/>
        <v>1879</v>
      </c>
      <c r="H2367" t="s">
        <v>5749</v>
      </c>
    </row>
    <row r="2368" spans="1:8" ht="45" x14ac:dyDescent="0.25">
      <c r="A2368" s="21" t="s">
        <v>5751</v>
      </c>
      <c r="B2368" s="25" t="s">
        <v>5753</v>
      </c>
      <c r="C2368" s="26">
        <v>1</v>
      </c>
      <c r="D2368" s="27" t="s">
        <v>201</v>
      </c>
      <c r="E2368" s="26">
        <v>2226.35</v>
      </c>
      <c r="F2368" s="28" t="s">
        <v>202</v>
      </c>
      <c r="G2368" s="26">
        <f t="shared" si="63"/>
        <v>2226</v>
      </c>
      <c r="H2368" t="s">
        <v>5752</v>
      </c>
    </row>
    <row r="2369" spans="1:8" ht="45" x14ac:dyDescent="0.25">
      <c r="A2369" s="21" t="s">
        <v>5754</v>
      </c>
      <c r="B2369" s="25" t="s">
        <v>5756</v>
      </c>
      <c r="C2369" s="26">
        <v>1</v>
      </c>
      <c r="D2369" s="27" t="s">
        <v>201</v>
      </c>
      <c r="E2369" s="26">
        <v>1756.85</v>
      </c>
      <c r="F2369" s="28" t="s">
        <v>202</v>
      </c>
      <c r="G2369" s="26">
        <f t="shared" si="63"/>
        <v>1757</v>
      </c>
      <c r="H2369" t="s">
        <v>5755</v>
      </c>
    </row>
    <row r="2370" spans="1:8" ht="45" x14ac:dyDescent="0.25">
      <c r="A2370" s="21" t="s">
        <v>5757</v>
      </c>
      <c r="B2370" s="25" t="s">
        <v>5759</v>
      </c>
      <c r="C2370" s="26">
        <v>1</v>
      </c>
      <c r="D2370" s="27" t="s">
        <v>201</v>
      </c>
      <c r="E2370" s="26">
        <v>1513.6</v>
      </c>
      <c r="F2370" s="28" t="s">
        <v>202</v>
      </c>
      <c r="G2370" s="26">
        <f t="shared" si="63"/>
        <v>1514</v>
      </c>
      <c r="H2370" t="s">
        <v>5758</v>
      </c>
    </row>
    <row r="2371" spans="1:8" ht="45" x14ac:dyDescent="0.25">
      <c r="A2371" s="21" t="s">
        <v>5760</v>
      </c>
      <c r="B2371" s="25" t="s">
        <v>5762</v>
      </c>
      <c r="C2371" s="26">
        <v>1</v>
      </c>
      <c r="D2371" s="27" t="s">
        <v>201</v>
      </c>
      <c r="E2371" s="26">
        <v>3600.6</v>
      </c>
      <c r="F2371" s="28" t="s">
        <v>202</v>
      </c>
      <c r="G2371" s="26">
        <f t="shared" si="63"/>
        <v>3601</v>
      </c>
      <c r="H2371" t="s">
        <v>5761</v>
      </c>
    </row>
    <row r="2372" spans="1:8" ht="45" x14ac:dyDescent="0.25">
      <c r="A2372" s="21" t="s">
        <v>5763</v>
      </c>
      <c r="B2372" s="25" t="s">
        <v>5764</v>
      </c>
      <c r="C2372" s="26">
        <v>1</v>
      </c>
      <c r="D2372" s="27" t="s">
        <v>201</v>
      </c>
      <c r="E2372" s="26">
        <v>2940.5</v>
      </c>
      <c r="F2372" s="28" t="s">
        <v>202</v>
      </c>
      <c r="G2372" s="26">
        <f t="shared" si="63"/>
        <v>2941</v>
      </c>
      <c r="H2372" t="s">
        <v>5761</v>
      </c>
    </row>
    <row r="2373" spans="1:8" ht="45" x14ac:dyDescent="0.25">
      <c r="A2373" s="21" t="s">
        <v>5765</v>
      </c>
      <c r="B2373" s="25" t="s">
        <v>5767</v>
      </c>
      <c r="C2373" s="26">
        <v>1</v>
      </c>
      <c r="D2373" s="27" t="s">
        <v>201</v>
      </c>
      <c r="E2373" s="26">
        <v>3438.4</v>
      </c>
      <c r="F2373" s="28" t="s">
        <v>202</v>
      </c>
      <c r="G2373" s="26">
        <f t="shared" si="63"/>
        <v>3438</v>
      </c>
      <c r="H2373" t="s">
        <v>5766</v>
      </c>
    </row>
    <row r="2374" spans="1:8" ht="30" x14ac:dyDescent="0.25">
      <c r="A2374" s="21" t="s">
        <v>5768</v>
      </c>
      <c r="B2374" s="25" t="s">
        <v>5770</v>
      </c>
      <c r="C2374" s="26">
        <v>1</v>
      </c>
      <c r="D2374" s="27" t="s">
        <v>201</v>
      </c>
      <c r="E2374" s="26">
        <v>4149.75</v>
      </c>
      <c r="F2374" s="28" t="s">
        <v>202</v>
      </c>
      <c r="G2374" s="26">
        <f t="shared" si="63"/>
        <v>4150</v>
      </c>
      <c r="H2374" t="s">
        <v>5769</v>
      </c>
    </row>
    <row r="2375" spans="1:8" ht="75" x14ac:dyDescent="0.25">
      <c r="A2375" s="21" t="s">
        <v>5771</v>
      </c>
      <c r="B2375" s="25" t="s">
        <v>5773</v>
      </c>
      <c r="C2375" s="26"/>
      <c r="D2375" s="27"/>
      <c r="E2375" s="26"/>
      <c r="F2375" s="28"/>
      <c r="G2375" s="26"/>
      <c r="H2375" t="s">
        <v>5772</v>
      </c>
    </row>
    <row r="2376" spans="1:8" ht="45" x14ac:dyDescent="0.25">
      <c r="A2376" s="21"/>
      <c r="B2376" s="25" t="s">
        <v>5774</v>
      </c>
      <c r="C2376" s="26">
        <v>1</v>
      </c>
      <c r="D2376" s="27" t="s">
        <v>201</v>
      </c>
      <c r="E2376" s="26">
        <v>6940.75</v>
      </c>
      <c r="F2376" s="28" t="s">
        <v>202</v>
      </c>
      <c r="G2376" s="26">
        <f>ROUND(C2376*E2376,0)</f>
        <v>6941</v>
      </c>
    </row>
    <row r="2377" spans="1:8" ht="105" x14ac:dyDescent="0.25">
      <c r="A2377" s="21" t="s">
        <v>5775</v>
      </c>
      <c r="B2377" s="25" t="s">
        <v>5777</v>
      </c>
      <c r="C2377" s="26">
        <v>1</v>
      </c>
      <c r="D2377" s="27" t="s">
        <v>201</v>
      </c>
      <c r="E2377" s="26">
        <v>1550.6</v>
      </c>
      <c r="F2377" s="28" t="s">
        <v>202</v>
      </c>
      <c r="G2377" s="26">
        <f>ROUND(C2377*E2377,0)</f>
        <v>1551</v>
      </c>
      <c r="H2377" t="s">
        <v>5776</v>
      </c>
    </row>
    <row r="2378" spans="1:8" ht="45" x14ac:dyDescent="0.25">
      <c r="A2378" s="21" t="s">
        <v>5778</v>
      </c>
      <c r="B2378" s="25" t="s">
        <v>5780</v>
      </c>
      <c r="C2378" s="26">
        <v>1</v>
      </c>
      <c r="D2378" s="27" t="s">
        <v>201</v>
      </c>
      <c r="E2378" s="26">
        <v>1683.35</v>
      </c>
      <c r="F2378" s="28" t="s">
        <v>202</v>
      </c>
      <c r="G2378" s="26">
        <f>ROUND(C2378*E2378,0)</f>
        <v>1683</v>
      </c>
      <c r="H2378" t="s">
        <v>5779</v>
      </c>
    </row>
    <row r="2379" spans="1:8" ht="75" x14ac:dyDescent="0.25">
      <c r="A2379" s="21" t="s">
        <v>5781</v>
      </c>
      <c r="B2379" s="25" t="s">
        <v>5783</v>
      </c>
      <c r="C2379" s="26"/>
      <c r="D2379" s="27"/>
      <c r="E2379" s="26"/>
      <c r="F2379" s="28"/>
      <c r="G2379" s="26"/>
      <c r="H2379" t="s">
        <v>5782</v>
      </c>
    </row>
    <row r="2380" spans="1:8" ht="30" x14ac:dyDescent="0.25">
      <c r="A2380" s="21" t="s">
        <v>5784</v>
      </c>
      <c r="B2380" s="25" t="s">
        <v>5786</v>
      </c>
      <c r="C2380" s="26">
        <v>1</v>
      </c>
      <c r="D2380" s="27" t="s">
        <v>201</v>
      </c>
      <c r="E2380" s="26">
        <v>3892.75</v>
      </c>
      <c r="F2380" s="28" t="s">
        <v>202</v>
      </c>
      <c r="G2380" s="26">
        <f>ROUND(C2380*E2380,0)</f>
        <v>3893</v>
      </c>
      <c r="H2380" t="s">
        <v>5785</v>
      </c>
    </row>
    <row r="2381" spans="1:8" ht="75" x14ac:dyDescent="0.25">
      <c r="A2381" s="21" t="s">
        <v>5787</v>
      </c>
      <c r="B2381" s="25" t="s">
        <v>5789</v>
      </c>
      <c r="C2381" s="26"/>
      <c r="D2381" s="27"/>
      <c r="E2381" s="26"/>
      <c r="F2381" s="28"/>
      <c r="G2381" s="26"/>
      <c r="H2381" t="s">
        <v>5788</v>
      </c>
    </row>
    <row r="2382" spans="1:8" x14ac:dyDescent="0.25">
      <c r="A2382" s="21" t="s">
        <v>5790</v>
      </c>
      <c r="B2382" s="25" t="s">
        <v>5792</v>
      </c>
      <c r="C2382" s="26"/>
      <c r="D2382" s="27"/>
      <c r="E2382" s="26"/>
      <c r="F2382" s="28"/>
      <c r="G2382" s="26"/>
      <c r="H2382" t="s">
        <v>5791</v>
      </c>
    </row>
    <row r="2383" spans="1:8" x14ac:dyDescent="0.25">
      <c r="A2383" s="21" t="s">
        <v>5793</v>
      </c>
      <c r="B2383" s="25" t="s">
        <v>5795</v>
      </c>
      <c r="C2383" s="26">
        <v>1</v>
      </c>
      <c r="D2383" s="27" t="s">
        <v>201</v>
      </c>
      <c r="E2383" s="26">
        <v>6945.6</v>
      </c>
      <c r="F2383" s="28" t="s">
        <v>202</v>
      </c>
      <c r="G2383" s="26">
        <f>ROUND(C2383*E2383,0)</f>
        <v>6946</v>
      </c>
      <c r="H2383" t="s">
        <v>5794</v>
      </c>
    </row>
    <row r="2384" spans="1:8" x14ac:dyDescent="0.25">
      <c r="A2384" s="21" t="s">
        <v>5796</v>
      </c>
      <c r="B2384" s="25" t="s">
        <v>5798</v>
      </c>
      <c r="C2384" s="26">
        <v>1</v>
      </c>
      <c r="D2384" s="27" t="s">
        <v>201</v>
      </c>
      <c r="E2384" s="26">
        <v>7514.65</v>
      </c>
      <c r="F2384" s="28" t="s">
        <v>202</v>
      </c>
      <c r="G2384" s="26">
        <f>ROUND(C2384*E2384,0)</f>
        <v>7515</v>
      </c>
      <c r="H2384" t="s">
        <v>5797</v>
      </c>
    </row>
    <row r="2385" spans="1:8" x14ac:dyDescent="0.25">
      <c r="A2385" s="21" t="s">
        <v>5799</v>
      </c>
      <c r="B2385" s="25" t="s">
        <v>5801</v>
      </c>
      <c r="C2385" s="26">
        <v>1</v>
      </c>
      <c r="D2385" s="27" t="s">
        <v>201</v>
      </c>
      <c r="E2385" s="26">
        <v>7159</v>
      </c>
      <c r="F2385" s="28" t="s">
        <v>202</v>
      </c>
      <c r="G2385" s="26">
        <f>ROUND(C2385*E2385,0)</f>
        <v>7159</v>
      </c>
      <c r="H2385" t="s">
        <v>5800</v>
      </c>
    </row>
    <row r="2386" spans="1:8" x14ac:dyDescent="0.25">
      <c r="A2386" s="21" t="s">
        <v>5802</v>
      </c>
      <c r="B2386" s="25" t="s">
        <v>5804</v>
      </c>
      <c r="C2386" s="26">
        <v>1</v>
      </c>
      <c r="D2386" s="27" t="s">
        <v>201</v>
      </c>
      <c r="E2386" s="26">
        <v>6917.2</v>
      </c>
      <c r="F2386" s="28" t="s">
        <v>202</v>
      </c>
      <c r="G2386" s="26">
        <f>ROUND(C2386*E2386,0)</f>
        <v>6917</v>
      </c>
      <c r="H2386" t="s">
        <v>5803</v>
      </c>
    </row>
    <row r="2387" spans="1:8" x14ac:dyDescent="0.25">
      <c r="A2387" s="21" t="s">
        <v>5805</v>
      </c>
      <c r="B2387" s="25" t="s">
        <v>5807</v>
      </c>
      <c r="C2387" s="26"/>
      <c r="D2387" s="27"/>
      <c r="E2387" s="26"/>
      <c r="F2387" s="28"/>
      <c r="G2387" s="26"/>
      <c r="H2387" t="s">
        <v>5806</v>
      </c>
    </row>
    <row r="2388" spans="1:8" x14ac:dyDescent="0.25">
      <c r="A2388" s="21" t="s">
        <v>5808</v>
      </c>
      <c r="B2388" s="25" t="s">
        <v>5810</v>
      </c>
      <c r="C2388" s="26">
        <v>1</v>
      </c>
      <c r="D2388" s="27" t="s">
        <v>201</v>
      </c>
      <c r="E2388" s="26">
        <v>4940.8</v>
      </c>
      <c r="F2388" s="28" t="s">
        <v>202</v>
      </c>
      <c r="G2388" s="26">
        <f>ROUND(C2388*E2388,0)</f>
        <v>4941</v>
      </c>
      <c r="H2388" t="s">
        <v>5809</v>
      </c>
    </row>
    <row r="2389" spans="1:8" x14ac:dyDescent="0.25">
      <c r="A2389" s="21" t="s">
        <v>5811</v>
      </c>
      <c r="B2389" s="25" t="s">
        <v>5813</v>
      </c>
      <c r="C2389" s="26">
        <v>1</v>
      </c>
      <c r="D2389" s="27" t="s">
        <v>201</v>
      </c>
      <c r="E2389" s="26">
        <v>3873.8</v>
      </c>
      <c r="F2389" s="28" t="s">
        <v>202</v>
      </c>
      <c r="G2389" s="26">
        <f>ROUND(C2389*E2389,0)</f>
        <v>3874</v>
      </c>
      <c r="H2389" t="s">
        <v>5812</v>
      </c>
    </row>
    <row r="2390" spans="1:8" x14ac:dyDescent="0.25">
      <c r="A2390" s="21" t="s">
        <v>5814</v>
      </c>
      <c r="B2390" s="25" t="s">
        <v>5816</v>
      </c>
      <c r="C2390" s="26">
        <v>1</v>
      </c>
      <c r="D2390" s="27" t="s">
        <v>201</v>
      </c>
      <c r="E2390" s="26">
        <v>3407.2</v>
      </c>
      <c r="F2390" s="28" t="s">
        <v>202</v>
      </c>
      <c r="G2390" s="26">
        <f>ROUND(C2390*E2390,0)</f>
        <v>3407</v>
      </c>
      <c r="H2390" t="s">
        <v>5815</v>
      </c>
    </row>
    <row r="2391" spans="1:8" ht="105" x14ac:dyDescent="0.25">
      <c r="A2391" s="21" t="s">
        <v>5817</v>
      </c>
      <c r="B2391" s="25" t="s">
        <v>5819</v>
      </c>
      <c r="C2391" s="26"/>
      <c r="D2391" s="27"/>
      <c r="E2391" s="26"/>
      <c r="F2391" s="28"/>
      <c r="G2391" s="26"/>
      <c r="H2391" t="s">
        <v>5818</v>
      </c>
    </row>
    <row r="2392" spans="1:8" x14ac:dyDescent="0.25">
      <c r="A2392" s="21" t="s">
        <v>5820</v>
      </c>
      <c r="B2392" s="25" t="s">
        <v>5822</v>
      </c>
      <c r="C2392" s="26">
        <v>1</v>
      </c>
      <c r="D2392" s="27" t="s">
        <v>201</v>
      </c>
      <c r="E2392" s="26">
        <v>5020.8500000000004</v>
      </c>
      <c r="F2392" s="28" t="s">
        <v>202</v>
      </c>
      <c r="G2392" s="26">
        <f>ROUND(C2392*E2392,0)</f>
        <v>5021</v>
      </c>
      <c r="H2392" t="s">
        <v>5821</v>
      </c>
    </row>
    <row r="2393" spans="1:8" x14ac:dyDescent="0.25">
      <c r="A2393" s="21" t="s">
        <v>5823</v>
      </c>
      <c r="B2393" s="25" t="s">
        <v>5825</v>
      </c>
      <c r="C2393" s="26">
        <v>1</v>
      </c>
      <c r="D2393" s="27" t="s">
        <v>201</v>
      </c>
      <c r="E2393" s="26">
        <v>6585.8</v>
      </c>
      <c r="F2393" s="28" t="s">
        <v>202</v>
      </c>
      <c r="G2393" s="26">
        <f>ROUND(C2393*E2393,0)</f>
        <v>6586</v>
      </c>
      <c r="H2393" t="s">
        <v>5824</v>
      </c>
    </row>
    <row r="2394" spans="1:8" ht="45" x14ac:dyDescent="0.25">
      <c r="A2394" s="21" t="s">
        <v>5826</v>
      </c>
      <c r="B2394" s="25" t="s">
        <v>5828</v>
      </c>
      <c r="C2394" s="26"/>
      <c r="D2394" s="27"/>
      <c r="E2394" s="26"/>
      <c r="F2394" s="28"/>
      <c r="G2394" s="26"/>
      <c r="H2394" t="s">
        <v>5827</v>
      </c>
    </row>
    <row r="2395" spans="1:8" ht="30" x14ac:dyDescent="0.25">
      <c r="A2395" s="21" t="s">
        <v>5829</v>
      </c>
      <c r="B2395" s="25" t="s">
        <v>5831</v>
      </c>
      <c r="C2395" s="26">
        <v>1</v>
      </c>
      <c r="D2395" s="27" t="s">
        <v>201</v>
      </c>
      <c r="E2395" s="26">
        <v>1579.65</v>
      </c>
      <c r="F2395" s="28" t="s">
        <v>202</v>
      </c>
      <c r="G2395" s="26">
        <f>ROUND(C2395*E2395,0)</f>
        <v>1580</v>
      </c>
      <c r="H2395" t="s">
        <v>5830</v>
      </c>
    </row>
    <row r="2396" spans="1:8" ht="30" x14ac:dyDescent="0.25">
      <c r="A2396" s="21" t="s">
        <v>5832</v>
      </c>
      <c r="B2396" s="25" t="s">
        <v>5834</v>
      </c>
      <c r="C2396" s="26"/>
      <c r="D2396" s="27"/>
      <c r="E2396" s="26"/>
      <c r="F2396" s="28"/>
      <c r="G2396" s="26"/>
      <c r="H2396" t="s">
        <v>5833</v>
      </c>
    </row>
    <row r="2397" spans="1:8" x14ac:dyDescent="0.25">
      <c r="A2397" s="21" t="s">
        <v>5835</v>
      </c>
      <c r="B2397" s="25" t="s">
        <v>5837</v>
      </c>
      <c r="C2397" s="26">
        <v>1</v>
      </c>
      <c r="D2397" s="27" t="s">
        <v>201</v>
      </c>
      <c r="E2397" s="26">
        <v>1959.8</v>
      </c>
      <c r="F2397" s="28" t="s">
        <v>202</v>
      </c>
      <c r="G2397" s="26">
        <f>ROUND(C2397*E2397,0)</f>
        <v>1960</v>
      </c>
      <c r="H2397" t="s">
        <v>5836</v>
      </c>
    </row>
    <row r="2398" spans="1:8" x14ac:dyDescent="0.25">
      <c r="A2398" s="21" t="s">
        <v>5838</v>
      </c>
      <c r="B2398" s="25" t="s">
        <v>5840</v>
      </c>
      <c r="C2398" s="26">
        <v>1</v>
      </c>
      <c r="D2398" s="27" t="s">
        <v>201</v>
      </c>
      <c r="E2398" s="26">
        <v>3169.05</v>
      </c>
      <c r="F2398" s="28" t="s">
        <v>202</v>
      </c>
      <c r="G2398" s="26">
        <f>ROUND(C2398*E2398,0)</f>
        <v>3169</v>
      </c>
      <c r="H2398" t="s">
        <v>5839</v>
      </c>
    </row>
    <row r="2399" spans="1:8" ht="30" x14ac:dyDescent="0.25">
      <c r="A2399" s="21" t="s">
        <v>5841</v>
      </c>
      <c r="B2399" s="25" t="s">
        <v>5843</v>
      </c>
      <c r="C2399" s="26"/>
      <c r="D2399" s="27"/>
      <c r="E2399" s="26"/>
      <c r="F2399" s="28"/>
      <c r="G2399" s="26"/>
      <c r="H2399" t="s">
        <v>5842</v>
      </c>
    </row>
    <row r="2400" spans="1:8" x14ac:dyDescent="0.25">
      <c r="A2400" s="21" t="s">
        <v>5844</v>
      </c>
      <c r="B2400" s="25" t="s">
        <v>5846</v>
      </c>
      <c r="C2400" s="26">
        <v>1</v>
      </c>
      <c r="D2400" s="27" t="s">
        <v>201</v>
      </c>
      <c r="E2400" s="26">
        <v>426.8</v>
      </c>
      <c r="F2400" s="28" t="s">
        <v>202</v>
      </c>
      <c r="G2400" s="26">
        <f>ROUND(C2400*E2400,0)</f>
        <v>427</v>
      </c>
      <c r="H2400" t="s">
        <v>5845</v>
      </c>
    </row>
    <row r="2401" spans="1:8" ht="45" x14ac:dyDescent="0.25">
      <c r="A2401" s="21" t="s">
        <v>5847</v>
      </c>
      <c r="B2401" s="25" t="s">
        <v>5849</v>
      </c>
      <c r="C2401" s="26">
        <v>1</v>
      </c>
      <c r="D2401" s="27" t="s">
        <v>201</v>
      </c>
      <c r="E2401" s="26">
        <v>2784.95</v>
      </c>
      <c r="F2401" s="28" t="s">
        <v>202</v>
      </c>
      <c r="G2401" s="26">
        <f>ROUND(C2401*E2401,0)</f>
        <v>2785</v>
      </c>
      <c r="H2401" t="s">
        <v>5848</v>
      </c>
    </row>
    <row r="2402" spans="1:8" ht="60" x14ac:dyDescent="0.25">
      <c r="A2402" s="21" t="s">
        <v>5850</v>
      </c>
      <c r="B2402" s="25" t="s">
        <v>5852</v>
      </c>
      <c r="C2402" s="26">
        <v>1</v>
      </c>
      <c r="D2402" s="27" t="s">
        <v>201</v>
      </c>
      <c r="E2402" s="26">
        <v>170.7</v>
      </c>
      <c r="F2402" s="28" t="s">
        <v>202</v>
      </c>
      <c r="G2402" s="26">
        <f>ROUND(C2402*E2402,0)</f>
        <v>171</v>
      </c>
      <c r="H2402" t="s">
        <v>5851</v>
      </c>
    </row>
    <row r="2403" spans="1:8" ht="75" x14ac:dyDescent="0.25">
      <c r="A2403" s="21" t="s">
        <v>5853</v>
      </c>
      <c r="B2403" s="25" t="s">
        <v>5854</v>
      </c>
      <c r="C2403" s="26">
        <v>1</v>
      </c>
      <c r="D2403" s="27" t="s">
        <v>201</v>
      </c>
      <c r="E2403" s="26">
        <v>349.15</v>
      </c>
      <c r="F2403" s="28" t="s">
        <v>202</v>
      </c>
      <c r="G2403" s="26">
        <f>ROUND(C2403*E2403,0)</f>
        <v>349</v>
      </c>
      <c r="H2403" t="s">
        <v>5854</v>
      </c>
    </row>
    <row r="2404" spans="1:8" ht="45" x14ac:dyDescent="0.25">
      <c r="A2404" s="21" t="s">
        <v>5855</v>
      </c>
      <c r="B2404" s="25" t="s">
        <v>5857</v>
      </c>
      <c r="C2404" s="26"/>
      <c r="D2404" s="27"/>
      <c r="E2404" s="26"/>
      <c r="F2404" s="28"/>
      <c r="G2404" s="26"/>
      <c r="H2404" t="s">
        <v>5856</v>
      </c>
    </row>
    <row r="2405" spans="1:8" x14ac:dyDescent="0.25">
      <c r="A2405" s="21" t="s">
        <v>5858</v>
      </c>
      <c r="B2405" s="25" t="s">
        <v>5860</v>
      </c>
      <c r="C2405" s="26">
        <v>1</v>
      </c>
      <c r="D2405" s="27" t="s">
        <v>3526</v>
      </c>
      <c r="E2405" s="26">
        <v>244.85</v>
      </c>
      <c r="F2405" s="28" t="s">
        <v>5861</v>
      </c>
      <c r="G2405" s="26">
        <f>ROUND(C2405*E2405,0)</f>
        <v>245</v>
      </c>
      <c r="H2405" t="s">
        <v>5859</v>
      </c>
    </row>
    <row r="2406" spans="1:8" x14ac:dyDescent="0.25">
      <c r="A2406" s="21" t="s">
        <v>5862</v>
      </c>
      <c r="B2406" s="25" t="s">
        <v>5864</v>
      </c>
      <c r="C2406" s="26">
        <v>1</v>
      </c>
      <c r="D2406" s="27" t="s">
        <v>3526</v>
      </c>
      <c r="E2406" s="26">
        <v>256.25</v>
      </c>
      <c r="F2406" s="28" t="s">
        <v>5861</v>
      </c>
      <c r="G2406" s="26">
        <f>ROUND(C2406*E2406,0)</f>
        <v>256</v>
      </c>
      <c r="H2406" t="s">
        <v>5863</v>
      </c>
    </row>
    <row r="2407" spans="1:8" ht="60" x14ac:dyDescent="0.25">
      <c r="A2407" s="21" t="s">
        <v>5865</v>
      </c>
      <c r="B2407" s="25" t="s">
        <v>5867</v>
      </c>
      <c r="C2407" s="26"/>
      <c r="D2407" s="27"/>
      <c r="E2407" s="26"/>
      <c r="F2407" s="28"/>
      <c r="G2407" s="26"/>
      <c r="H2407" t="s">
        <v>5866</v>
      </c>
    </row>
    <row r="2408" spans="1:8" x14ac:dyDescent="0.25">
      <c r="A2408" s="21" t="s">
        <v>5868</v>
      </c>
      <c r="B2408" s="25" t="s">
        <v>5870</v>
      </c>
      <c r="C2408" s="26">
        <v>1</v>
      </c>
      <c r="D2408" s="27" t="s">
        <v>201</v>
      </c>
      <c r="E2408" s="26">
        <v>1190.6500000000001</v>
      </c>
      <c r="F2408" s="28" t="s">
        <v>202</v>
      </c>
      <c r="G2408" s="26">
        <f>ROUND(C2408*E2408,0)</f>
        <v>1191</v>
      </c>
      <c r="H2408" t="s">
        <v>5869</v>
      </c>
    </row>
    <row r="2409" spans="1:8" x14ac:dyDescent="0.25">
      <c r="A2409" s="21" t="s">
        <v>5871</v>
      </c>
      <c r="B2409" s="25" t="s">
        <v>5873</v>
      </c>
      <c r="C2409" s="26">
        <v>1</v>
      </c>
      <c r="D2409" s="27" t="s">
        <v>201</v>
      </c>
      <c r="E2409" s="26">
        <v>1136.5999999999999</v>
      </c>
      <c r="F2409" s="28" t="s">
        <v>202</v>
      </c>
      <c r="G2409" s="26">
        <f>ROUND(C2409*E2409,0)</f>
        <v>1137</v>
      </c>
      <c r="H2409" t="s">
        <v>5872</v>
      </c>
    </row>
    <row r="2410" spans="1:8" ht="45" x14ac:dyDescent="0.25">
      <c r="A2410" s="21" t="s">
        <v>5874</v>
      </c>
      <c r="B2410" s="25" t="s">
        <v>5876</v>
      </c>
      <c r="C2410" s="26"/>
      <c r="D2410" s="27"/>
      <c r="E2410" s="26"/>
      <c r="F2410" s="28"/>
      <c r="G2410" s="26"/>
      <c r="H2410" t="s">
        <v>5875</v>
      </c>
    </row>
    <row r="2411" spans="1:8" x14ac:dyDescent="0.25">
      <c r="A2411" s="21" t="s">
        <v>5877</v>
      </c>
      <c r="B2411" s="25" t="s">
        <v>5879</v>
      </c>
      <c r="C2411" s="26">
        <v>1</v>
      </c>
      <c r="D2411" s="27" t="s">
        <v>201</v>
      </c>
      <c r="E2411" s="26">
        <v>2243.75</v>
      </c>
      <c r="F2411" s="28" t="s">
        <v>202</v>
      </c>
      <c r="G2411" s="26">
        <f>ROUND(C2411*E2411,0)</f>
        <v>2244</v>
      </c>
      <c r="H2411" t="s">
        <v>5878</v>
      </c>
    </row>
    <row r="2412" spans="1:8" x14ac:dyDescent="0.25">
      <c r="A2412" s="21" t="s">
        <v>5880</v>
      </c>
      <c r="B2412" s="25" t="s">
        <v>5882</v>
      </c>
      <c r="C2412" s="26">
        <v>1</v>
      </c>
      <c r="D2412" s="27" t="s">
        <v>201</v>
      </c>
      <c r="E2412" s="26">
        <v>2912.4</v>
      </c>
      <c r="F2412" s="28" t="s">
        <v>202</v>
      </c>
      <c r="G2412" s="26">
        <f>ROUND(C2412*E2412,0)</f>
        <v>2912</v>
      </c>
      <c r="H2412" t="s">
        <v>5881</v>
      </c>
    </row>
    <row r="2413" spans="1:8" ht="30" x14ac:dyDescent="0.25">
      <c r="A2413" s="21" t="s">
        <v>5883</v>
      </c>
      <c r="B2413" s="25" t="s">
        <v>5885</v>
      </c>
      <c r="C2413" s="26"/>
      <c r="D2413" s="27"/>
      <c r="E2413" s="26"/>
      <c r="F2413" s="28"/>
      <c r="G2413" s="26"/>
      <c r="H2413" t="s">
        <v>5884</v>
      </c>
    </row>
    <row r="2414" spans="1:8" x14ac:dyDescent="0.25">
      <c r="A2414" s="21" t="s">
        <v>5886</v>
      </c>
      <c r="B2414" s="25" t="s">
        <v>5887</v>
      </c>
      <c r="C2414" s="26">
        <v>1</v>
      </c>
      <c r="D2414" s="27" t="s">
        <v>201</v>
      </c>
      <c r="E2414" s="26">
        <v>684.85</v>
      </c>
      <c r="F2414" s="28" t="s">
        <v>202</v>
      </c>
      <c r="G2414" s="26">
        <f t="shared" ref="G2414:G2422" si="64">ROUND(C2414*E2414,0)</f>
        <v>685</v>
      </c>
      <c r="H2414" t="s">
        <v>5887</v>
      </c>
    </row>
    <row r="2415" spans="1:8" x14ac:dyDescent="0.25">
      <c r="A2415" s="21" t="s">
        <v>5888</v>
      </c>
      <c r="B2415" s="25" t="s">
        <v>5889</v>
      </c>
      <c r="C2415" s="26">
        <v>1</v>
      </c>
      <c r="D2415" s="27" t="s">
        <v>201</v>
      </c>
      <c r="E2415" s="26">
        <v>552.54999999999995</v>
      </c>
      <c r="F2415" s="28" t="s">
        <v>202</v>
      </c>
      <c r="G2415" s="26">
        <f t="shared" si="64"/>
        <v>553</v>
      </c>
      <c r="H2415" t="s">
        <v>5889</v>
      </c>
    </row>
    <row r="2416" spans="1:8" ht="30" x14ac:dyDescent="0.25">
      <c r="A2416" s="21" t="s">
        <v>5890</v>
      </c>
      <c r="B2416" s="25" t="s">
        <v>5891</v>
      </c>
      <c r="C2416" s="26">
        <v>1</v>
      </c>
      <c r="D2416" s="27" t="s">
        <v>201</v>
      </c>
      <c r="E2416" s="26">
        <v>590.95000000000005</v>
      </c>
      <c r="F2416" s="28" t="s">
        <v>202</v>
      </c>
      <c r="G2416" s="26">
        <f t="shared" si="64"/>
        <v>591</v>
      </c>
      <c r="H2416" t="s">
        <v>5891</v>
      </c>
    </row>
    <row r="2417" spans="1:8" ht="30" x14ac:dyDescent="0.25">
      <c r="A2417" s="21" t="s">
        <v>5892</v>
      </c>
      <c r="B2417" s="25" t="s">
        <v>5894</v>
      </c>
      <c r="C2417" s="26">
        <v>1</v>
      </c>
      <c r="D2417" s="27" t="s">
        <v>201</v>
      </c>
      <c r="E2417" s="26">
        <v>142.85</v>
      </c>
      <c r="F2417" s="28" t="s">
        <v>202</v>
      </c>
      <c r="G2417" s="26">
        <f t="shared" si="64"/>
        <v>143</v>
      </c>
      <c r="H2417" t="s">
        <v>5893</v>
      </c>
    </row>
    <row r="2418" spans="1:8" ht="45" x14ac:dyDescent="0.25">
      <c r="A2418" s="21" t="s">
        <v>5895</v>
      </c>
      <c r="B2418" s="25" t="s">
        <v>5896</v>
      </c>
      <c r="C2418" s="26">
        <v>1</v>
      </c>
      <c r="D2418" s="27" t="s">
        <v>201</v>
      </c>
      <c r="E2418" s="26">
        <v>1034.8</v>
      </c>
      <c r="F2418" s="28" t="s">
        <v>202</v>
      </c>
      <c r="G2418" s="26">
        <f t="shared" si="64"/>
        <v>1035</v>
      </c>
      <c r="H2418" t="s">
        <v>5896</v>
      </c>
    </row>
    <row r="2419" spans="1:8" ht="45" x14ac:dyDescent="0.25">
      <c r="A2419" s="66" t="s">
        <v>9766</v>
      </c>
      <c r="B2419" s="67" t="s">
        <v>9767</v>
      </c>
      <c r="C2419" s="68"/>
      <c r="D2419" s="69"/>
      <c r="E2419" s="68"/>
      <c r="F2419" s="70"/>
      <c r="G2419" s="68"/>
    </row>
    <row r="2420" spans="1:8" x14ac:dyDescent="0.25">
      <c r="A2420" s="66"/>
      <c r="B2420" s="67" t="s">
        <v>9768</v>
      </c>
      <c r="C2420" s="68">
        <v>1</v>
      </c>
      <c r="D2420" s="69" t="s">
        <v>201</v>
      </c>
      <c r="E2420" s="68">
        <v>6940.75</v>
      </c>
      <c r="F2420" s="70" t="s">
        <v>202</v>
      </c>
      <c r="G2420" s="26">
        <f t="shared" si="64"/>
        <v>6941</v>
      </c>
    </row>
    <row r="2421" spans="1:8" ht="60" x14ac:dyDescent="0.25">
      <c r="A2421" s="21" t="s">
        <v>5897</v>
      </c>
      <c r="B2421" s="25" t="s">
        <v>5899</v>
      </c>
      <c r="C2421" s="26">
        <v>1</v>
      </c>
      <c r="D2421" s="27" t="s">
        <v>201</v>
      </c>
      <c r="E2421" s="26">
        <v>1648.95</v>
      </c>
      <c r="F2421" s="28" t="s">
        <v>202</v>
      </c>
      <c r="G2421" s="26">
        <f t="shared" si="64"/>
        <v>1649</v>
      </c>
      <c r="H2421" t="s">
        <v>5898</v>
      </c>
    </row>
    <row r="2422" spans="1:8" ht="45" x14ac:dyDescent="0.25">
      <c r="A2422" s="21" t="s">
        <v>5900</v>
      </c>
      <c r="B2422" s="25" t="s">
        <v>5902</v>
      </c>
      <c r="C2422" s="26">
        <v>1</v>
      </c>
      <c r="D2422" s="27" t="s">
        <v>201</v>
      </c>
      <c r="E2422" s="26">
        <v>4048.65</v>
      </c>
      <c r="F2422" s="28" t="s">
        <v>202</v>
      </c>
      <c r="G2422" s="26">
        <f t="shared" si="64"/>
        <v>4049</v>
      </c>
      <c r="H2422" t="s">
        <v>5901</v>
      </c>
    </row>
    <row r="2423" spans="1:8" ht="45" x14ac:dyDescent="0.25">
      <c r="A2423" s="21" t="s">
        <v>5903</v>
      </c>
      <c r="B2423" s="25" t="s">
        <v>5905</v>
      </c>
      <c r="C2423" s="26"/>
      <c r="D2423" s="27"/>
      <c r="E2423" s="26"/>
      <c r="F2423" s="28"/>
      <c r="G2423" s="26"/>
      <c r="H2423" t="s">
        <v>5904</v>
      </c>
    </row>
    <row r="2424" spans="1:8" x14ac:dyDescent="0.25">
      <c r="A2424" s="21" t="s">
        <v>5906</v>
      </c>
      <c r="B2424" s="25" t="s">
        <v>5908</v>
      </c>
      <c r="C2424" s="26">
        <v>1</v>
      </c>
      <c r="D2424" s="27" t="s">
        <v>201</v>
      </c>
      <c r="E2424" s="26">
        <v>1339.7</v>
      </c>
      <c r="F2424" s="28" t="s">
        <v>202</v>
      </c>
      <c r="G2424" s="26">
        <f t="shared" ref="G2424:G2429" si="65">ROUND(C2424*E2424,0)</f>
        <v>1340</v>
      </c>
      <c r="H2424" t="s">
        <v>5907</v>
      </c>
    </row>
    <row r="2425" spans="1:8" x14ac:dyDescent="0.25">
      <c r="A2425" s="21" t="s">
        <v>5909</v>
      </c>
      <c r="B2425" s="25" t="s">
        <v>5911</v>
      </c>
      <c r="C2425" s="26">
        <v>1</v>
      </c>
      <c r="D2425" s="27" t="s">
        <v>201</v>
      </c>
      <c r="E2425" s="26">
        <v>992.6</v>
      </c>
      <c r="F2425" s="28" t="s">
        <v>202</v>
      </c>
      <c r="G2425" s="26">
        <f t="shared" si="65"/>
        <v>993</v>
      </c>
      <c r="H2425" t="s">
        <v>5910</v>
      </c>
    </row>
    <row r="2426" spans="1:8" x14ac:dyDescent="0.25">
      <c r="A2426" s="21" t="s">
        <v>5912</v>
      </c>
      <c r="B2426" s="25" t="s">
        <v>5914</v>
      </c>
      <c r="C2426" s="26">
        <v>1</v>
      </c>
      <c r="D2426" s="27" t="s">
        <v>201</v>
      </c>
      <c r="E2426" s="26">
        <v>1339.7</v>
      </c>
      <c r="F2426" s="28" t="s">
        <v>202</v>
      </c>
      <c r="G2426" s="26">
        <f t="shared" si="65"/>
        <v>1340</v>
      </c>
      <c r="H2426" t="s">
        <v>5913</v>
      </c>
    </row>
    <row r="2427" spans="1:8" x14ac:dyDescent="0.25">
      <c r="A2427" s="21" t="s">
        <v>5915</v>
      </c>
      <c r="B2427" s="25" t="s">
        <v>5917</v>
      </c>
      <c r="C2427" s="26">
        <v>1</v>
      </c>
      <c r="D2427" s="27" t="s">
        <v>201</v>
      </c>
      <c r="E2427" s="26">
        <v>870.25</v>
      </c>
      <c r="F2427" s="28" t="s">
        <v>202</v>
      </c>
      <c r="G2427" s="26">
        <f t="shared" si="65"/>
        <v>870</v>
      </c>
      <c r="H2427" t="s">
        <v>5916</v>
      </c>
    </row>
    <row r="2428" spans="1:8" x14ac:dyDescent="0.25">
      <c r="A2428" s="21" t="s">
        <v>5918</v>
      </c>
      <c r="B2428" s="25" t="s">
        <v>5920</v>
      </c>
      <c r="C2428" s="26">
        <v>1</v>
      </c>
      <c r="D2428" s="27" t="s">
        <v>201</v>
      </c>
      <c r="E2428" s="26">
        <v>627</v>
      </c>
      <c r="F2428" s="28" t="s">
        <v>202</v>
      </c>
      <c r="G2428" s="26">
        <f t="shared" si="65"/>
        <v>627</v>
      </c>
      <c r="H2428" t="s">
        <v>5919</v>
      </c>
    </row>
    <row r="2429" spans="1:8" x14ac:dyDescent="0.25">
      <c r="A2429" s="21" t="s">
        <v>5921</v>
      </c>
      <c r="B2429" s="25" t="s">
        <v>5923</v>
      </c>
      <c r="C2429" s="26">
        <v>1</v>
      </c>
      <c r="D2429" s="27" t="s">
        <v>201</v>
      </c>
      <c r="E2429" s="26">
        <v>1816.3</v>
      </c>
      <c r="F2429" s="28" t="s">
        <v>202</v>
      </c>
      <c r="G2429" s="26">
        <f t="shared" si="65"/>
        <v>1816</v>
      </c>
      <c r="H2429" t="s">
        <v>5922</v>
      </c>
    </row>
    <row r="2430" spans="1:8" ht="30" x14ac:dyDescent="0.25">
      <c r="A2430" s="21" t="s">
        <v>5924</v>
      </c>
      <c r="B2430" s="25" t="s">
        <v>5925</v>
      </c>
      <c r="C2430" s="26"/>
      <c r="D2430" s="27"/>
      <c r="E2430" s="26"/>
      <c r="F2430" s="28"/>
      <c r="G2430" s="26"/>
      <c r="H2430" t="s">
        <v>5925</v>
      </c>
    </row>
    <row r="2431" spans="1:8" ht="30" x14ac:dyDescent="0.25">
      <c r="A2431" s="21" t="s">
        <v>5926</v>
      </c>
      <c r="B2431" s="25" t="s">
        <v>5927</v>
      </c>
      <c r="C2431" s="26">
        <v>1</v>
      </c>
      <c r="D2431" s="27" t="s">
        <v>201</v>
      </c>
      <c r="E2431" s="26">
        <v>2199.8000000000002</v>
      </c>
      <c r="F2431" s="28" t="s">
        <v>202</v>
      </c>
      <c r="G2431" s="26">
        <f>ROUND(C2431*E2431,0)</f>
        <v>2200</v>
      </c>
      <c r="H2431" t="s">
        <v>5927</v>
      </c>
    </row>
    <row r="2432" spans="1:8" ht="45" x14ac:dyDescent="0.25">
      <c r="A2432" s="21" t="s">
        <v>5928</v>
      </c>
      <c r="B2432" s="25" t="s">
        <v>5929</v>
      </c>
      <c r="C2432" s="26"/>
      <c r="D2432" s="27"/>
      <c r="E2432" s="26"/>
      <c r="F2432" s="28"/>
      <c r="G2432" s="26"/>
      <c r="H2432" t="s">
        <v>5818</v>
      </c>
    </row>
    <row r="2433" spans="1:8" x14ac:dyDescent="0.25">
      <c r="A2433" s="21" t="s">
        <v>5930</v>
      </c>
      <c r="B2433" s="25" t="s">
        <v>5931</v>
      </c>
      <c r="C2433" s="26">
        <v>1</v>
      </c>
      <c r="D2433" s="27" t="s">
        <v>201</v>
      </c>
      <c r="E2433" s="26">
        <v>2512.75</v>
      </c>
      <c r="F2433" s="28" t="s">
        <v>202</v>
      </c>
      <c r="G2433" s="26">
        <f>ROUND(C2433*E2433,0)</f>
        <v>2513</v>
      </c>
      <c r="H2433" t="s">
        <v>5821</v>
      </c>
    </row>
    <row r="2434" spans="1:8" x14ac:dyDescent="0.25">
      <c r="A2434" s="21" t="s">
        <v>5932</v>
      </c>
      <c r="B2434" s="25" t="s">
        <v>5933</v>
      </c>
      <c r="C2434" s="26">
        <v>1</v>
      </c>
      <c r="D2434" s="27" t="s">
        <v>201</v>
      </c>
      <c r="E2434" s="26">
        <v>4077.65</v>
      </c>
      <c r="F2434" s="28" t="s">
        <v>202</v>
      </c>
      <c r="G2434" s="26">
        <f>ROUND(C2434*E2434,0)</f>
        <v>4078</v>
      </c>
      <c r="H2434" t="s">
        <v>5824</v>
      </c>
    </row>
    <row r="2435" spans="1:8" ht="45" x14ac:dyDescent="0.25">
      <c r="A2435" s="21" t="s">
        <v>5934</v>
      </c>
      <c r="B2435" s="25" t="s">
        <v>5936</v>
      </c>
      <c r="C2435" s="26"/>
      <c r="D2435" s="27"/>
      <c r="E2435" s="26"/>
      <c r="F2435" s="28"/>
      <c r="G2435" s="26"/>
      <c r="H2435" t="s">
        <v>5935</v>
      </c>
    </row>
    <row r="2436" spans="1:8" x14ac:dyDescent="0.25">
      <c r="A2436" s="21" t="s">
        <v>5937</v>
      </c>
      <c r="B2436" s="25" t="s">
        <v>5938</v>
      </c>
      <c r="C2436" s="26"/>
      <c r="D2436" s="27"/>
      <c r="E2436" s="26"/>
      <c r="F2436" s="28"/>
      <c r="G2436" s="26"/>
      <c r="H2436" t="s">
        <v>5938</v>
      </c>
    </row>
    <row r="2437" spans="1:8" x14ac:dyDescent="0.25">
      <c r="A2437" s="21" t="s">
        <v>5939</v>
      </c>
      <c r="B2437" s="25" t="s">
        <v>5940</v>
      </c>
      <c r="C2437" s="26">
        <v>1</v>
      </c>
      <c r="D2437" s="27" t="s">
        <v>201</v>
      </c>
      <c r="E2437" s="26">
        <v>103.9</v>
      </c>
      <c r="F2437" s="28" t="s">
        <v>202</v>
      </c>
      <c r="G2437" s="26">
        <f>ROUND(C2437*E2437,0)</f>
        <v>104</v>
      </c>
      <c r="H2437" t="s">
        <v>4441</v>
      </c>
    </row>
    <row r="2438" spans="1:8" x14ac:dyDescent="0.25">
      <c r="A2438" s="21" t="s">
        <v>5941</v>
      </c>
      <c r="B2438" s="25" t="s">
        <v>5942</v>
      </c>
      <c r="C2438" s="26">
        <v>1</v>
      </c>
      <c r="D2438" s="27" t="s">
        <v>201</v>
      </c>
      <c r="E2438" s="26">
        <v>116.7</v>
      </c>
      <c r="F2438" s="28" t="s">
        <v>202</v>
      </c>
      <c r="G2438" s="26">
        <f>ROUND(C2438*E2438,0)</f>
        <v>117</v>
      </c>
      <c r="H2438" t="s">
        <v>4443</v>
      </c>
    </row>
    <row r="2439" spans="1:8" x14ac:dyDescent="0.25">
      <c r="A2439" s="21" t="s">
        <v>5943</v>
      </c>
      <c r="B2439" s="25" t="s">
        <v>5945</v>
      </c>
      <c r="C2439" s="26"/>
      <c r="D2439" s="27"/>
      <c r="E2439" s="26"/>
      <c r="F2439" s="28"/>
      <c r="G2439" s="26"/>
      <c r="H2439" t="s">
        <v>5944</v>
      </c>
    </row>
    <row r="2440" spans="1:8" x14ac:dyDescent="0.25">
      <c r="A2440" s="21" t="s">
        <v>5946</v>
      </c>
      <c r="B2440" s="25" t="s">
        <v>5940</v>
      </c>
      <c r="C2440" s="26">
        <v>1</v>
      </c>
      <c r="D2440" s="27" t="s">
        <v>201</v>
      </c>
      <c r="E2440" s="26">
        <v>119.55</v>
      </c>
      <c r="F2440" s="28" t="s">
        <v>202</v>
      </c>
      <c r="G2440" s="26">
        <f>ROUND(C2440*E2440,0)</f>
        <v>120</v>
      </c>
      <c r="H2440" t="s">
        <v>4441</v>
      </c>
    </row>
    <row r="2441" spans="1:8" x14ac:dyDescent="0.25">
      <c r="A2441" s="21" t="s">
        <v>5947</v>
      </c>
      <c r="B2441" s="25" t="s">
        <v>5942</v>
      </c>
      <c r="C2441" s="26">
        <v>1</v>
      </c>
      <c r="D2441" s="27" t="s">
        <v>201</v>
      </c>
      <c r="E2441" s="26">
        <v>119.55</v>
      </c>
      <c r="F2441" s="28" t="s">
        <v>202</v>
      </c>
      <c r="G2441" s="26">
        <f>ROUND(C2441*E2441,0)</f>
        <v>120</v>
      </c>
      <c r="H2441" t="s">
        <v>4443</v>
      </c>
    </row>
    <row r="2442" spans="1:8" ht="30" x14ac:dyDescent="0.25">
      <c r="A2442" s="21" t="s">
        <v>5948</v>
      </c>
      <c r="B2442" s="25" t="s">
        <v>5950</v>
      </c>
      <c r="C2442" s="26">
        <v>1</v>
      </c>
      <c r="D2442" s="27" t="s">
        <v>201</v>
      </c>
      <c r="E2442" s="26">
        <v>53.25</v>
      </c>
      <c r="F2442" s="28" t="s">
        <v>202</v>
      </c>
      <c r="G2442" s="26">
        <f>ROUND(C2442*E2442,0)</f>
        <v>53</v>
      </c>
      <c r="H2442" t="s">
        <v>5949</v>
      </c>
    </row>
    <row r="2443" spans="1:8" ht="45" x14ac:dyDescent="0.25">
      <c r="A2443" s="21" t="s">
        <v>5951</v>
      </c>
      <c r="B2443" s="25" t="s">
        <v>5953</v>
      </c>
      <c r="C2443" s="26">
        <v>1</v>
      </c>
      <c r="D2443" s="27" t="s">
        <v>201</v>
      </c>
      <c r="E2443" s="26">
        <v>55.65</v>
      </c>
      <c r="F2443" s="28" t="s">
        <v>202</v>
      </c>
      <c r="G2443" s="26">
        <f>ROUND(C2443*E2443,0)</f>
        <v>56</v>
      </c>
      <c r="H2443" t="s">
        <v>5952</v>
      </c>
    </row>
    <row r="2444" spans="1:8" ht="75" x14ac:dyDescent="0.25">
      <c r="A2444" s="21" t="s">
        <v>5954</v>
      </c>
      <c r="B2444" s="25" t="s">
        <v>5956</v>
      </c>
      <c r="C2444" s="26">
        <v>1</v>
      </c>
      <c r="D2444" s="27" t="s">
        <v>201</v>
      </c>
      <c r="E2444" s="26">
        <v>1607.95</v>
      </c>
      <c r="F2444" s="28" t="s">
        <v>202</v>
      </c>
      <c r="G2444" s="26">
        <f>ROUND(C2444*E2444,0)</f>
        <v>1608</v>
      </c>
      <c r="H2444" t="s">
        <v>5955</v>
      </c>
    </row>
    <row r="2445" spans="1:8" ht="60" x14ac:dyDescent="0.25">
      <c r="A2445" s="21" t="s">
        <v>5957</v>
      </c>
      <c r="B2445" s="25" t="s">
        <v>5959</v>
      </c>
      <c r="C2445" s="26"/>
      <c r="D2445" s="27"/>
      <c r="E2445" s="26"/>
      <c r="F2445" s="28"/>
      <c r="G2445" s="26"/>
      <c r="H2445" t="s">
        <v>5958</v>
      </c>
    </row>
    <row r="2446" spans="1:8" x14ac:dyDescent="0.25">
      <c r="A2446" s="21" t="s">
        <v>5960</v>
      </c>
      <c r="B2446" s="25" t="s">
        <v>5962</v>
      </c>
      <c r="C2446" s="26">
        <v>1</v>
      </c>
      <c r="D2446" s="27" t="s">
        <v>201</v>
      </c>
      <c r="E2446" s="26">
        <v>1479.05</v>
      </c>
      <c r="F2446" s="28" t="s">
        <v>202</v>
      </c>
      <c r="G2446" s="26">
        <f>ROUND(C2446*E2446,0)</f>
        <v>1479</v>
      </c>
      <c r="H2446" t="s">
        <v>5961</v>
      </c>
    </row>
    <row r="2447" spans="1:8" x14ac:dyDescent="0.25">
      <c r="A2447" s="21" t="s">
        <v>5963</v>
      </c>
      <c r="B2447" s="25" t="s">
        <v>5965</v>
      </c>
      <c r="C2447" s="26">
        <v>1</v>
      </c>
      <c r="D2447" s="27" t="s">
        <v>201</v>
      </c>
      <c r="E2447" s="26">
        <v>1361.8</v>
      </c>
      <c r="F2447" s="28" t="s">
        <v>202</v>
      </c>
      <c r="G2447" s="26">
        <f>ROUND(C2447*E2447,0)</f>
        <v>1362</v>
      </c>
      <c r="H2447" t="s">
        <v>5964</v>
      </c>
    </row>
    <row r="2448" spans="1:8" x14ac:dyDescent="0.25">
      <c r="A2448" s="21" t="s">
        <v>5966</v>
      </c>
      <c r="B2448" s="25" t="s">
        <v>5968</v>
      </c>
      <c r="C2448" s="26">
        <v>1</v>
      </c>
      <c r="D2448" s="27" t="s">
        <v>201</v>
      </c>
      <c r="E2448" s="26">
        <v>1377.1</v>
      </c>
      <c r="F2448" s="28" t="s">
        <v>202</v>
      </c>
      <c r="G2448" s="26">
        <f>ROUND(C2448*E2448,0)</f>
        <v>1377</v>
      </c>
      <c r="H2448" t="s">
        <v>5967</v>
      </c>
    </row>
    <row r="2449" spans="1:8" x14ac:dyDescent="0.25">
      <c r="A2449" s="21" t="s">
        <v>5969</v>
      </c>
      <c r="B2449" s="25" t="s">
        <v>5971</v>
      </c>
      <c r="C2449" s="26">
        <v>1</v>
      </c>
      <c r="D2449" s="27" t="s">
        <v>201</v>
      </c>
      <c r="E2449" s="26">
        <v>2093</v>
      </c>
      <c r="F2449" s="28" t="s">
        <v>202</v>
      </c>
      <c r="G2449" s="26">
        <f>ROUND(C2449*E2449,0)</f>
        <v>2093</v>
      </c>
      <c r="H2449" t="s">
        <v>5970</v>
      </c>
    </row>
    <row r="2450" spans="1:8" ht="75" x14ac:dyDescent="0.25">
      <c r="A2450" s="21" t="s">
        <v>5972</v>
      </c>
      <c r="B2450" s="25" t="s">
        <v>5974</v>
      </c>
      <c r="C2450" s="26">
        <v>1</v>
      </c>
      <c r="D2450" s="27" t="s">
        <v>201</v>
      </c>
      <c r="E2450" s="26">
        <v>1083.5</v>
      </c>
      <c r="F2450" s="28" t="s">
        <v>202</v>
      </c>
      <c r="G2450" s="26">
        <f>ROUND(C2450*E2450,0)</f>
        <v>1084</v>
      </c>
      <c r="H2450" t="s">
        <v>5973</v>
      </c>
    </row>
    <row r="2451" spans="1:8" x14ac:dyDescent="0.25">
      <c r="A2451" s="21" t="s">
        <v>5975</v>
      </c>
      <c r="B2451" s="25" t="s">
        <v>5977</v>
      </c>
      <c r="C2451" s="26"/>
      <c r="D2451" s="27"/>
      <c r="E2451" s="26"/>
      <c r="F2451" s="28"/>
      <c r="G2451" s="26"/>
      <c r="H2451" t="s">
        <v>5976</v>
      </c>
    </row>
    <row r="2452" spans="1:8" x14ac:dyDescent="0.25">
      <c r="A2452" s="21" t="s">
        <v>5978</v>
      </c>
      <c r="B2452" s="25" t="s">
        <v>5980</v>
      </c>
      <c r="C2452" s="26">
        <v>1</v>
      </c>
      <c r="D2452" s="27" t="s">
        <v>201</v>
      </c>
      <c r="E2452" s="26">
        <v>803.7</v>
      </c>
      <c r="F2452" s="28" t="s">
        <v>202</v>
      </c>
      <c r="G2452" s="26">
        <f>ROUND(C2452*E2452,0)</f>
        <v>804</v>
      </c>
      <c r="H2452" t="s">
        <v>5979</v>
      </c>
    </row>
    <row r="2453" spans="1:8" x14ac:dyDescent="0.25">
      <c r="A2453" s="21" t="s">
        <v>5981</v>
      </c>
      <c r="B2453" s="25" t="s">
        <v>5983</v>
      </c>
      <c r="C2453" s="26">
        <v>1</v>
      </c>
      <c r="D2453" s="27" t="s">
        <v>201</v>
      </c>
      <c r="E2453" s="26">
        <v>546.35</v>
      </c>
      <c r="F2453" s="28" t="s">
        <v>202</v>
      </c>
      <c r="G2453" s="26">
        <f>ROUND(C2453*E2453,0)</f>
        <v>546</v>
      </c>
      <c r="H2453" t="s">
        <v>5982</v>
      </c>
    </row>
    <row r="2454" spans="1:8" x14ac:dyDescent="0.25">
      <c r="A2454" s="21" t="s">
        <v>5984</v>
      </c>
      <c r="B2454" s="25" t="s">
        <v>5986</v>
      </c>
      <c r="C2454" s="26"/>
      <c r="D2454" s="27"/>
      <c r="E2454" s="26"/>
      <c r="F2454" s="28"/>
      <c r="G2454" s="26"/>
      <c r="H2454" t="s">
        <v>5985</v>
      </c>
    </row>
    <row r="2455" spans="1:8" x14ac:dyDescent="0.25">
      <c r="A2455" s="21" t="s">
        <v>5987</v>
      </c>
      <c r="B2455" s="25" t="s">
        <v>5989</v>
      </c>
      <c r="C2455" s="26"/>
      <c r="D2455" s="27"/>
      <c r="E2455" s="26"/>
      <c r="F2455" s="28"/>
      <c r="G2455" s="26"/>
      <c r="H2455" t="s">
        <v>5988</v>
      </c>
    </row>
    <row r="2456" spans="1:8" ht="45" x14ac:dyDescent="0.25">
      <c r="A2456" s="21" t="s">
        <v>5990</v>
      </c>
      <c r="B2456" s="25" t="s">
        <v>5992</v>
      </c>
      <c r="C2456" s="26">
        <v>1</v>
      </c>
      <c r="D2456" s="27" t="s">
        <v>110</v>
      </c>
      <c r="E2456" s="26">
        <v>1151.9000000000001</v>
      </c>
      <c r="F2456" s="28" t="s">
        <v>618</v>
      </c>
      <c r="G2456" s="26">
        <f>ROUND(C2456*E2456,0)</f>
        <v>1152</v>
      </c>
      <c r="H2456" t="s">
        <v>5991</v>
      </c>
    </row>
    <row r="2457" spans="1:8" ht="45" x14ac:dyDescent="0.25">
      <c r="A2457" s="21" t="s">
        <v>5993</v>
      </c>
      <c r="B2457" s="25" t="s">
        <v>5995</v>
      </c>
      <c r="C2457" s="26">
        <v>1</v>
      </c>
      <c r="D2457" s="27" t="s">
        <v>110</v>
      </c>
      <c r="E2457" s="26">
        <v>1180.75</v>
      </c>
      <c r="F2457" s="28" t="s">
        <v>618</v>
      </c>
      <c r="G2457" s="26">
        <f>ROUND(C2457*E2457,0)</f>
        <v>1181</v>
      </c>
      <c r="H2457" t="s">
        <v>5994</v>
      </c>
    </row>
    <row r="2458" spans="1:8" ht="45" x14ac:dyDescent="0.25">
      <c r="A2458" s="21" t="s">
        <v>5996</v>
      </c>
      <c r="B2458" s="25" t="s">
        <v>5997</v>
      </c>
      <c r="C2458" s="26">
        <v>1</v>
      </c>
      <c r="D2458" s="27" t="s">
        <v>110</v>
      </c>
      <c r="E2458" s="26">
        <v>1169.3</v>
      </c>
      <c r="F2458" s="28" t="s">
        <v>618</v>
      </c>
      <c r="G2458" s="26">
        <f>ROUND(C2458*E2458,0)</f>
        <v>1169</v>
      </c>
      <c r="H2458" t="s">
        <v>5997</v>
      </c>
    </row>
    <row r="2459" spans="1:8" x14ac:dyDescent="0.25">
      <c r="A2459" s="21" t="s">
        <v>5998</v>
      </c>
      <c r="B2459" s="25" t="s">
        <v>6000</v>
      </c>
      <c r="C2459" s="26"/>
      <c r="D2459" s="27"/>
      <c r="E2459" s="26"/>
      <c r="F2459" s="28"/>
      <c r="G2459" s="26"/>
      <c r="H2459" t="s">
        <v>5999</v>
      </c>
    </row>
    <row r="2460" spans="1:8" ht="45" x14ac:dyDescent="0.25">
      <c r="A2460" s="21" t="s">
        <v>6001</v>
      </c>
      <c r="B2460" s="25" t="s">
        <v>5992</v>
      </c>
      <c r="C2460" s="26">
        <v>1</v>
      </c>
      <c r="D2460" s="27" t="s">
        <v>110</v>
      </c>
      <c r="E2460" s="26">
        <v>1044.75</v>
      </c>
      <c r="F2460" s="28" t="s">
        <v>618</v>
      </c>
      <c r="G2460" s="26">
        <f>ROUND(C2460*E2460,0)</f>
        <v>1045</v>
      </c>
      <c r="H2460" t="s">
        <v>6002</v>
      </c>
    </row>
    <row r="2461" spans="1:8" ht="45" x14ac:dyDescent="0.25">
      <c r="A2461" s="21" t="s">
        <v>6003</v>
      </c>
      <c r="B2461" s="25" t="s">
        <v>6004</v>
      </c>
      <c r="C2461" s="26">
        <v>1</v>
      </c>
      <c r="D2461" s="27" t="s">
        <v>110</v>
      </c>
      <c r="E2461" s="26">
        <v>1186</v>
      </c>
      <c r="F2461" s="28" t="s">
        <v>618</v>
      </c>
      <c r="G2461" s="26">
        <f>ROUND(C2461*E2461,0)</f>
        <v>1186</v>
      </c>
      <c r="H2461" t="s">
        <v>5994</v>
      </c>
    </row>
    <row r="2462" spans="1:8" ht="45" x14ac:dyDescent="0.25">
      <c r="A2462" s="21" t="s">
        <v>6005</v>
      </c>
      <c r="B2462" s="25" t="s">
        <v>5997</v>
      </c>
      <c r="C2462" s="26">
        <v>1</v>
      </c>
      <c r="D2462" s="27" t="s">
        <v>110</v>
      </c>
      <c r="E2462" s="26">
        <v>964.25</v>
      </c>
      <c r="F2462" s="28" t="s">
        <v>618</v>
      </c>
      <c r="G2462" s="26">
        <f>ROUND(C2462*E2462,0)</f>
        <v>964</v>
      </c>
      <c r="H2462" t="s">
        <v>5997</v>
      </c>
    </row>
    <row r="2463" spans="1:8" ht="45" x14ac:dyDescent="0.25">
      <c r="A2463" s="21" t="s">
        <v>6006</v>
      </c>
      <c r="B2463" s="25" t="s">
        <v>6008</v>
      </c>
      <c r="C2463" s="26"/>
      <c r="D2463" s="27"/>
      <c r="E2463" s="26"/>
      <c r="F2463" s="28"/>
      <c r="G2463" s="26"/>
      <c r="H2463" t="s">
        <v>6007</v>
      </c>
    </row>
    <row r="2464" spans="1:8" x14ac:dyDescent="0.25">
      <c r="A2464" s="21" t="s">
        <v>6009</v>
      </c>
      <c r="B2464" s="25" t="s">
        <v>6010</v>
      </c>
      <c r="C2464" s="26">
        <v>1</v>
      </c>
      <c r="D2464" s="27" t="s">
        <v>201</v>
      </c>
      <c r="E2464" s="26">
        <v>168.2</v>
      </c>
      <c r="F2464" s="28" t="s">
        <v>202</v>
      </c>
      <c r="G2464" s="26">
        <f>ROUND(C2464*E2464,0)</f>
        <v>168</v>
      </c>
      <c r="H2464" t="s">
        <v>6010</v>
      </c>
    </row>
    <row r="2465" spans="1:8" x14ac:dyDescent="0.25">
      <c r="A2465" s="21" t="s">
        <v>6011</v>
      </c>
      <c r="B2465" s="25" t="s">
        <v>5053</v>
      </c>
      <c r="C2465" s="26">
        <v>1</v>
      </c>
      <c r="D2465" s="27" t="s">
        <v>201</v>
      </c>
      <c r="E2465" s="26">
        <v>198.15</v>
      </c>
      <c r="F2465" s="28" t="s">
        <v>202</v>
      </c>
      <c r="G2465" s="26">
        <f>ROUND(C2465*E2465,0)</f>
        <v>198</v>
      </c>
      <c r="H2465" t="s">
        <v>5053</v>
      </c>
    </row>
    <row r="2466" spans="1:8" ht="105" x14ac:dyDescent="0.25">
      <c r="A2466" s="21" t="s">
        <v>6012</v>
      </c>
      <c r="B2466" s="25" t="s">
        <v>6014</v>
      </c>
      <c r="C2466" s="26"/>
      <c r="D2466" s="27"/>
      <c r="E2466" s="26"/>
      <c r="F2466" s="28"/>
      <c r="G2466" s="26"/>
      <c r="H2466" t="s">
        <v>6013</v>
      </c>
    </row>
    <row r="2467" spans="1:8" x14ac:dyDescent="0.25">
      <c r="A2467" s="21" t="s">
        <v>6015</v>
      </c>
      <c r="B2467" s="25" t="s">
        <v>6016</v>
      </c>
      <c r="C2467" s="26">
        <v>1</v>
      </c>
      <c r="D2467" s="27" t="s">
        <v>201</v>
      </c>
      <c r="E2467" s="26">
        <v>362.85</v>
      </c>
      <c r="F2467" s="28" t="s">
        <v>202</v>
      </c>
      <c r="G2467" s="26">
        <f>ROUND(C2467*E2467,0)</f>
        <v>363</v>
      </c>
      <c r="H2467" t="s">
        <v>5053</v>
      </c>
    </row>
    <row r="2468" spans="1:8" x14ac:dyDescent="0.25">
      <c r="A2468" s="21" t="s">
        <v>6017</v>
      </c>
      <c r="B2468" s="25" t="s">
        <v>6018</v>
      </c>
      <c r="C2468" s="26">
        <v>1</v>
      </c>
      <c r="D2468" s="27" t="s">
        <v>201</v>
      </c>
      <c r="E2468" s="26">
        <v>360</v>
      </c>
      <c r="F2468" s="28" t="s">
        <v>202</v>
      </c>
      <c r="G2468" s="26">
        <f>ROUND(C2468*E2468,0)</f>
        <v>360</v>
      </c>
      <c r="H2468" t="s">
        <v>6010</v>
      </c>
    </row>
    <row r="2469" spans="1:8" ht="45" x14ac:dyDescent="0.25">
      <c r="A2469" s="21" t="s">
        <v>6019</v>
      </c>
      <c r="B2469" s="25" t="s">
        <v>6021</v>
      </c>
      <c r="C2469" s="26"/>
      <c r="D2469" s="27"/>
      <c r="E2469" s="26"/>
      <c r="F2469" s="28"/>
      <c r="G2469" s="26"/>
      <c r="H2469" t="s">
        <v>6020</v>
      </c>
    </row>
    <row r="2470" spans="1:8" x14ac:dyDescent="0.25">
      <c r="A2470" s="21" t="s">
        <v>6022</v>
      </c>
      <c r="B2470" s="25" t="s">
        <v>6023</v>
      </c>
      <c r="C2470" s="26"/>
      <c r="D2470" s="27"/>
      <c r="E2470" s="26"/>
      <c r="F2470" s="28"/>
      <c r="G2470" s="26"/>
      <c r="H2470" t="s">
        <v>1947</v>
      </c>
    </row>
    <row r="2471" spans="1:8" x14ac:dyDescent="0.25">
      <c r="A2471" s="21" t="s">
        <v>6024</v>
      </c>
      <c r="B2471" s="25" t="s">
        <v>6025</v>
      </c>
      <c r="C2471" s="26">
        <v>1</v>
      </c>
      <c r="D2471" s="27" t="s">
        <v>201</v>
      </c>
      <c r="E2471" s="26">
        <v>598.5</v>
      </c>
      <c r="F2471" s="28" t="s">
        <v>202</v>
      </c>
      <c r="G2471" s="26">
        <f>ROUND(C2471*E2471,0)</f>
        <v>599</v>
      </c>
      <c r="H2471" t="s">
        <v>5991</v>
      </c>
    </row>
    <row r="2472" spans="1:8" x14ac:dyDescent="0.25">
      <c r="A2472" s="21" t="s">
        <v>6026</v>
      </c>
      <c r="B2472" s="25" t="s">
        <v>6027</v>
      </c>
      <c r="C2472" s="26">
        <v>1</v>
      </c>
      <c r="D2472" s="27" t="s">
        <v>201</v>
      </c>
      <c r="E2472" s="26">
        <v>705.2</v>
      </c>
      <c r="F2472" s="28" t="s">
        <v>202</v>
      </c>
      <c r="G2472" s="26">
        <f>ROUND(C2472*E2472,0)</f>
        <v>705</v>
      </c>
      <c r="H2472" t="s">
        <v>6002</v>
      </c>
    </row>
    <row r="2473" spans="1:8" ht="30" x14ac:dyDescent="0.25">
      <c r="A2473" s="21" t="s">
        <v>6028</v>
      </c>
      <c r="B2473" s="25" t="s">
        <v>6029</v>
      </c>
      <c r="C2473" s="26">
        <v>1</v>
      </c>
      <c r="D2473" s="27" t="s">
        <v>201</v>
      </c>
      <c r="E2473" s="26">
        <v>567.20000000000005</v>
      </c>
      <c r="F2473" s="28" t="s">
        <v>202</v>
      </c>
      <c r="G2473" s="26">
        <f>ROUND(C2473*E2473,0)</f>
        <v>567</v>
      </c>
      <c r="H2473" t="s">
        <v>6029</v>
      </c>
    </row>
    <row r="2474" spans="1:8" x14ac:dyDescent="0.25">
      <c r="A2474" s="21" t="s">
        <v>6030</v>
      </c>
      <c r="B2474" s="25" t="s">
        <v>6032</v>
      </c>
      <c r="C2474" s="26"/>
      <c r="D2474" s="27"/>
      <c r="E2474" s="26"/>
      <c r="F2474" s="28"/>
      <c r="G2474" s="26"/>
      <c r="H2474" t="s">
        <v>6031</v>
      </c>
    </row>
    <row r="2475" spans="1:8" x14ac:dyDescent="0.25">
      <c r="A2475" s="21" t="s">
        <v>6033</v>
      </c>
      <c r="B2475" s="25" t="s">
        <v>6025</v>
      </c>
      <c r="C2475" s="26">
        <v>1</v>
      </c>
      <c r="D2475" s="27" t="s">
        <v>201</v>
      </c>
      <c r="E2475" s="26">
        <v>501.45</v>
      </c>
      <c r="F2475" s="28" t="s">
        <v>202</v>
      </c>
      <c r="G2475" s="26">
        <f>ROUND(C2475*E2475,0)</f>
        <v>501</v>
      </c>
      <c r="H2475" t="s">
        <v>6034</v>
      </c>
    </row>
    <row r="2476" spans="1:8" x14ac:dyDescent="0.25">
      <c r="A2476" s="21" t="s">
        <v>6035</v>
      </c>
      <c r="B2476" s="25" t="s">
        <v>6037</v>
      </c>
      <c r="C2476" s="26">
        <v>1</v>
      </c>
      <c r="D2476" s="27" t="s">
        <v>201</v>
      </c>
      <c r="E2476" s="26">
        <v>522.79999999999995</v>
      </c>
      <c r="F2476" s="28" t="s">
        <v>202</v>
      </c>
      <c r="G2476" s="26">
        <f>ROUND(C2476*E2476,0)</f>
        <v>523</v>
      </c>
      <c r="H2476" t="s">
        <v>6036</v>
      </c>
    </row>
    <row r="2477" spans="1:8" ht="30" x14ac:dyDescent="0.25">
      <c r="A2477" s="21" t="s">
        <v>6038</v>
      </c>
      <c r="B2477" s="25" t="s">
        <v>6029</v>
      </c>
      <c r="C2477" s="26">
        <v>1</v>
      </c>
      <c r="D2477" s="27" t="s">
        <v>201</v>
      </c>
      <c r="E2477" s="26">
        <v>418.95</v>
      </c>
      <c r="F2477" s="28" t="s">
        <v>202</v>
      </c>
      <c r="G2477" s="26">
        <f>ROUND(C2477*E2477,0)</f>
        <v>419</v>
      </c>
      <c r="H2477" t="s">
        <v>6029</v>
      </c>
    </row>
    <row r="2478" spans="1:8" ht="30" x14ac:dyDescent="0.25">
      <c r="A2478" s="21" t="s">
        <v>6039</v>
      </c>
      <c r="B2478" s="25" t="s">
        <v>6041</v>
      </c>
      <c r="C2478" s="26"/>
      <c r="D2478" s="27"/>
      <c r="E2478" s="26"/>
      <c r="F2478" s="28"/>
      <c r="G2478" s="26"/>
      <c r="H2478" t="s">
        <v>6040</v>
      </c>
    </row>
    <row r="2479" spans="1:8" x14ac:dyDescent="0.25">
      <c r="A2479" s="21" t="s">
        <v>6042</v>
      </c>
      <c r="B2479" s="25" t="s">
        <v>6023</v>
      </c>
      <c r="C2479" s="26"/>
      <c r="D2479" s="27"/>
      <c r="E2479" s="26"/>
      <c r="F2479" s="28"/>
      <c r="G2479" s="26"/>
      <c r="H2479" t="s">
        <v>6043</v>
      </c>
    </row>
    <row r="2480" spans="1:8" x14ac:dyDescent="0.25">
      <c r="A2480" s="21" t="s">
        <v>6044</v>
      </c>
      <c r="B2480" s="25" t="s">
        <v>6025</v>
      </c>
      <c r="C2480" s="26">
        <v>1</v>
      </c>
      <c r="D2480" s="27" t="s">
        <v>201</v>
      </c>
      <c r="E2480" s="26">
        <v>470.45</v>
      </c>
      <c r="F2480" s="28" t="s">
        <v>202</v>
      </c>
      <c r="G2480" s="26">
        <f>ROUND(C2480*E2480,0)</f>
        <v>470</v>
      </c>
      <c r="H2480" t="s">
        <v>6045</v>
      </c>
    </row>
    <row r="2481" spans="1:8" x14ac:dyDescent="0.25">
      <c r="A2481" s="21" t="s">
        <v>6046</v>
      </c>
      <c r="B2481" s="25" t="s">
        <v>6047</v>
      </c>
      <c r="C2481" s="26">
        <v>1</v>
      </c>
      <c r="D2481" s="27" t="s">
        <v>201</v>
      </c>
      <c r="E2481" s="26">
        <v>570.04999999999995</v>
      </c>
      <c r="F2481" s="28" t="s">
        <v>202</v>
      </c>
      <c r="G2481" s="26">
        <f>ROUND(C2481*E2481,0)</f>
        <v>570</v>
      </c>
      <c r="H2481" t="s">
        <v>6036</v>
      </c>
    </row>
    <row r="2482" spans="1:8" ht="30" x14ac:dyDescent="0.25">
      <c r="A2482" s="21" t="s">
        <v>6048</v>
      </c>
      <c r="B2482" s="25" t="s">
        <v>6049</v>
      </c>
      <c r="C2482" s="26">
        <v>1</v>
      </c>
      <c r="D2482" s="27" t="s">
        <v>201</v>
      </c>
      <c r="E2482" s="26">
        <v>368</v>
      </c>
      <c r="F2482" s="28" t="s">
        <v>202</v>
      </c>
      <c r="G2482" s="26">
        <f>ROUND(C2482*E2482,0)</f>
        <v>368</v>
      </c>
      <c r="H2482" t="s">
        <v>6049</v>
      </c>
    </row>
    <row r="2483" spans="1:8" x14ac:dyDescent="0.25">
      <c r="A2483" s="21" t="s">
        <v>6050</v>
      </c>
      <c r="B2483" s="25" t="s">
        <v>6032</v>
      </c>
      <c r="C2483" s="26"/>
      <c r="D2483" s="27"/>
      <c r="E2483" s="26"/>
      <c r="F2483" s="28"/>
      <c r="G2483" s="26"/>
      <c r="H2483" t="s">
        <v>6031</v>
      </c>
    </row>
    <row r="2484" spans="1:8" x14ac:dyDescent="0.25">
      <c r="A2484" s="21" t="s">
        <v>6051</v>
      </c>
      <c r="B2484" s="25" t="s">
        <v>6052</v>
      </c>
      <c r="C2484" s="26">
        <v>1</v>
      </c>
      <c r="D2484" s="27" t="s">
        <v>201</v>
      </c>
      <c r="E2484" s="26">
        <v>376.25</v>
      </c>
      <c r="F2484" s="28" t="s">
        <v>202</v>
      </c>
      <c r="G2484" s="26">
        <f>ROUND(C2484*E2484,0)</f>
        <v>376</v>
      </c>
      <c r="H2484" t="s">
        <v>6045</v>
      </c>
    </row>
    <row r="2485" spans="1:8" x14ac:dyDescent="0.25">
      <c r="A2485" s="21" t="s">
        <v>6053</v>
      </c>
      <c r="B2485" s="25" t="s">
        <v>6027</v>
      </c>
      <c r="C2485" s="26">
        <v>1</v>
      </c>
      <c r="D2485" s="27" t="s">
        <v>201</v>
      </c>
      <c r="E2485" s="26">
        <v>390.5</v>
      </c>
      <c r="F2485" s="28" t="s">
        <v>202</v>
      </c>
      <c r="G2485" s="26">
        <f>ROUND(C2485*E2485,0)</f>
        <v>391</v>
      </c>
      <c r="H2485" t="s">
        <v>6054</v>
      </c>
    </row>
    <row r="2486" spans="1:8" ht="30" x14ac:dyDescent="0.25">
      <c r="A2486" s="21" t="s">
        <v>6055</v>
      </c>
      <c r="B2486" s="25" t="s">
        <v>6049</v>
      </c>
      <c r="C2486" s="26">
        <v>1</v>
      </c>
      <c r="D2486" s="27" t="s">
        <v>201</v>
      </c>
      <c r="E2486" s="26">
        <v>252.5</v>
      </c>
      <c r="F2486" s="28" t="s">
        <v>202</v>
      </c>
      <c r="G2486" s="26">
        <f>ROUND(C2486*E2486,0)</f>
        <v>253</v>
      </c>
      <c r="H2486" t="s">
        <v>6049</v>
      </c>
    </row>
    <row r="2487" spans="1:8" x14ac:dyDescent="0.25">
      <c r="A2487" s="21" t="s">
        <v>6056</v>
      </c>
      <c r="B2487" s="25" t="s">
        <v>6058</v>
      </c>
      <c r="C2487" s="26"/>
      <c r="D2487" s="27"/>
      <c r="E2487" s="26"/>
      <c r="F2487" s="28"/>
      <c r="G2487" s="26"/>
      <c r="H2487" t="s">
        <v>6057</v>
      </c>
    </row>
    <row r="2488" spans="1:8" x14ac:dyDescent="0.25">
      <c r="A2488" s="21" t="s">
        <v>6059</v>
      </c>
      <c r="B2488" s="25" t="s">
        <v>6023</v>
      </c>
      <c r="C2488" s="26"/>
      <c r="D2488" s="27"/>
      <c r="E2488" s="26"/>
      <c r="F2488" s="28"/>
      <c r="G2488" s="26"/>
      <c r="H2488" t="s">
        <v>6043</v>
      </c>
    </row>
    <row r="2489" spans="1:8" x14ac:dyDescent="0.25">
      <c r="A2489" s="21" t="s">
        <v>6060</v>
      </c>
      <c r="B2489" s="25" t="s">
        <v>6025</v>
      </c>
      <c r="C2489" s="26">
        <v>1</v>
      </c>
      <c r="D2489" s="27" t="s">
        <v>201</v>
      </c>
      <c r="E2489" s="26">
        <v>584.25</v>
      </c>
      <c r="F2489" s="28" t="s">
        <v>202</v>
      </c>
      <c r="G2489" s="26">
        <f>ROUND(C2489*E2489,0)</f>
        <v>584</v>
      </c>
      <c r="H2489" t="s">
        <v>6034</v>
      </c>
    </row>
    <row r="2490" spans="1:8" x14ac:dyDescent="0.25">
      <c r="A2490" s="21" t="s">
        <v>6061</v>
      </c>
      <c r="B2490" s="25" t="s">
        <v>6027</v>
      </c>
      <c r="C2490" s="26">
        <v>1</v>
      </c>
      <c r="D2490" s="27" t="s">
        <v>201</v>
      </c>
      <c r="E2490" s="26">
        <v>548.70000000000005</v>
      </c>
      <c r="F2490" s="28" t="s">
        <v>202</v>
      </c>
      <c r="G2490" s="26">
        <f>ROUND(C2490*E2490,0)</f>
        <v>549</v>
      </c>
      <c r="H2490" t="s">
        <v>6062</v>
      </c>
    </row>
    <row r="2491" spans="1:8" x14ac:dyDescent="0.25">
      <c r="A2491" s="21" t="s">
        <v>6063</v>
      </c>
      <c r="B2491" s="25" t="s">
        <v>6032</v>
      </c>
      <c r="C2491" s="26"/>
      <c r="D2491" s="27"/>
      <c r="E2491" s="26"/>
      <c r="F2491" s="28"/>
      <c r="G2491" s="26"/>
      <c r="H2491" t="s">
        <v>6031</v>
      </c>
    </row>
    <row r="2492" spans="1:8" x14ac:dyDescent="0.25">
      <c r="A2492" s="21" t="s">
        <v>6064</v>
      </c>
      <c r="B2492" s="25" t="s">
        <v>6025</v>
      </c>
      <c r="C2492" s="26">
        <v>1</v>
      </c>
      <c r="D2492" s="27" t="s">
        <v>201</v>
      </c>
      <c r="E2492" s="26">
        <v>490.05</v>
      </c>
      <c r="F2492" s="28" t="s">
        <v>202</v>
      </c>
      <c r="G2492" s="26">
        <f>ROUND(C2492*E2492,0)</f>
        <v>490</v>
      </c>
      <c r="H2492" t="s">
        <v>6034</v>
      </c>
    </row>
    <row r="2493" spans="1:8" x14ac:dyDescent="0.25">
      <c r="A2493" s="21" t="s">
        <v>6065</v>
      </c>
      <c r="B2493" s="25" t="s">
        <v>6027</v>
      </c>
      <c r="C2493" s="26">
        <v>1</v>
      </c>
      <c r="D2493" s="27" t="s">
        <v>201</v>
      </c>
      <c r="E2493" s="26">
        <v>504.3</v>
      </c>
      <c r="F2493" s="28" t="s">
        <v>202</v>
      </c>
      <c r="G2493" s="26">
        <f>ROUND(C2493*E2493,0)</f>
        <v>504</v>
      </c>
      <c r="H2493" t="s">
        <v>6062</v>
      </c>
    </row>
    <row r="2494" spans="1:8" ht="60" x14ac:dyDescent="0.25">
      <c r="A2494" s="21" t="s">
        <v>6066</v>
      </c>
      <c r="B2494" s="25" t="s">
        <v>6068</v>
      </c>
      <c r="C2494" s="26"/>
      <c r="D2494" s="27"/>
      <c r="E2494" s="26"/>
      <c r="F2494" s="28"/>
      <c r="G2494" s="26"/>
      <c r="H2494" t="s">
        <v>6067</v>
      </c>
    </row>
    <row r="2495" spans="1:8" x14ac:dyDescent="0.25">
      <c r="A2495" s="21" t="s">
        <v>6069</v>
      </c>
      <c r="B2495" s="25" t="s">
        <v>6071</v>
      </c>
      <c r="C2495" s="26"/>
      <c r="D2495" s="27"/>
      <c r="E2495" s="26"/>
      <c r="F2495" s="28"/>
      <c r="G2495" s="26"/>
      <c r="H2495" t="s">
        <v>6070</v>
      </c>
    </row>
    <row r="2496" spans="1:8" x14ac:dyDescent="0.25">
      <c r="A2496" s="21" t="s">
        <v>6072</v>
      </c>
      <c r="B2496" s="25" t="s">
        <v>6025</v>
      </c>
      <c r="C2496" s="26">
        <v>1</v>
      </c>
      <c r="D2496" s="27" t="s">
        <v>201</v>
      </c>
      <c r="E2496" s="26">
        <v>1138.6500000000001</v>
      </c>
      <c r="F2496" s="28" t="s">
        <v>202</v>
      </c>
      <c r="G2496" s="26">
        <f>ROUND(C2496*E2496,0)</f>
        <v>1139</v>
      </c>
      <c r="H2496" t="s">
        <v>6034</v>
      </c>
    </row>
    <row r="2497" spans="1:8" x14ac:dyDescent="0.25">
      <c r="A2497" s="21" t="s">
        <v>6073</v>
      </c>
      <c r="B2497" s="25" t="s">
        <v>6027</v>
      </c>
      <c r="C2497" s="26">
        <v>1</v>
      </c>
      <c r="D2497" s="27" t="s">
        <v>201</v>
      </c>
      <c r="E2497" s="26">
        <v>1103.0999999999999</v>
      </c>
      <c r="F2497" s="28" t="s">
        <v>202</v>
      </c>
      <c r="G2497" s="26">
        <f>ROUND(C2497*E2497,0)</f>
        <v>1103</v>
      </c>
      <c r="H2497" t="s">
        <v>6062</v>
      </c>
    </row>
    <row r="2498" spans="1:8" x14ac:dyDescent="0.25">
      <c r="A2498" s="21" t="s">
        <v>6074</v>
      </c>
      <c r="B2498" s="25" t="s">
        <v>6076</v>
      </c>
      <c r="C2498" s="26"/>
      <c r="D2498" s="27"/>
      <c r="E2498" s="26"/>
      <c r="F2498" s="28"/>
      <c r="G2498" s="26"/>
      <c r="H2498" t="s">
        <v>6075</v>
      </c>
    </row>
    <row r="2499" spans="1:8" x14ac:dyDescent="0.25">
      <c r="A2499" s="21" t="s">
        <v>6077</v>
      </c>
      <c r="B2499" s="25" t="s">
        <v>6025</v>
      </c>
      <c r="C2499" s="26">
        <v>1</v>
      </c>
      <c r="D2499" s="27" t="s">
        <v>201</v>
      </c>
      <c r="E2499" s="26">
        <v>842.9</v>
      </c>
      <c r="F2499" s="28" t="s">
        <v>202</v>
      </c>
      <c r="G2499" s="26">
        <f>ROUND(C2499*E2499,0)</f>
        <v>843</v>
      </c>
      <c r="H2499" t="s">
        <v>6034</v>
      </c>
    </row>
    <row r="2500" spans="1:8" x14ac:dyDescent="0.25">
      <c r="A2500" s="21" t="s">
        <v>6078</v>
      </c>
      <c r="B2500" s="25" t="s">
        <v>6027</v>
      </c>
      <c r="C2500" s="26">
        <v>1</v>
      </c>
      <c r="D2500" s="27" t="s">
        <v>201</v>
      </c>
      <c r="E2500" s="26">
        <v>885.6</v>
      </c>
      <c r="F2500" s="28" t="s">
        <v>202</v>
      </c>
      <c r="G2500" s="26">
        <f>ROUND(C2500*E2500,0)</f>
        <v>886</v>
      </c>
      <c r="H2500" t="s">
        <v>6062</v>
      </c>
    </row>
    <row r="2501" spans="1:8" ht="30" x14ac:dyDescent="0.25">
      <c r="A2501" s="21" t="s">
        <v>6079</v>
      </c>
      <c r="B2501" s="25" t="s">
        <v>6081</v>
      </c>
      <c r="C2501" s="26"/>
      <c r="D2501" s="27"/>
      <c r="E2501" s="26"/>
      <c r="F2501" s="28"/>
      <c r="G2501" s="26"/>
      <c r="H2501" t="s">
        <v>6080</v>
      </c>
    </row>
    <row r="2502" spans="1:8" x14ac:dyDescent="0.25">
      <c r="A2502" s="21" t="s">
        <v>6082</v>
      </c>
      <c r="B2502" s="25" t="s">
        <v>6071</v>
      </c>
      <c r="C2502" s="26"/>
      <c r="D2502" s="27"/>
      <c r="E2502" s="26"/>
      <c r="F2502" s="28"/>
      <c r="G2502" s="26"/>
      <c r="H2502" t="s">
        <v>6070</v>
      </c>
    </row>
    <row r="2503" spans="1:8" x14ac:dyDescent="0.25">
      <c r="A2503" s="21" t="s">
        <v>6083</v>
      </c>
      <c r="B2503" s="25" t="s">
        <v>6025</v>
      </c>
      <c r="C2503" s="26">
        <v>1</v>
      </c>
      <c r="D2503" s="27" t="s">
        <v>201</v>
      </c>
      <c r="E2503" s="26">
        <v>939.9</v>
      </c>
      <c r="F2503" s="28" t="s">
        <v>202</v>
      </c>
      <c r="G2503" s="26">
        <f>ROUND(C2503*E2503,0)</f>
        <v>940</v>
      </c>
      <c r="H2503" t="s">
        <v>6045</v>
      </c>
    </row>
    <row r="2504" spans="1:8" x14ac:dyDescent="0.25">
      <c r="A2504" s="21" t="s">
        <v>6084</v>
      </c>
      <c r="B2504" s="25" t="s">
        <v>6027</v>
      </c>
      <c r="C2504" s="26">
        <v>1</v>
      </c>
      <c r="D2504" s="27" t="s">
        <v>201</v>
      </c>
      <c r="E2504" s="26">
        <v>1075.05</v>
      </c>
      <c r="F2504" s="28" t="s">
        <v>202</v>
      </c>
      <c r="G2504" s="26">
        <f>ROUND(C2504*E2504,0)</f>
        <v>1075</v>
      </c>
      <c r="H2504" t="s">
        <v>6085</v>
      </c>
    </row>
    <row r="2505" spans="1:8" ht="30" x14ac:dyDescent="0.25">
      <c r="A2505" s="21" t="s">
        <v>6086</v>
      </c>
      <c r="B2505" s="25" t="s">
        <v>6049</v>
      </c>
      <c r="C2505" s="26">
        <v>1</v>
      </c>
      <c r="D2505" s="27" t="s">
        <v>201</v>
      </c>
      <c r="E2505" s="26">
        <v>760.7</v>
      </c>
      <c r="F2505" s="28" t="s">
        <v>202</v>
      </c>
      <c r="G2505" s="26">
        <f>ROUND(C2505*E2505,0)</f>
        <v>761</v>
      </c>
      <c r="H2505" t="s">
        <v>6049</v>
      </c>
    </row>
    <row r="2506" spans="1:8" x14ac:dyDescent="0.25">
      <c r="A2506" s="21" t="s">
        <v>6087</v>
      </c>
      <c r="B2506" s="25" t="s">
        <v>6076</v>
      </c>
      <c r="C2506" s="26"/>
      <c r="D2506" s="27"/>
      <c r="E2506" s="26"/>
      <c r="F2506" s="28"/>
      <c r="G2506" s="26"/>
      <c r="H2506" t="s">
        <v>6075</v>
      </c>
    </row>
    <row r="2507" spans="1:8" x14ac:dyDescent="0.25">
      <c r="A2507" s="21" t="s">
        <v>6088</v>
      </c>
      <c r="B2507" s="25" t="s">
        <v>6025</v>
      </c>
      <c r="C2507" s="26">
        <v>1</v>
      </c>
      <c r="D2507" s="27" t="s">
        <v>201</v>
      </c>
      <c r="E2507" s="26">
        <v>625.20000000000005</v>
      </c>
      <c r="F2507" s="28" t="s">
        <v>202</v>
      </c>
      <c r="G2507" s="26">
        <f>ROUND(C2507*E2507,0)</f>
        <v>625</v>
      </c>
      <c r="H2507" t="s">
        <v>6045</v>
      </c>
    </row>
    <row r="2508" spans="1:8" x14ac:dyDescent="0.25">
      <c r="A2508" s="21" t="s">
        <v>6089</v>
      </c>
      <c r="B2508" s="25" t="s">
        <v>6027</v>
      </c>
      <c r="C2508" s="26">
        <v>1</v>
      </c>
      <c r="D2508" s="27" t="s">
        <v>201</v>
      </c>
      <c r="E2508" s="26">
        <v>803.05</v>
      </c>
      <c r="F2508" s="28" t="s">
        <v>202</v>
      </c>
      <c r="G2508" s="26">
        <f>ROUND(C2508*E2508,0)</f>
        <v>803</v>
      </c>
      <c r="H2508" t="s">
        <v>6085</v>
      </c>
    </row>
    <row r="2509" spans="1:8" ht="30" x14ac:dyDescent="0.25">
      <c r="A2509" s="21" t="s">
        <v>6090</v>
      </c>
      <c r="B2509" s="25" t="s">
        <v>6049</v>
      </c>
      <c r="C2509" s="26">
        <v>1</v>
      </c>
      <c r="D2509" s="27" t="s">
        <v>201</v>
      </c>
      <c r="E2509" s="26">
        <v>418.95</v>
      </c>
      <c r="F2509" s="28" t="s">
        <v>202</v>
      </c>
      <c r="G2509" s="26">
        <f>ROUND(C2509*E2509,0)</f>
        <v>419</v>
      </c>
      <c r="H2509" t="s">
        <v>6049</v>
      </c>
    </row>
    <row r="2510" spans="1:8" ht="60" x14ac:dyDescent="0.25">
      <c r="A2510" s="21" t="s">
        <v>6091</v>
      </c>
      <c r="B2510" s="25" t="s">
        <v>6093</v>
      </c>
      <c r="C2510" s="26"/>
      <c r="D2510" s="27"/>
      <c r="E2510" s="26"/>
      <c r="F2510" s="28"/>
      <c r="G2510" s="26"/>
      <c r="H2510" t="s">
        <v>6092</v>
      </c>
    </row>
    <row r="2511" spans="1:8" x14ac:dyDescent="0.25">
      <c r="A2511" s="21" t="s">
        <v>6094</v>
      </c>
      <c r="B2511" s="25" t="s">
        <v>6096</v>
      </c>
      <c r="C2511" s="26"/>
      <c r="D2511" s="27"/>
      <c r="E2511" s="26"/>
      <c r="F2511" s="28"/>
      <c r="G2511" s="26"/>
      <c r="H2511" t="s">
        <v>6095</v>
      </c>
    </row>
    <row r="2512" spans="1:8" x14ac:dyDescent="0.25">
      <c r="A2512" s="21" t="s">
        <v>6097</v>
      </c>
      <c r="B2512" s="25" t="s">
        <v>6025</v>
      </c>
      <c r="C2512" s="26">
        <v>1</v>
      </c>
      <c r="D2512" s="27" t="s">
        <v>201</v>
      </c>
      <c r="E2512" s="26">
        <v>726.55</v>
      </c>
      <c r="F2512" s="28" t="s">
        <v>202</v>
      </c>
      <c r="G2512" s="26">
        <f>ROUND(C2512*E2512,0)</f>
        <v>727</v>
      </c>
      <c r="H2512" t="s">
        <v>6045</v>
      </c>
    </row>
    <row r="2513" spans="1:8" x14ac:dyDescent="0.25">
      <c r="A2513" s="21" t="s">
        <v>6098</v>
      </c>
      <c r="B2513" s="25" t="s">
        <v>6027</v>
      </c>
      <c r="C2513" s="26">
        <v>1</v>
      </c>
      <c r="D2513" s="27" t="s">
        <v>201</v>
      </c>
      <c r="E2513" s="26">
        <v>925.7</v>
      </c>
      <c r="F2513" s="28" t="s">
        <v>202</v>
      </c>
      <c r="G2513" s="26">
        <f>ROUND(C2513*E2513,0)</f>
        <v>926</v>
      </c>
      <c r="H2513" t="s">
        <v>6034</v>
      </c>
    </row>
    <row r="2514" spans="1:8" x14ac:dyDescent="0.25">
      <c r="A2514" s="21" t="s">
        <v>6099</v>
      </c>
      <c r="B2514" s="25" t="s">
        <v>3726</v>
      </c>
      <c r="C2514" s="26"/>
      <c r="D2514" s="27"/>
      <c r="E2514" s="26"/>
      <c r="F2514" s="28"/>
      <c r="G2514" s="26"/>
      <c r="H2514" t="s">
        <v>6100</v>
      </c>
    </row>
    <row r="2515" spans="1:8" x14ac:dyDescent="0.25">
      <c r="A2515" s="21" t="s">
        <v>6101</v>
      </c>
      <c r="B2515" s="25" t="s">
        <v>6025</v>
      </c>
      <c r="C2515" s="26">
        <v>1</v>
      </c>
      <c r="D2515" s="27" t="s">
        <v>201</v>
      </c>
      <c r="E2515" s="26">
        <v>629.5</v>
      </c>
      <c r="F2515" s="28" t="s">
        <v>202</v>
      </c>
      <c r="G2515" s="26">
        <f>ROUND(C2515*E2515,0)</f>
        <v>630</v>
      </c>
      <c r="H2515" t="s">
        <v>6045</v>
      </c>
    </row>
    <row r="2516" spans="1:8" x14ac:dyDescent="0.25">
      <c r="A2516" s="21" t="s">
        <v>6102</v>
      </c>
      <c r="B2516" s="25" t="s">
        <v>6027</v>
      </c>
      <c r="C2516" s="26">
        <v>1</v>
      </c>
      <c r="D2516" s="27" t="s">
        <v>201</v>
      </c>
      <c r="E2516" s="26">
        <v>665.05</v>
      </c>
      <c r="F2516" s="28" t="s">
        <v>202</v>
      </c>
      <c r="G2516" s="26">
        <f>ROUND(C2516*E2516,0)</f>
        <v>665</v>
      </c>
      <c r="H2516" t="s">
        <v>6062</v>
      </c>
    </row>
    <row r="2517" spans="1:8" ht="30" x14ac:dyDescent="0.25">
      <c r="A2517" s="21" t="s">
        <v>6103</v>
      </c>
      <c r="B2517" s="25" t="s">
        <v>6105</v>
      </c>
      <c r="C2517" s="26"/>
      <c r="D2517" s="27"/>
      <c r="E2517" s="26"/>
      <c r="F2517" s="28"/>
      <c r="G2517" s="26"/>
      <c r="H2517" t="s">
        <v>6104</v>
      </c>
    </row>
    <row r="2518" spans="1:8" x14ac:dyDescent="0.25">
      <c r="A2518" s="21" t="s">
        <v>6106</v>
      </c>
      <c r="B2518" s="25" t="s">
        <v>6096</v>
      </c>
      <c r="C2518" s="26"/>
      <c r="D2518" s="27"/>
      <c r="E2518" s="26"/>
      <c r="F2518" s="28"/>
      <c r="G2518" s="26"/>
      <c r="H2518" t="s">
        <v>6095</v>
      </c>
    </row>
    <row r="2519" spans="1:8" x14ac:dyDescent="0.25">
      <c r="A2519" s="21" t="s">
        <v>6107</v>
      </c>
      <c r="B2519" s="25" t="s">
        <v>6025</v>
      </c>
      <c r="C2519" s="26">
        <v>1</v>
      </c>
      <c r="D2519" s="27" t="s">
        <v>201</v>
      </c>
      <c r="E2519" s="26">
        <v>626.95000000000005</v>
      </c>
      <c r="F2519" s="28" t="s">
        <v>202</v>
      </c>
      <c r="G2519" s="26">
        <f>ROUND(C2519*E2519,0)</f>
        <v>627</v>
      </c>
      <c r="H2519" t="s">
        <v>6034</v>
      </c>
    </row>
    <row r="2520" spans="1:8" x14ac:dyDescent="0.25">
      <c r="A2520" s="21" t="s">
        <v>6108</v>
      </c>
      <c r="B2520" s="25" t="s">
        <v>6027</v>
      </c>
      <c r="C2520" s="26">
        <v>1</v>
      </c>
      <c r="D2520" s="27" t="s">
        <v>201</v>
      </c>
      <c r="E2520" s="26">
        <v>811.9</v>
      </c>
      <c r="F2520" s="28" t="s">
        <v>202</v>
      </c>
      <c r="G2520" s="26">
        <f>ROUND(C2520*E2520,0)</f>
        <v>812</v>
      </c>
      <c r="H2520" t="s">
        <v>6062</v>
      </c>
    </row>
    <row r="2521" spans="1:8" ht="30" x14ac:dyDescent="0.25">
      <c r="A2521" s="21" t="s">
        <v>6109</v>
      </c>
      <c r="B2521" s="25" t="s">
        <v>6029</v>
      </c>
      <c r="C2521" s="26">
        <v>1</v>
      </c>
      <c r="D2521" s="27" t="s">
        <v>201</v>
      </c>
      <c r="E2521" s="26">
        <v>581.45000000000005</v>
      </c>
      <c r="F2521" s="28" t="s">
        <v>202</v>
      </c>
      <c r="G2521" s="26">
        <f>ROUND(C2521*E2521,0)</f>
        <v>581</v>
      </c>
      <c r="H2521" t="s">
        <v>6029</v>
      </c>
    </row>
    <row r="2522" spans="1:8" x14ac:dyDescent="0.25">
      <c r="A2522" s="21" t="s">
        <v>6110</v>
      </c>
      <c r="B2522" s="25" t="s">
        <v>3726</v>
      </c>
      <c r="C2522" s="26"/>
      <c r="D2522" s="27"/>
      <c r="E2522" s="26"/>
      <c r="F2522" s="28"/>
      <c r="G2522" s="26"/>
      <c r="H2522" t="s">
        <v>6100</v>
      </c>
    </row>
    <row r="2523" spans="1:8" x14ac:dyDescent="0.25">
      <c r="A2523" s="21" t="s">
        <v>6111</v>
      </c>
      <c r="B2523" s="25" t="s">
        <v>6025</v>
      </c>
      <c r="C2523" s="26">
        <v>1</v>
      </c>
      <c r="D2523" s="27" t="s">
        <v>201</v>
      </c>
      <c r="E2523" s="26">
        <v>504.3</v>
      </c>
      <c r="F2523" s="28" t="s">
        <v>202</v>
      </c>
      <c r="G2523" s="26">
        <f>ROUND(C2523*E2523,0)</f>
        <v>504</v>
      </c>
      <c r="H2523" t="s">
        <v>6034</v>
      </c>
    </row>
    <row r="2524" spans="1:8" x14ac:dyDescent="0.25">
      <c r="A2524" s="21" t="s">
        <v>6112</v>
      </c>
      <c r="B2524" s="25" t="s">
        <v>6027</v>
      </c>
      <c r="C2524" s="26">
        <v>1</v>
      </c>
      <c r="D2524" s="27" t="s">
        <v>201</v>
      </c>
      <c r="E2524" s="26">
        <v>561.20000000000005</v>
      </c>
      <c r="F2524" s="28" t="s">
        <v>202</v>
      </c>
      <c r="G2524" s="26">
        <f>ROUND(C2524*E2524,0)</f>
        <v>561</v>
      </c>
      <c r="H2524" t="s">
        <v>6062</v>
      </c>
    </row>
    <row r="2525" spans="1:8" ht="30" x14ac:dyDescent="0.25">
      <c r="A2525" s="21" t="s">
        <v>6113</v>
      </c>
      <c r="B2525" s="25" t="s">
        <v>6029</v>
      </c>
      <c r="C2525" s="26">
        <v>1</v>
      </c>
      <c r="D2525" s="27" t="s">
        <v>201</v>
      </c>
      <c r="E2525" s="26">
        <v>337.85</v>
      </c>
      <c r="F2525" s="28" t="s">
        <v>202</v>
      </c>
      <c r="G2525" s="26">
        <f>ROUND(C2525*E2525,0)</f>
        <v>338</v>
      </c>
      <c r="H2525" t="s">
        <v>6029</v>
      </c>
    </row>
    <row r="2526" spans="1:8" ht="60" x14ac:dyDescent="0.25">
      <c r="A2526" s="21" t="s">
        <v>6114</v>
      </c>
      <c r="B2526" s="25" t="s">
        <v>6116</v>
      </c>
      <c r="C2526" s="26"/>
      <c r="D2526" s="27"/>
      <c r="E2526" s="26"/>
      <c r="F2526" s="28"/>
      <c r="G2526" s="26"/>
      <c r="H2526" t="s">
        <v>6115</v>
      </c>
    </row>
    <row r="2527" spans="1:8" x14ac:dyDescent="0.25">
      <c r="A2527" s="21" t="s">
        <v>6117</v>
      </c>
      <c r="B2527" s="25" t="s">
        <v>6119</v>
      </c>
      <c r="C2527" s="26"/>
      <c r="D2527" s="27"/>
      <c r="E2527" s="26"/>
      <c r="F2527" s="28"/>
      <c r="G2527" s="26"/>
      <c r="H2527" t="s">
        <v>6118</v>
      </c>
    </row>
    <row r="2528" spans="1:8" x14ac:dyDescent="0.25">
      <c r="A2528" s="21" t="s">
        <v>6120</v>
      </c>
      <c r="B2528" s="25" t="s">
        <v>6025</v>
      </c>
      <c r="C2528" s="26">
        <v>1</v>
      </c>
      <c r="D2528" s="27" t="s">
        <v>201</v>
      </c>
      <c r="E2528" s="26">
        <v>1153.3</v>
      </c>
      <c r="F2528" s="28" t="s">
        <v>202</v>
      </c>
      <c r="G2528" s="26">
        <f>ROUND(C2528*E2528,0)</f>
        <v>1153</v>
      </c>
      <c r="H2528" t="s">
        <v>6034</v>
      </c>
    </row>
    <row r="2529" spans="1:8" x14ac:dyDescent="0.25">
      <c r="A2529" s="21" t="s">
        <v>6121</v>
      </c>
      <c r="B2529" s="25" t="s">
        <v>6027</v>
      </c>
      <c r="C2529" s="26">
        <v>1</v>
      </c>
      <c r="D2529" s="27" t="s">
        <v>201</v>
      </c>
      <c r="E2529" s="26">
        <v>1601.45</v>
      </c>
      <c r="F2529" s="28" t="s">
        <v>202</v>
      </c>
      <c r="G2529" s="26">
        <f>ROUND(C2529*E2529,0)</f>
        <v>1601</v>
      </c>
      <c r="H2529" t="s">
        <v>6062</v>
      </c>
    </row>
    <row r="2530" spans="1:8" ht="30" x14ac:dyDescent="0.25">
      <c r="A2530" s="21" t="s">
        <v>6122</v>
      </c>
      <c r="B2530" s="25" t="s">
        <v>6124</v>
      </c>
      <c r="C2530" s="26"/>
      <c r="D2530" s="27"/>
      <c r="E2530" s="26"/>
      <c r="F2530" s="28"/>
      <c r="G2530" s="26"/>
      <c r="H2530" t="s">
        <v>6123</v>
      </c>
    </row>
    <row r="2531" spans="1:8" x14ac:dyDescent="0.25">
      <c r="A2531" s="21" t="s">
        <v>6125</v>
      </c>
      <c r="B2531" s="25" t="s">
        <v>6119</v>
      </c>
      <c r="C2531" s="26"/>
      <c r="D2531" s="27"/>
      <c r="E2531" s="26"/>
      <c r="F2531" s="28"/>
      <c r="G2531" s="26"/>
      <c r="H2531" t="s">
        <v>6118</v>
      </c>
    </row>
    <row r="2532" spans="1:8" x14ac:dyDescent="0.25">
      <c r="A2532" s="21" t="s">
        <v>6126</v>
      </c>
      <c r="B2532" s="25" t="s">
        <v>6025</v>
      </c>
      <c r="C2532" s="26">
        <v>1</v>
      </c>
      <c r="D2532" s="27" t="s">
        <v>201</v>
      </c>
      <c r="E2532" s="26">
        <v>954.15</v>
      </c>
      <c r="F2532" s="28" t="s">
        <v>202</v>
      </c>
      <c r="G2532" s="26">
        <f>ROUND(C2532*E2532,0)</f>
        <v>954</v>
      </c>
      <c r="H2532" t="s">
        <v>6034</v>
      </c>
    </row>
    <row r="2533" spans="1:8" x14ac:dyDescent="0.25">
      <c r="A2533" s="21" t="s">
        <v>6127</v>
      </c>
      <c r="B2533" s="25" t="s">
        <v>6027</v>
      </c>
      <c r="C2533" s="26">
        <v>1</v>
      </c>
      <c r="D2533" s="27" t="s">
        <v>201</v>
      </c>
      <c r="E2533" s="26">
        <v>1402.3</v>
      </c>
      <c r="F2533" s="28" t="s">
        <v>202</v>
      </c>
      <c r="G2533" s="26">
        <f>ROUND(C2533*E2533,0)</f>
        <v>1402</v>
      </c>
      <c r="H2533" t="s">
        <v>6034</v>
      </c>
    </row>
    <row r="2534" spans="1:8" ht="30" x14ac:dyDescent="0.25">
      <c r="A2534" s="21" t="s">
        <v>6128</v>
      </c>
      <c r="B2534" s="25" t="s">
        <v>6029</v>
      </c>
      <c r="C2534" s="26">
        <v>1</v>
      </c>
      <c r="D2534" s="27" t="s">
        <v>201</v>
      </c>
      <c r="E2534" s="26">
        <v>607.04999999999995</v>
      </c>
      <c r="F2534" s="28" t="s">
        <v>202</v>
      </c>
      <c r="G2534" s="26">
        <f>ROUND(C2534*E2534,0)</f>
        <v>607</v>
      </c>
      <c r="H2534" t="s">
        <v>6029</v>
      </c>
    </row>
    <row r="2535" spans="1:8" ht="60" x14ac:dyDescent="0.25">
      <c r="A2535" s="21" t="s">
        <v>6129</v>
      </c>
      <c r="B2535" s="25" t="s">
        <v>6131</v>
      </c>
      <c r="C2535" s="26"/>
      <c r="D2535" s="27"/>
      <c r="E2535" s="26"/>
      <c r="F2535" s="28"/>
      <c r="G2535" s="26"/>
      <c r="H2535" t="s">
        <v>6130</v>
      </c>
    </row>
    <row r="2536" spans="1:8" x14ac:dyDescent="0.25">
      <c r="A2536" s="21" t="s">
        <v>6132</v>
      </c>
      <c r="B2536" s="25" t="s">
        <v>6134</v>
      </c>
      <c r="C2536" s="26"/>
      <c r="D2536" s="27"/>
      <c r="E2536" s="26"/>
      <c r="F2536" s="28"/>
      <c r="G2536" s="26"/>
      <c r="H2536" t="s">
        <v>6133</v>
      </c>
    </row>
    <row r="2537" spans="1:8" x14ac:dyDescent="0.25">
      <c r="A2537" s="21" t="s">
        <v>6135</v>
      </c>
      <c r="B2537" s="25" t="s">
        <v>6025</v>
      </c>
      <c r="C2537" s="26">
        <v>1</v>
      </c>
      <c r="D2537" s="27" t="s">
        <v>201</v>
      </c>
      <c r="E2537" s="26">
        <v>911.45</v>
      </c>
      <c r="F2537" s="28" t="s">
        <v>202</v>
      </c>
      <c r="G2537" s="26">
        <f>ROUND(C2537*E2537,0)</f>
        <v>911</v>
      </c>
      <c r="H2537" t="s">
        <v>6034</v>
      </c>
    </row>
    <row r="2538" spans="1:8" x14ac:dyDescent="0.25">
      <c r="A2538" s="21" t="s">
        <v>6136</v>
      </c>
      <c r="B2538" s="25" t="s">
        <v>6027</v>
      </c>
      <c r="C2538" s="26">
        <v>1</v>
      </c>
      <c r="D2538" s="27" t="s">
        <v>201</v>
      </c>
      <c r="E2538" s="26">
        <v>1146.2</v>
      </c>
      <c r="F2538" s="28" t="s">
        <v>202</v>
      </c>
      <c r="G2538" s="26">
        <f>ROUND(C2538*E2538,0)</f>
        <v>1146</v>
      </c>
      <c r="H2538" t="s">
        <v>6062</v>
      </c>
    </row>
    <row r="2539" spans="1:8" ht="30" x14ac:dyDescent="0.25">
      <c r="A2539" s="21" t="s">
        <v>6137</v>
      </c>
      <c r="B2539" s="25" t="s">
        <v>6139</v>
      </c>
      <c r="C2539" s="26"/>
      <c r="D2539" s="27"/>
      <c r="E2539" s="26"/>
      <c r="F2539" s="28"/>
      <c r="G2539" s="26"/>
      <c r="H2539" t="s">
        <v>6138</v>
      </c>
    </row>
    <row r="2540" spans="1:8" x14ac:dyDescent="0.25">
      <c r="A2540" s="21" t="s">
        <v>6140</v>
      </c>
      <c r="B2540" s="25" t="s">
        <v>6134</v>
      </c>
      <c r="C2540" s="26"/>
      <c r="D2540" s="27"/>
      <c r="E2540" s="26"/>
      <c r="F2540" s="28"/>
      <c r="G2540" s="26"/>
      <c r="H2540" t="s">
        <v>6133</v>
      </c>
    </row>
    <row r="2541" spans="1:8" x14ac:dyDescent="0.25">
      <c r="A2541" s="21" t="s">
        <v>6141</v>
      </c>
      <c r="B2541" s="25" t="s">
        <v>6025</v>
      </c>
      <c r="C2541" s="26">
        <v>1</v>
      </c>
      <c r="D2541" s="27" t="s">
        <v>201</v>
      </c>
      <c r="E2541" s="26">
        <v>811.9</v>
      </c>
      <c r="F2541" s="28" t="s">
        <v>202</v>
      </c>
      <c r="G2541" s="26">
        <f>ROUND(C2541*E2541,0)</f>
        <v>812</v>
      </c>
      <c r="H2541" t="s">
        <v>6034</v>
      </c>
    </row>
    <row r="2542" spans="1:8" x14ac:dyDescent="0.25">
      <c r="A2542" s="21" t="s">
        <v>6142</v>
      </c>
      <c r="B2542" s="25" t="s">
        <v>6027</v>
      </c>
      <c r="C2542" s="26">
        <v>1</v>
      </c>
      <c r="D2542" s="27" t="s">
        <v>201</v>
      </c>
      <c r="E2542" s="26">
        <v>1032.4000000000001</v>
      </c>
      <c r="F2542" s="28" t="s">
        <v>202</v>
      </c>
      <c r="G2542" s="26">
        <f>ROUND(C2542*E2542,0)</f>
        <v>1032</v>
      </c>
      <c r="H2542" t="s">
        <v>6062</v>
      </c>
    </row>
    <row r="2543" spans="1:8" ht="30" x14ac:dyDescent="0.25">
      <c r="A2543" s="21" t="s">
        <v>6143</v>
      </c>
      <c r="B2543" s="25" t="s">
        <v>6029</v>
      </c>
      <c r="C2543" s="26">
        <v>1</v>
      </c>
      <c r="D2543" s="27" t="s">
        <v>201</v>
      </c>
      <c r="E2543" s="26">
        <v>551.54999999999995</v>
      </c>
      <c r="F2543" s="28" t="s">
        <v>202</v>
      </c>
      <c r="G2543" s="26">
        <f>ROUND(C2543*E2543,0)</f>
        <v>552</v>
      </c>
      <c r="H2543" t="s">
        <v>6029</v>
      </c>
    </row>
    <row r="2544" spans="1:8" ht="30" x14ac:dyDescent="0.25">
      <c r="A2544" s="21" t="s">
        <v>6144</v>
      </c>
      <c r="B2544" s="25" t="s">
        <v>6146</v>
      </c>
      <c r="C2544" s="26"/>
      <c r="D2544" s="27"/>
      <c r="E2544" s="26"/>
      <c r="F2544" s="28"/>
      <c r="G2544" s="26"/>
      <c r="H2544" t="s">
        <v>6145</v>
      </c>
    </row>
    <row r="2545" spans="1:8" x14ac:dyDescent="0.25">
      <c r="A2545" s="21" t="s">
        <v>6147</v>
      </c>
      <c r="B2545" s="25" t="s">
        <v>6071</v>
      </c>
      <c r="C2545" s="26"/>
      <c r="D2545" s="27"/>
      <c r="E2545" s="26"/>
      <c r="F2545" s="28"/>
      <c r="G2545" s="26"/>
      <c r="H2545" t="s">
        <v>6070</v>
      </c>
    </row>
    <row r="2546" spans="1:8" x14ac:dyDescent="0.25">
      <c r="A2546" s="21" t="s">
        <v>6148</v>
      </c>
      <c r="B2546" s="25" t="s">
        <v>6025</v>
      </c>
      <c r="C2546" s="26">
        <v>1</v>
      </c>
      <c r="D2546" s="27" t="s">
        <v>201</v>
      </c>
      <c r="E2546" s="26">
        <v>883</v>
      </c>
      <c r="F2546" s="28" t="s">
        <v>202</v>
      </c>
      <c r="G2546" s="26">
        <f>ROUND(C2546*E2546,0)</f>
        <v>883</v>
      </c>
      <c r="H2546" t="s">
        <v>6034</v>
      </c>
    </row>
    <row r="2547" spans="1:8" x14ac:dyDescent="0.25">
      <c r="A2547" s="21" t="s">
        <v>6149</v>
      </c>
      <c r="B2547" s="25" t="s">
        <v>6150</v>
      </c>
      <c r="C2547" s="26">
        <v>1</v>
      </c>
      <c r="D2547" s="27" t="s">
        <v>201</v>
      </c>
      <c r="E2547" s="26">
        <v>989.7</v>
      </c>
      <c r="F2547" s="28" t="s">
        <v>202</v>
      </c>
      <c r="G2547" s="26">
        <f>ROUND(C2547*E2547,0)</f>
        <v>990</v>
      </c>
      <c r="H2547" t="s">
        <v>6062</v>
      </c>
    </row>
    <row r="2548" spans="1:8" ht="30" x14ac:dyDescent="0.25">
      <c r="A2548" s="21" t="s">
        <v>6151</v>
      </c>
      <c r="B2548" s="25" t="s">
        <v>6029</v>
      </c>
      <c r="C2548" s="26">
        <v>1</v>
      </c>
      <c r="D2548" s="27" t="s">
        <v>201</v>
      </c>
      <c r="E2548" s="26">
        <v>1106.3499999999999</v>
      </c>
      <c r="F2548" s="28" t="s">
        <v>202</v>
      </c>
      <c r="G2548" s="26">
        <f>ROUND(C2548*E2548,0)</f>
        <v>1106</v>
      </c>
      <c r="H2548" t="s">
        <v>6029</v>
      </c>
    </row>
    <row r="2549" spans="1:8" x14ac:dyDescent="0.25">
      <c r="A2549" s="21" t="s">
        <v>6152</v>
      </c>
      <c r="B2549" s="25" t="s">
        <v>6076</v>
      </c>
      <c r="C2549" s="26"/>
      <c r="D2549" s="27"/>
      <c r="E2549" s="26"/>
      <c r="F2549" s="28"/>
      <c r="G2549" s="26"/>
      <c r="H2549" t="s">
        <v>6075</v>
      </c>
    </row>
    <row r="2550" spans="1:8" x14ac:dyDescent="0.25">
      <c r="A2550" s="21" t="s">
        <v>6153</v>
      </c>
      <c r="B2550" s="25" t="s">
        <v>6025</v>
      </c>
      <c r="C2550" s="26">
        <v>1</v>
      </c>
      <c r="D2550" s="27" t="s">
        <v>201</v>
      </c>
      <c r="E2550" s="26">
        <v>660.8</v>
      </c>
      <c r="F2550" s="28" t="s">
        <v>202</v>
      </c>
      <c r="G2550" s="26">
        <f>ROUND(C2550*E2550,0)</f>
        <v>661</v>
      </c>
      <c r="H2550" t="s">
        <v>6034</v>
      </c>
    </row>
    <row r="2551" spans="1:8" x14ac:dyDescent="0.25">
      <c r="A2551" s="21" t="s">
        <v>6154</v>
      </c>
      <c r="B2551" s="25" t="s">
        <v>6027</v>
      </c>
      <c r="C2551" s="26">
        <v>1</v>
      </c>
      <c r="D2551" s="27" t="s">
        <v>201</v>
      </c>
      <c r="E2551" s="26">
        <v>803.05</v>
      </c>
      <c r="F2551" s="28" t="s">
        <v>202</v>
      </c>
      <c r="G2551" s="26">
        <f>ROUND(C2551*E2551,0)</f>
        <v>803</v>
      </c>
      <c r="H2551" t="s">
        <v>6062</v>
      </c>
    </row>
    <row r="2552" spans="1:8" ht="30" x14ac:dyDescent="0.25">
      <c r="A2552" s="21" t="s">
        <v>6155</v>
      </c>
      <c r="B2552" s="25" t="s">
        <v>6157</v>
      </c>
      <c r="C2552" s="26"/>
      <c r="D2552" s="27"/>
      <c r="E2552" s="26"/>
      <c r="F2552" s="28"/>
      <c r="G2552" s="26"/>
      <c r="H2552" t="s">
        <v>6156</v>
      </c>
    </row>
    <row r="2553" spans="1:8" x14ac:dyDescent="0.25">
      <c r="A2553" s="21" t="s">
        <v>6158</v>
      </c>
      <c r="B2553" s="25" t="s">
        <v>6096</v>
      </c>
      <c r="C2553" s="26"/>
      <c r="D2553" s="27"/>
      <c r="E2553" s="26"/>
      <c r="F2553" s="28"/>
      <c r="G2553" s="26"/>
      <c r="H2553" t="s">
        <v>6095</v>
      </c>
    </row>
    <row r="2554" spans="1:8" x14ac:dyDescent="0.25">
      <c r="A2554" s="21" t="s">
        <v>6159</v>
      </c>
      <c r="B2554" s="25" t="s">
        <v>6160</v>
      </c>
      <c r="C2554" s="26">
        <v>1</v>
      </c>
      <c r="D2554" s="27" t="s">
        <v>201</v>
      </c>
      <c r="E2554" s="26">
        <v>698.05</v>
      </c>
      <c r="F2554" s="28" t="s">
        <v>202</v>
      </c>
      <c r="G2554" s="26">
        <f>ROUND(C2554*E2554,0)</f>
        <v>698</v>
      </c>
      <c r="H2554" t="s">
        <v>6034</v>
      </c>
    </row>
    <row r="2555" spans="1:8" x14ac:dyDescent="0.25">
      <c r="A2555" s="21" t="s">
        <v>6161</v>
      </c>
      <c r="B2555" s="25" t="s">
        <v>6027</v>
      </c>
      <c r="C2555" s="26">
        <v>1</v>
      </c>
      <c r="D2555" s="27" t="s">
        <v>201</v>
      </c>
      <c r="E2555" s="26">
        <v>747.85</v>
      </c>
      <c r="F2555" s="28" t="s">
        <v>202</v>
      </c>
      <c r="G2555" s="26">
        <f>ROUND(C2555*E2555,0)</f>
        <v>748</v>
      </c>
      <c r="H2555" t="s">
        <v>6062</v>
      </c>
    </row>
    <row r="2556" spans="1:8" ht="30" x14ac:dyDescent="0.25">
      <c r="A2556" s="21" t="s">
        <v>6162</v>
      </c>
      <c r="B2556" s="25" t="s">
        <v>6029</v>
      </c>
      <c r="C2556" s="26">
        <v>1</v>
      </c>
      <c r="D2556" s="27" t="s">
        <v>201</v>
      </c>
      <c r="E2556" s="26">
        <v>645.45000000000005</v>
      </c>
      <c r="F2556" s="28" t="s">
        <v>202</v>
      </c>
      <c r="G2556" s="26">
        <f>ROUND(C2556*E2556,0)</f>
        <v>645</v>
      </c>
      <c r="H2556" t="s">
        <v>6029</v>
      </c>
    </row>
    <row r="2557" spans="1:8" x14ac:dyDescent="0.25">
      <c r="A2557" s="21" t="s">
        <v>6163</v>
      </c>
      <c r="B2557" s="25" t="s">
        <v>3726</v>
      </c>
      <c r="C2557" s="26"/>
      <c r="D2557" s="27"/>
      <c r="E2557" s="26"/>
      <c r="F2557" s="28"/>
      <c r="G2557" s="26"/>
      <c r="H2557" t="s">
        <v>6100</v>
      </c>
    </row>
    <row r="2558" spans="1:8" x14ac:dyDescent="0.25">
      <c r="A2558" s="21" t="s">
        <v>6164</v>
      </c>
      <c r="B2558" s="25" t="s">
        <v>6025</v>
      </c>
      <c r="C2558" s="26">
        <v>1</v>
      </c>
      <c r="D2558" s="27" t="s">
        <v>201</v>
      </c>
      <c r="E2558" s="26">
        <v>575.45000000000005</v>
      </c>
      <c r="F2558" s="28" t="s">
        <v>202</v>
      </c>
      <c r="G2558" s="26">
        <f>ROUND(C2558*E2558,0)</f>
        <v>575</v>
      </c>
      <c r="H2558" t="s">
        <v>6034</v>
      </c>
    </row>
    <row r="2559" spans="1:8" x14ac:dyDescent="0.25">
      <c r="A2559" s="21" t="s">
        <v>6165</v>
      </c>
      <c r="B2559" s="25" t="s">
        <v>6027</v>
      </c>
      <c r="C2559" s="26">
        <v>1</v>
      </c>
      <c r="D2559" s="27" t="s">
        <v>201</v>
      </c>
      <c r="E2559" s="26">
        <v>575.45000000000005</v>
      </c>
      <c r="F2559" s="28" t="s">
        <v>202</v>
      </c>
      <c r="G2559" s="26">
        <f>ROUND(C2559*E2559,0)</f>
        <v>575</v>
      </c>
      <c r="H2559" t="s">
        <v>6062</v>
      </c>
    </row>
    <row r="2560" spans="1:8" ht="30" x14ac:dyDescent="0.25">
      <c r="A2560" s="21" t="s">
        <v>6166</v>
      </c>
      <c r="B2560" s="25" t="s">
        <v>6029</v>
      </c>
      <c r="C2560" s="26">
        <v>1</v>
      </c>
      <c r="D2560" s="27" t="s">
        <v>201</v>
      </c>
      <c r="E2560" s="26">
        <v>401.9</v>
      </c>
      <c r="F2560" s="28" t="s">
        <v>202</v>
      </c>
      <c r="G2560" s="26">
        <f>ROUND(C2560*E2560,0)</f>
        <v>402</v>
      </c>
      <c r="H2560" t="s">
        <v>6029</v>
      </c>
    </row>
    <row r="2561" spans="1:8" ht="30" x14ac:dyDescent="0.25">
      <c r="A2561" s="21" t="s">
        <v>6167</v>
      </c>
      <c r="B2561" s="25" t="s">
        <v>6169</v>
      </c>
      <c r="C2561" s="26"/>
      <c r="D2561" s="27"/>
      <c r="E2561" s="26"/>
      <c r="F2561" s="28"/>
      <c r="G2561" s="26"/>
      <c r="H2561" t="s">
        <v>6168</v>
      </c>
    </row>
    <row r="2562" spans="1:8" x14ac:dyDescent="0.25">
      <c r="A2562" s="21" t="s">
        <v>6170</v>
      </c>
      <c r="B2562" s="25" t="s">
        <v>6119</v>
      </c>
      <c r="C2562" s="26"/>
      <c r="D2562" s="27"/>
      <c r="E2562" s="26"/>
      <c r="F2562" s="28"/>
      <c r="G2562" s="26"/>
      <c r="H2562" t="s">
        <v>6118</v>
      </c>
    </row>
    <row r="2563" spans="1:8" x14ac:dyDescent="0.25">
      <c r="A2563" s="21" t="s">
        <v>6171</v>
      </c>
      <c r="B2563" s="25" t="s">
        <v>6025</v>
      </c>
      <c r="C2563" s="26">
        <v>1</v>
      </c>
      <c r="D2563" s="27" t="s">
        <v>201</v>
      </c>
      <c r="E2563" s="26">
        <v>1011.05</v>
      </c>
      <c r="F2563" s="28" t="s">
        <v>202</v>
      </c>
      <c r="G2563" s="26">
        <f>ROUND(C2563*E2563,0)</f>
        <v>1011</v>
      </c>
      <c r="H2563" t="s">
        <v>6062</v>
      </c>
    </row>
    <row r="2564" spans="1:8" x14ac:dyDescent="0.25">
      <c r="A2564" s="21" t="s">
        <v>6172</v>
      </c>
      <c r="B2564" s="25" t="s">
        <v>6027</v>
      </c>
      <c r="C2564" s="26">
        <v>1</v>
      </c>
      <c r="D2564" s="27" t="s">
        <v>201</v>
      </c>
      <c r="E2564" s="26">
        <v>1274.25</v>
      </c>
      <c r="F2564" s="28" t="s">
        <v>202</v>
      </c>
      <c r="G2564" s="26">
        <f>ROUND(C2564*E2564,0)</f>
        <v>1274</v>
      </c>
      <c r="H2564" t="s">
        <v>6062</v>
      </c>
    </row>
    <row r="2565" spans="1:8" ht="30" x14ac:dyDescent="0.25">
      <c r="A2565" s="21" t="s">
        <v>6173</v>
      </c>
      <c r="B2565" s="25" t="s">
        <v>6175</v>
      </c>
      <c r="C2565" s="26"/>
      <c r="D2565" s="27"/>
      <c r="E2565" s="26"/>
      <c r="F2565" s="28"/>
      <c r="G2565" s="26"/>
      <c r="H2565" t="s">
        <v>6174</v>
      </c>
    </row>
    <row r="2566" spans="1:8" x14ac:dyDescent="0.25">
      <c r="A2566" s="21" t="s">
        <v>6176</v>
      </c>
      <c r="B2566" s="25" t="s">
        <v>6134</v>
      </c>
      <c r="C2566" s="26"/>
      <c r="D2566" s="27"/>
      <c r="E2566" s="26"/>
      <c r="F2566" s="28"/>
      <c r="G2566" s="26"/>
      <c r="H2566" t="s">
        <v>6133</v>
      </c>
    </row>
    <row r="2567" spans="1:8" x14ac:dyDescent="0.25">
      <c r="A2567" s="21" t="s">
        <v>6177</v>
      </c>
      <c r="B2567" s="25" t="s">
        <v>6025</v>
      </c>
      <c r="C2567" s="26">
        <v>1</v>
      </c>
      <c r="D2567" s="27" t="s">
        <v>201</v>
      </c>
      <c r="E2567" s="26">
        <v>804.8</v>
      </c>
      <c r="F2567" s="28" t="s">
        <v>202</v>
      </c>
      <c r="G2567" s="26">
        <f>ROUND(C2567*E2567,0)</f>
        <v>805</v>
      </c>
      <c r="H2567" t="s">
        <v>6034</v>
      </c>
    </row>
    <row r="2568" spans="1:8" x14ac:dyDescent="0.25">
      <c r="A2568" s="21" t="s">
        <v>6178</v>
      </c>
      <c r="B2568" s="25" t="s">
        <v>6027</v>
      </c>
      <c r="C2568" s="26">
        <v>1</v>
      </c>
      <c r="D2568" s="27" t="s">
        <v>201</v>
      </c>
      <c r="E2568" s="26">
        <v>996.85</v>
      </c>
      <c r="F2568" s="28" t="s">
        <v>202</v>
      </c>
      <c r="G2568" s="26">
        <f>ROUND(C2568*E2568,0)</f>
        <v>997</v>
      </c>
      <c r="H2568" t="s">
        <v>6062</v>
      </c>
    </row>
    <row r="2569" spans="1:8" ht="30" x14ac:dyDescent="0.25">
      <c r="A2569" s="21" t="s">
        <v>6179</v>
      </c>
      <c r="B2569" s="25" t="s">
        <v>6029</v>
      </c>
      <c r="C2569" s="26">
        <v>1</v>
      </c>
      <c r="D2569" s="27" t="s">
        <v>201</v>
      </c>
      <c r="E2569" s="26">
        <v>658.25</v>
      </c>
      <c r="F2569" s="28" t="s">
        <v>202</v>
      </c>
      <c r="G2569" s="26">
        <f>ROUND(C2569*E2569,0)</f>
        <v>658</v>
      </c>
      <c r="H2569" t="s">
        <v>6029</v>
      </c>
    </row>
    <row r="2570" spans="1:8" ht="30" x14ac:dyDescent="0.25">
      <c r="A2570" s="21" t="s">
        <v>6180</v>
      </c>
      <c r="B2570" s="25" t="s">
        <v>6182</v>
      </c>
      <c r="C2570" s="26"/>
      <c r="D2570" s="27"/>
      <c r="E2570" s="26"/>
      <c r="F2570" s="28"/>
      <c r="G2570" s="26"/>
      <c r="H2570" t="s">
        <v>6181</v>
      </c>
    </row>
    <row r="2571" spans="1:8" x14ac:dyDescent="0.25">
      <c r="A2571" s="21" t="s">
        <v>6183</v>
      </c>
      <c r="B2571" s="25" t="s">
        <v>6185</v>
      </c>
      <c r="C2571" s="26"/>
      <c r="D2571" s="27"/>
      <c r="E2571" s="26"/>
      <c r="F2571" s="28"/>
      <c r="G2571" s="26"/>
      <c r="H2571" t="s">
        <v>6184</v>
      </c>
    </row>
    <row r="2572" spans="1:8" x14ac:dyDescent="0.25">
      <c r="A2572" s="21" t="s">
        <v>6186</v>
      </c>
      <c r="B2572" s="25" t="s">
        <v>6188</v>
      </c>
      <c r="C2572" s="26">
        <v>1</v>
      </c>
      <c r="D2572" s="27" t="s">
        <v>201</v>
      </c>
      <c r="E2572" s="26">
        <v>376.25</v>
      </c>
      <c r="F2572" s="28" t="s">
        <v>202</v>
      </c>
      <c r="G2572" s="26">
        <f>ROUND(C2572*E2572,0)</f>
        <v>376</v>
      </c>
      <c r="H2572" t="s">
        <v>6187</v>
      </c>
    </row>
    <row r="2573" spans="1:8" x14ac:dyDescent="0.25">
      <c r="A2573" s="21" t="s">
        <v>6189</v>
      </c>
      <c r="B2573" s="25" t="s">
        <v>6191</v>
      </c>
      <c r="C2573" s="26">
        <v>1</v>
      </c>
      <c r="D2573" s="27" t="s">
        <v>201</v>
      </c>
      <c r="E2573" s="26">
        <v>603.9</v>
      </c>
      <c r="F2573" s="28" t="s">
        <v>202</v>
      </c>
      <c r="G2573" s="26">
        <f>ROUND(C2573*E2573,0)</f>
        <v>604</v>
      </c>
      <c r="H2573" t="s">
        <v>6190</v>
      </c>
    </row>
    <row r="2574" spans="1:8" x14ac:dyDescent="0.25">
      <c r="A2574" s="21" t="s">
        <v>6192</v>
      </c>
      <c r="B2574" s="25" t="s">
        <v>6194</v>
      </c>
      <c r="C2574" s="26"/>
      <c r="D2574" s="27"/>
      <c r="E2574" s="26"/>
      <c r="F2574" s="28"/>
      <c r="G2574" s="26"/>
      <c r="H2574" t="s">
        <v>6193</v>
      </c>
    </row>
    <row r="2575" spans="1:8" x14ac:dyDescent="0.25">
      <c r="A2575" s="21" t="s">
        <v>6195</v>
      </c>
      <c r="B2575" s="25" t="s">
        <v>6188</v>
      </c>
      <c r="C2575" s="26">
        <v>1</v>
      </c>
      <c r="D2575" s="27" t="s">
        <v>201</v>
      </c>
      <c r="E2575" s="26">
        <v>527.35</v>
      </c>
      <c r="F2575" s="28" t="s">
        <v>202</v>
      </c>
      <c r="G2575" s="26">
        <f>ROUND(C2575*E2575,0)</f>
        <v>527</v>
      </c>
      <c r="H2575" t="s">
        <v>6187</v>
      </c>
    </row>
    <row r="2576" spans="1:8" x14ac:dyDescent="0.25">
      <c r="A2576" s="21" t="s">
        <v>6196</v>
      </c>
      <c r="B2576" s="25" t="s">
        <v>6197</v>
      </c>
      <c r="C2576" s="26">
        <v>1</v>
      </c>
      <c r="D2576" s="27" t="s">
        <v>201</v>
      </c>
      <c r="E2576" s="26">
        <v>648.29999999999995</v>
      </c>
      <c r="F2576" s="28" t="s">
        <v>202</v>
      </c>
      <c r="G2576" s="26">
        <f>ROUND(C2576*E2576,0)</f>
        <v>648</v>
      </c>
      <c r="H2576" t="s">
        <v>6190</v>
      </c>
    </row>
    <row r="2577" spans="1:8" x14ac:dyDescent="0.25">
      <c r="A2577" s="21" t="s">
        <v>6198</v>
      </c>
      <c r="B2577" s="25" t="s">
        <v>6200</v>
      </c>
      <c r="C2577" s="26"/>
      <c r="D2577" s="27"/>
      <c r="E2577" s="26"/>
      <c r="F2577" s="28"/>
      <c r="G2577" s="26"/>
      <c r="H2577" t="s">
        <v>6199</v>
      </c>
    </row>
    <row r="2578" spans="1:8" x14ac:dyDescent="0.25">
      <c r="A2578" s="21" t="s">
        <v>6201</v>
      </c>
      <c r="B2578" s="25" t="s">
        <v>6202</v>
      </c>
      <c r="C2578" s="26">
        <v>1</v>
      </c>
      <c r="D2578" s="27" t="s">
        <v>201</v>
      </c>
      <c r="E2578" s="26">
        <v>619.9</v>
      </c>
      <c r="F2578" s="28" t="s">
        <v>202</v>
      </c>
      <c r="G2578" s="26">
        <f>ROUND(C2578*E2578,0)</f>
        <v>620</v>
      </c>
      <c r="H2578" t="s">
        <v>6187</v>
      </c>
    </row>
    <row r="2579" spans="1:8" x14ac:dyDescent="0.25">
      <c r="A2579" s="21" t="s">
        <v>6203</v>
      </c>
      <c r="B2579" s="25" t="s">
        <v>6197</v>
      </c>
      <c r="C2579" s="26">
        <v>1</v>
      </c>
      <c r="D2579" s="27" t="s">
        <v>201</v>
      </c>
      <c r="E2579" s="26">
        <v>769.25</v>
      </c>
      <c r="F2579" s="28" t="s">
        <v>202</v>
      </c>
      <c r="G2579" s="26">
        <f>ROUND(C2579*E2579,0)</f>
        <v>769</v>
      </c>
      <c r="H2579" t="s">
        <v>6190</v>
      </c>
    </row>
    <row r="2580" spans="1:8" ht="45" x14ac:dyDescent="0.25">
      <c r="A2580" s="21" t="s">
        <v>6204</v>
      </c>
      <c r="B2580" s="25" t="s">
        <v>6205</v>
      </c>
      <c r="C2580" s="26"/>
      <c r="D2580" s="27"/>
      <c r="E2580" s="26"/>
      <c r="F2580" s="28"/>
      <c r="G2580" s="26"/>
      <c r="H2580" t="s">
        <v>6205</v>
      </c>
    </row>
    <row r="2581" spans="1:8" x14ac:dyDescent="0.25">
      <c r="A2581" s="21" t="s">
        <v>6206</v>
      </c>
      <c r="B2581" s="25" t="s">
        <v>6207</v>
      </c>
      <c r="C2581" s="26"/>
      <c r="D2581" s="27"/>
      <c r="E2581" s="26"/>
      <c r="F2581" s="28"/>
      <c r="G2581" s="26"/>
      <c r="H2581" t="s">
        <v>6207</v>
      </c>
    </row>
    <row r="2582" spans="1:8" x14ac:dyDescent="0.25">
      <c r="A2582" s="21" t="s">
        <v>6208</v>
      </c>
      <c r="B2582" s="25" t="s">
        <v>6191</v>
      </c>
      <c r="C2582" s="26">
        <v>1</v>
      </c>
      <c r="D2582" s="27" t="s">
        <v>201</v>
      </c>
      <c r="E2582" s="26">
        <v>547</v>
      </c>
      <c r="F2582" s="28" t="s">
        <v>202</v>
      </c>
      <c r="G2582" s="26">
        <f>ROUND(C2582*E2582,0)</f>
        <v>547</v>
      </c>
      <c r="H2582" t="s">
        <v>6191</v>
      </c>
    </row>
    <row r="2583" spans="1:8" x14ac:dyDescent="0.25">
      <c r="A2583" s="21" t="s">
        <v>6209</v>
      </c>
      <c r="B2583" s="25" t="s">
        <v>6188</v>
      </c>
      <c r="C2583" s="26">
        <v>1</v>
      </c>
      <c r="D2583" s="27" t="s">
        <v>201</v>
      </c>
      <c r="E2583" s="26">
        <v>454.5</v>
      </c>
      <c r="F2583" s="28" t="s">
        <v>202</v>
      </c>
      <c r="G2583" s="26">
        <f>ROUND(C2583*E2583,0)</f>
        <v>455</v>
      </c>
      <c r="H2583" t="s">
        <v>6188</v>
      </c>
    </row>
    <row r="2584" spans="1:8" ht="30" x14ac:dyDescent="0.25">
      <c r="A2584" s="21" t="s">
        <v>6210</v>
      </c>
      <c r="B2584" s="25" t="s">
        <v>6212</v>
      </c>
      <c r="C2584" s="26"/>
      <c r="D2584" s="27"/>
      <c r="E2584" s="26"/>
      <c r="F2584" s="28"/>
      <c r="G2584" s="26"/>
      <c r="H2584" t="s">
        <v>6211</v>
      </c>
    </row>
    <row r="2585" spans="1:8" x14ac:dyDescent="0.25">
      <c r="A2585" s="21" t="s">
        <v>6213</v>
      </c>
      <c r="B2585" s="25" t="s">
        <v>6215</v>
      </c>
      <c r="C2585" s="26"/>
      <c r="D2585" s="27"/>
      <c r="E2585" s="26"/>
      <c r="F2585" s="28"/>
      <c r="G2585" s="26"/>
      <c r="H2585" t="s">
        <v>6214</v>
      </c>
    </row>
    <row r="2586" spans="1:8" x14ac:dyDescent="0.25">
      <c r="A2586" s="21" t="s">
        <v>6216</v>
      </c>
      <c r="B2586" s="25" t="s">
        <v>6188</v>
      </c>
      <c r="C2586" s="26">
        <v>1</v>
      </c>
      <c r="D2586" s="27" t="s">
        <v>201</v>
      </c>
      <c r="E2586" s="26">
        <v>418.95</v>
      </c>
      <c r="F2586" s="28" t="s">
        <v>202</v>
      </c>
      <c r="G2586" s="26">
        <f>ROUND(C2586*E2586,0)</f>
        <v>419</v>
      </c>
      <c r="H2586" t="s">
        <v>6187</v>
      </c>
    </row>
    <row r="2587" spans="1:8" x14ac:dyDescent="0.25">
      <c r="A2587" s="21" t="s">
        <v>6217</v>
      </c>
      <c r="B2587" s="25" t="s">
        <v>6219</v>
      </c>
      <c r="C2587" s="26"/>
      <c r="D2587" s="27"/>
      <c r="E2587" s="26"/>
      <c r="F2587" s="28"/>
      <c r="G2587" s="26"/>
      <c r="H2587" t="s">
        <v>6218</v>
      </c>
    </row>
    <row r="2588" spans="1:8" x14ac:dyDescent="0.25">
      <c r="A2588" s="21" t="s">
        <v>6220</v>
      </c>
      <c r="B2588" s="25" t="s">
        <v>6188</v>
      </c>
      <c r="C2588" s="26">
        <v>1</v>
      </c>
      <c r="D2588" s="27" t="s">
        <v>201</v>
      </c>
      <c r="E2588" s="26">
        <v>585.54999999999995</v>
      </c>
      <c r="F2588" s="28" t="s">
        <v>202</v>
      </c>
      <c r="G2588" s="26">
        <f>ROUND(C2588*E2588,0)</f>
        <v>586</v>
      </c>
      <c r="H2588" t="s">
        <v>6187</v>
      </c>
    </row>
    <row r="2589" spans="1:8" x14ac:dyDescent="0.25">
      <c r="A2589" s="21" t="s">
        <v>6221</v>
      </c>
      <c r="B2589" s="25" t="s">
        <v>6197</v>
      </c>
      <c r="C2589" s="26">
        <v>1</v>
      </c>
      <c r="D2589" s="27" t="s">
        <v>201</v>
      </c>
      <c r="E2589" s="26">
        <v>734.95</v>
      </c>
      <c r="F2589" s="28" t="s">
        <v>202</v>
      </c>
      <c r="G2589" s="26">
        <f>ROUND(C2589*E2589,0)</f>
        <v>735</v>
      </c>
      <c r="H2589" t="s">
        <v>6190</v>
      </c>
    </row>
    <row r="2590" spans="1:8" ht="45" x14ac:dyDescent="0.25">
      <c r="A2590" s="21" t="s">
        <v>6222</v>
      </c>
      <c r="B2590" s="25" t="s">
        <v>6205</v>
      </c>
      <c r="C2590" s="26"/>
      <c r="D2590" s="27"/>
      <c r="E2590" s="26"/>
      <c r="F2590" s="28"/>
      <c r="G2590" s="26"/>
      <c r="H2590" t="s">
        <v>6205</v>
      </c>
    </row>
    <row r="2591" spans="1:8" x14ac:dyDescent="0.25">
      <c r="A2591" s="21" t="s">
        <v>6223</v>
      </c>
      <c r="B2591" s="25" t="s">
        <v>6224</v>
      </c>
      <c r="C2591" s="26"/>
      <c r="D2591" s="27"/>
      <c r="E2591" s="26"/>
      <c r="F2591" s="28"/>
      <c r="G2591" s="26"/>
      <c r="H2591" t="s">
        <v>6224</v>
      </c>
    </row>
    <row r="2592" spans="1:8" x14ac:dyDescent="0.25">
      <c r="A2592" s="21" t="s">
        <v>6225</v>
      </c>
      <c r="B2592" s="25" t="s">
        <v>6226</v>
      </c>
      <c r="C2592" s="26">
        <v>1</v>
      </c>
      <c r="D2592" s="27" t="s">
        <v>201</v>
      </c>
      <c r="E2592" s="26">
        <v>632.65</v>
      </c>
      <c r="F2592" s="28" t="s">
        <v>202</v>
      </c>
      <c r="G2592" s="26">
        <f>ROUND(C2592*E2592,0)</f>
        <v>633</v>
      </c>
      <c r="H2592" t="s">
        <v>6226</v>
      </c>
    </row>
    <row r="2593" spans="1:8" x14ac:dyDescent="0.25">
      <c r="A2593" s="21" t="s">
        <v>6227</v>
      </c>
      <c r="B2593" s="25" t="s">
        <v>6228</v>
      </c>
      <c r="C2593" s="26">
        <v>1</v>
      </c>
      <c r="D2593" s="27" t="s">
        <v>201</v>
      </c>
      <c r="E2593" s="26">
        <v>465.9</v>
      </c>
      <c r="F2593" s="28" t="s">
        <v>202</v>
      </c>
      <c r="G2593" s="26">
        <f>ROUND(C2593*E2593,0)</f>
        <v>466</v>
      </c>
      <c r="H2593" t="s">
        <v>6228</v>
      </c>
    </row>
    <row r="2594" spans="1:8" ht="30" x14ac:dyDescent="0.25">
      <c r="A2594" s="21" t="s">
        <v>6229</v>
      </c>
      <c r="B2594" s="25" t="s">
        <v>6231</v>
      </c>
      <c r="C2594" s="26"/>
      <c r="D2594" s="27"/>
      <c r="E2594" s="26"/>
      <c r="F2594" s="28"/>
      <c r="G2594" s="26"/>
      <c r="H2594" t="s">
        <v>6230</v>
      </c>
    </row>
    <row r="2595" spans="1:8" x14ac:dyDescent="0.25">
      <c r="A2595" s="21" t="s">
        <v>6232</v>
      </c>
      <c r="B2595" s="25" t="s">
        <v>1947</v>
      </c>
      <c r="C2595" s="26"/>
      <c r="D2595" s="27"/>
      <c r="E2595" s="26"/>
      <c r="F2595" s="28"/>
      <c r="G2595" s="26"/>
      <c r="H2595" t="s">
        <v>5988</v>
      </c>
    </row>
    <row r="2596" spans="1:8" x14ac:dyDescent="0.25">
      <c r="A2596" s="21" t="s">
        <v>6233</v>
      </c>
      <c r="B2596" s="25" t="s">
        <v>6025</v>
      </c>
      <c r="C2596" s="26">
        <v>1</v>
      </c>
      <c r="D2596" s="27" t="s">
        <v>201</v>
      </c>
      <c r="E2596" s="26">
        <v>783.45</v>
      </c>
      <c r="F2596" s="28" t="s">
        <v>202</v>
      </c>
      <c r="G2596" s="26">
        <f>ROUND(C2596*E2596,0)</f>
        <v>783</v>
      </c>
      <c r="H2596" t="s">
        <v>6034</v>
      </c>
    </row>
    <row r="2597" spans="1:8" x14ac:dyDescent="0.25">
      <c r="A2597" s="21" t="s">
        <v>6234</v>
      </c>
      <c r="B2597" s="25" t="s">
        <v>6027</v>
      </c>
      <c r="C2597" s="26">
        <v>1</v>
      </c>
      <c r="D2597" s="27" t="s">
        <v>201</v>
      </c>
      <c r="E2597" s="26">
        <v>683.85</v>
      </c>
      <c r="F2597" s="28" t="s">
        <v>202</v>
      </c>
      <c r="G2597" s="26">
        <f>ROUND(C2597*E2597,0)</f>
        <v>684</v>
      </c>
      <c r="H2597" t="s">
        <v>6062</v>
      </c>
    </row>
    <row r="2598" spans="1:8" x14ac:dyDescent="0.25">
      <c r="A2598" s="21" t="s">
        <v>6235</v>
      </c>
      <c r="B2598" s="25" t="s">
        <v>2011</v>
      </c>
      <c r="C2598" s="26"/>
      <c r="D2598" s="27"/>
      <c r="E2598" s="26"/>
      <c r="F2598" s="28"/>
      <c r="G2598" s="26"/>
      <c r="H2598" t="s">
        <v>5999</v>
      </c>
    </row>
    <row r="2599" spans="1:8" x14ac:dyDescent="0.25">
      <c r="A2599" s="21" t="s">
        <v>6236</v>
      </c>
      <c r="B2599" s="25" t="s">
        <v>6025</v>
      </c>
      <c r="C2599" s="26">
        <v>1</v>
      </c>
      <c r="D2599" s="27" t="s">
        <v>201</v>
      </c>
      <c r="E2599" s="26">
        <v>501.45</v>
      </c>
      <c r="F2599" s="28" t="s">
        <v>202</v>
      </c>
      <c r="G2599" s="26">
        <f>ROUND(C2599*E2599,0)</f>
        <v>501</v>
      </c>
      <c r="H2599" t="s">
        <v>6034</v>
      </c>
    </row>
    <row r="2600" spans="1:8" x14ac:dyDescent="0.25">
      <c r="A2600" s="21" t="s">
        <v>6237</v>
      </c>
      <c r="B2600" s="25" t="s">
        <v>6027</v>
      </c>
      <c r="C2600" s="26">
        <v>1</v>
      </c>
      <c r="D2600" s="27" t="s">
        <v>201</v>
      </c>
      <c r="E2600" s="26">
        <v>537</v>
      </c>
      <c r="F2600" s="28" t="s">
        <v>202</v>
      </c>
      <c r="G2600" s="26">
        <f>ROUND(C2600*E2600,0)</f>
        <v>537</v>
      </c>
      <c r="H2600" t="s">
        <v>6034</v>
      </c>
    </row>
    <row r="2601" spans="1:8" x14ac:dyDescent="0.25">
      <c r="A2601" s="21" t="s">
        <v>6238</v>
      </c>
      <c r="B2601" s="25" t="s">
        <v>6240</v>
      </c>
      <c r="C2601" s="26"/>
      <c r="D2601" s="27"/>
      <c r="E2601" s="26"/>
      <c r="F2601" s="28"/>
      <c r="G2601" s="26"/>
      <c r="H2601" t="s">
        <v>6239</v>
      </c>
    </row>
    <row r="2602" spans="1:8" x14ac:dyDescent="0.25">
      <c r="A2602" s="21" t="s">
        <v>6241</v>
      </c>
      <c r="B2602" s="25" t="s">
        <v>1947</v>
      </c>
      <c r="C2602" s="26"/>
      <c r="D2602" s="27"/>
      <c r="E2602" s="26"/>
      <c r="F2602" s="28"/>
      <c r="G2602" s="26"/>
      <c r="H2602" t="s">
        <v>5988</v>
      </c>
    </row>
    <row r="2603" spans="1:8" x14ac:dyDescent="0.25">
      <c r="A2603" s="21" t="s">
        <v>6242</v>
      </c>
      <c r="B2603" s="25" t="s">
        <v>6025</v>
      </c>
      <c r="C2603" s="26">
        <v>1</v>
      </c>
      <c r="D2603" s="27" t="s">
        <v>201</v>
      </c>
      <c r="E2603" s="26">
        <v>442</v>
      </c>
      <c r="F2603" s="28" t="s">
        <v>202</v>
      </c>
      <c r="G2603" s="26">
        <f>ROUND(C2603*E2603,0)</f>
        <v>442</v>
      </c>
      <c r="H2603" t="s">
        <v>6243</v>
      </c>
    </row>
    <row r="2604" spans="1:8" x14ac:dyDescent="0.25">
      <c r="A2604" s="21" t="s">
        <v>6244</v>
      </c>
      <c r="B2604" s="25" t="s">
        <v>6027</v>
      </c>
      <c r="C2604" s="26">
        <v>1</v>
      </c>
      <c r="D2604" s="27" t="s">
        <v>201</v>
      </c>
      <c r="E2604" s="26">
        <v>506</v>
      </c>
      <c r="F2604" s="28" t="s">
        <v>202</v>
      </c>
      <c r="G2604" s="26">
        <f>ROUND(C2604*E2604,0)</f>
        <v>506</v>
      </c>
      <c r="H2604" t="s">
        <v>6062</v>
      </c>
    </row>
    <row r="2605" spans="1:8" ht="30" x14ac:dyDescent="0.25">
      <c r="A2605" s="21" t="s">
        <v>6245</v>
      </c>
      <c r="B2605" s="25" t="s">
        <v>6029</v>
      </c>
      <c r="C2605" s="26">
        <v>1</v>
      </c>
      <c r="D2605" s="27" t="s">
        <v>201</v>
      </c>
      <c r="E2605" s="26">
        <v>427.8</v>
      </c>
      <c r="F2605" s="28" t="s">
        <v>202</v>
      </c>
      <c r="G2605" s="26">
        <f>ROUND(C2605*E2605,0)</f>
        <v>428</v>
      </c>
      <c r="H2605" t="s">
        <v>6029</v>
      </c>
    </row>
    <row r="2606" spans="1:8" x14ac:dyDescent="0.25">
      <c r="A2606" s="21" t="s">
        <v>6246</v>
      </c>
      <c r="B2606" s="25" t="s">
        <v>2011</v>
      </c>
      <c r="C2606" s="26"/>
      <c r="D2606" s="27"/>
      <c r="E2606" s="26"/>
      <c r="F2606" s="28"/>
      <c r="G2606" s="26"/>
      <c r="H2606" t="s">
        <v>5999</v>
      </c>
    </row>
    <row r="2607" spans="1:8" x14ac:dyDescent="0.25">
      <c r="A2607" s="21" t="s">
        <v>6247</v>
      </c>
      <c r="B2607" s="25" t="s">
        <v>6025</v>
      </c>
      <c r="C2607" s="26">
        <v>1</v>
      </c>
      <c r="D2607" s="27" t="s">
        <v>201</v>
      </c>
      <c r="E2607" s="26">
        <v>340.7</v>
      </c>
      <c r="F2607" s="28" t="s">
        <v>202</v>
      </c>
      <c r="G2607" s="26">
        <f>ROUND(C2607*E2607,0)</f>
        <v>341</v>
      </c>
      <c r="H2607" t="s">
        <v>6034</v>
      </c>
    </row>
    <row r="2608" spans="1:8" x14ac:dyDescent="0.25">
      <c r="A2608" s="21" t="s">
        <v>6248</v>
      </c>
      <c r="B2608" s="25" t="s">
        <v>6027</v>
      </c>
      <c r="C2608" s="26">
        <v>1</v>
      </c>
      <c r="D2608" s="27" t="s">
        <v>201</v>
      </c>
      <c r="E2608" s="26">
        <v>404.75</v>
      </c>
      <c r="F2608" s="28" t="s">
        <v>202</v>
      </c>
      <c r="G2608" s="26">
        <f>ROUND(C2608*E2608,0)</f>
        <v>405</v>
      </c>
      <c r="H2608" t="s">
        <v>6062</v>
      </c>
    </row>
    <row r="2609" spans="1:8" x14ac:dyDescent="0.25">
      <c r="A2609" s="21" t="s">
        <v>6249</v>
      </c>
      <c r="B2609" s="25" t="s">
        <v>6251</v>
      </c>
      <c r="C2609" s="26"/>
      <c r="D2609" s="27"/>
      <c r="E2609" s="26"/>
      <c r="F2609" s="28"/>
      <c r="G2609" s="26"/>
      <c r="H2609" t="s">
        <v>6250</v>
      </c>
    </row>
    <row r="2610" spans="1:8" x14ac:dyDescent="0.25">
      <c r="A2610" s="21" t="s">
        <v>6252</v>
      </c>
      <c r="B2610" s="25" t="s">
        <v>1947</v>
      </c>
      <c r="C2610" s="26"/>
      <c r="D2610" s="27"/>
      <c r="E2610" s="26"/>
      <c r="F2610" s="28"/>
      <c r="G2610" s="26"/>
      <c r="H2610" t="s">
        <v>5988</v>
      </c>
    </row>
    <row r="2611" spans="1:8" x14ac:dyDescent="0.25">
      <c r="A2611" s="21" t="s">
        <v>6253</v>
      </c>
      <c r="B2611" s="25" t="s">
        <v>6025</v>
      </c>
      <c r="C2611" s="26">
        <v>1</v>
      </c>
      <c r="D2611" s="27" t="s">
        <v>201</v>
      </c>
      <c r="E2611" s="26">
        <v>463.35</v>
      </c>
      <c r="F2611" s="28" t="s">
        <v>202</v>
      </c>
      <c r="G2611" s="26">
        <f>ROUND(C2611*E2611,0)</f>
        <v>463</v>
      </c>
      <c r="H2611" t="s">
        <v>6034</v>
      </c>
    </row>
    <row r="2612" spans="1:8" x14ac:dyDescent="0.25">
      <c r="A2612" s="21" t="s">
        <v>6254</v>
      </c>
      <c r="B2612" s="25" t="s">
        <v>6027</v>
      </c>
      <c r="C2612" s="26">
        <v>1</v>
      </c>
      <c r="D2612" s="27" t="s">
        <v>201</v>
      </c>
      <c r="E2612" s="26">
        <v>513.15</v>
      </c>
      <c r="F2612" s="28" t="s">
        <v>202</v>
      </c>
      <c r="G2612" s="26">
        <f>ROUND(C2612*E2612,0)</f>
        <v>513</v>
      </c>
      <c r="H2612" t="s">
        <v>6034</v>
      </c>
    </row>
    <row r="2613" spans="1:8" x14ac:dyDescent="0.25">
      <c r="A2613" s="21" t="s">
        <v>6255</v>
      </c>
      <c r="B2613" s="25" t="s">
        <v>2011</v>
      </c>
      <c r="C2613" s="26"/>
      <c r="D2613" s="27"/>
      <c r="E2613" s="26"/>
      <c r="F2613" s="28"/>
      <c r="G2613" s="26"/>
      <c r="H2613" t="s">
        <v>5999</v>
      </c>
    </row>
    <row r="2614" spans="1:8" x14ac:dyDescent="0.25">
      <c r="A2614" s="21" t="s">
        <v>6256</v>
      </c>
      <c r="B2614" s="25" t="s">
        <v>6025</v>
      </c>
      <c r="C2614" s="26">
        <v>1</v>
      </c>
      <c r="D2614" s="27" t="s">
        <v>201</v>
      </c>
      <c r="E2614" s="26">
        <v>305.14999999999998</v>
      </c>
      <c r="F2614" s="28" t="s">
        <v>202</v>
      </c>
      <c r="G2614" s="26">
        <f>ROUND(C2614*E2614,0)</f>
        <v>305</v>
      </c>
      <c r="H2614" t="s">
        <v>6025</v>
      </c>
    </row>
    <row r="2615" spans="1:8" x14ac:dyDescent="0.25">
      <c r="A2615" s="21" t="s">
        <v>6257</v>
      </c>
      <c r="B2615" s="25" t="s">
        <v>6037</v>
      </c>
      <c r="C2615" s="26">
        <v>1</v>
      </c>
      <c r="D2615" s="27" t="s">
        <v>201</v>
      </c>
      <c r="E2615" s="26">
        <v>362.05</v>
      </c>
      <c r="F2615" s="28" t="s">
        <v>202</v>
      </c>
      <c r="G2615" s="26">
        <f>ROUND(C2615*E2615,0)</f>
        <v>362</v>
      </c>
      <c r="H2615" t="s">
        <v>6034</v>
      </c>
    </row>
    <row r="2616" spans="1:8" ht="30" x14ac:dyDescent="0.25">
      <c r="A2616" s="21" t="s">
        <v>6258</v>
      </c>
      <c r="B2616" s="25" t="s">
        <v>6259</v>
      </c>
      <c r="C2616" s="26"/>
      <c r="D2616" s="27"/>
      <c r="E2616" s="26"/>
      <c r="F2616" s="28"/>
      <c r="G2616" s="26"/>
      <c r="H2616" t="s">
        <v>6259</v>
      </c>
    </row>
    <row r="2617" spans="1:8" x14ac:dyDescent="0.25">
      <c r="A2617" s="21" t="s">
        <v>6260</v>
      </c>
      <c r="B2617" s="25" t="s">
        <v>6023</v>
      </c>
      <c r="C2617" s="26"/>
      <c r="D2617" s="27"/>
      <c r="E2617" s="26"/>
      <c r="F2617" s="28"/>
      <c r="G2617" s="26"/>
      <c r="H2617" t="s">
        <v>6023</v>
      </c>
    </row>
    <row r="2618" spans="1:8" x14ac:dyDescent="0.25">
      <c r="A2618" s="21" t="s">
        <v>6261</v>
      </c>
      <c r="B2618" s="25" t="s">
        <v>6262</v>
      </c>
      <c r="C2618" s="26">
        <v>1</v>
      </c>
      <c r="D2618" s="27" t="s">
        <v>201</v>
      </c>
      <c r="E2618" s="26">
        <v>432.05</v>
      </c>
      <c r="F2618" s="28" t="s">
        <v>202</v>
      </c>
      <c r="G2618" s="26">
        <f>ROUND(C2618*E2618,0)</f>
        <v>432</v>
      </c>
      <c r="H2618" t="s">
        <v>6262</v>
      </c>
    </row>
    <row r="2619" spans="1:8" x14ac:dyDescent="0.25">
      <c r="A2619" s="21" t="s">
        <v>6263</v>
      </c>
      <c r="B2619" s="25" t="s">
        <v>6032</v>
      </c>
      <c r="C2619" s="26"/>
      <c r="D2619" s="27"/>
      <c r="E2619" s="26"/>
      <c r="F2619" s="28"/>
      <c r="G2619" s="26"/>
      <c r="H2619" t="s">
        <v>6032</v>
      </c>
    </row>
    <row r="2620" spans="1:8" x14ac:dyDescent="0.25">
      <c r="A2620" s="21" t="s">
        <v>6264</v>
      </c>
      <c r="B2620" s="25" t="s">
        <v>6262</v>
      </c>
      <c r="C2620" s="26">
        <v>1</v>
      </c>
      <c r="D2620" s="27" t="s">
        <v>201</v>
      </c>
      <c r="E2620" s="26">
        <v>389.05</v>
      </c>
      <c r="F2620" s="28" t="s">
        <v>202</v>
      </c>
      <c r="G2620" s="26">
        <f>ROUND(C2620*E2620,0)</f>
        <v>389</v>
      </c>
      <c r="H2620" t="s">
        <v>6262</v>
      </c>
    </row>
    <row r="2621" spans="1:8" ht="45" x14ac:dyDescent="0.25">
      <c r="A2621" s="21" t="s">
        <v>6265</v>
      </c>
      <c r="B2621" s="25" t="s">
        <v>6267</v>
      </c>
      <c r="C2621" s="26"/>
      <c r="D2621" s="27"/>
      <c r="E2621" s="26"/>
      <c r="F2621" s="28"/>
      <c r="G2621" s="26"/>
      <c r="H2621" t="s">
        <v>6266</v>
      </c>
    </row>
    <row r="2622" spans="1:8" x14ac:dyDescent="0.25">
      <c r="A2622" s="21" t="s">
        <v>6268</v>
      </c>
      <c r="B2622" s="25" t="s">
        <v>1947</v>
      </c>
      <c r="C2622" s="26">
        <v>1</v>
      </c>
      <c r="D2622" s="27" t="s">
        <v>201</v>
      </c>
      <c r="E2622" s="26">
        <v>622.5</v>
      </c>
      <c r="F2622" s="28" t="s">
        <v>202</v>
      </c>
      <c r="G2622" s="26">
        <f>ROUND(C2622*E2622,0)</f>
        <v>623</v>
      </c>
      <c r="H2622" t="s">
        <v>1946</v>
      </c>
    </row>
    <row r="2623" spans="1:8" x14ac:dyDescent="0.25">
      <c r="A2623" s="21" t="s">
        <v>6269</v>
      </c>
      <c r="B2623" s="25" t="s">
        <v>2011</v>
      </c>
      <c r="C2623" s="26">
        <v>1</v>
      </c>
      <c r="D2623" s="27" t="s">
        <v>201</v>
      </c>
      <c r="E2623" s="26">
        <v>526.25</v>
      </c>
      <c r="F2623" s="28" t="s">
        <v>202</v>
      </c>
      <c r="G2623" s="26">
        <f>ROUND(C2623*E2623,0)</f>
        <v>526</v>
      </c>
      <c r="H2623" t="s">
        <v>2010</v>
      </c>
    </row>
    <row r="2624" spans="1:8" x14ac:dyDescent="0.25">
      <c r="A2624" s="21" t="s">
        <v>6270</v>
      </c>
      <c r="B2624" s="25" t="s">
        <v>2138</v>
      </c>
      <c r="C2624" s="26">
        <v>1</v>
      </c>
      <c r="D2624" s="27" t="s">
        <v>201</v>
      </c>
      <c r="E2624" s="26">
        <v>423.15</v>
      </c>
      <c r="F2624" s="28" t="s">
        <v>202</v>
      </c>
      <c r="G2624" s="26">
        <f>ROUND(C2624*E2624,0)</f>
        <v>423</v>
      </c>
      <c r="H2624" t="s">
        <v>2137</v>
      </c>
    </row>
    <row r="2625" spans="1:8" ht="45" x14ac:dyDescent="0.25">
      <c r="A2625" s="21" t="s">
        <v>6271</v>
      </c>
      <c r="B2625" s="25" t="s">
        <v>6273</v>
      </c>
      <c r="C2625" s="26"/>
      <c r="D2625" s="27"/>
      <c r="E2625" s="26"/>
      <c r="F2625" s="28"/>
      <c r="G2625" s="26"/>
      <c r="H2625" t="s">
        <v>6272</v>
      </c>
    </row>
    <row r="2626" spans="1:8" x14ac:dyDescent="0.25">
      <c r="A2626" s="21" t="s">
        <v>6274</v>
      </c>
      <c r="B2626" s="25" t="s">
        <v>1947</v>
      </c>
      <c r="C2626" s="26">
        <v>1</v>
      </c>
      <c r="D2626" s="27" t="s">
        <v>201</v>
      </c>
      <c r="E2626" s="26">
        <v>139.69999999999999</v>
      </c>
      <c r="F2626" s="28" t="s">
        <v>202</v>
      </c>
      <c r="G2626" s="26">
        <f>ROUND(C2626*E2626,0)</f>
        <v>140</v>
      </c>
      <c r="H2626" t="s">
        <v>1946</v>
      </c>
    </row>
    <row r="2627" spans="1:8" x14ac:dyDescent="0.25">
      <c r="A2627" s="21" t="s">
        <v>6275</v>
      </c>
      <c r="B2627" s="25" t="s">
        <v>2011</v>
      </c>
      <c r="C2627" s="26">
        <v>1</v>
      </c>
      <c r="D2627" s="27" t="s">
        <v>201</v>
      </c>
      <c r="E2627" s="26">
        <v>90.3</v>
      </c>
      <c r="F2627" s="28" t="s">
        <v>202</v>
      </c>
      <c r="G2627" s="26">
        <f>ROUND(C2627*E2627,0)</f>
        <v>90</v>
      </c>
      <c r="H2627" t="s">
        <v>2143</v>
      </c>
    </row>
    <row r="2628" spans="1:8" x14ac:dyDescent="0.25">
      <c r="A2628" s="21" t="s">
        <v>6276</v>
      </c>
      <c r="B2628" s="25" t="s">
        <v>2138</v>
      </c>
      <c r="C2628" s="26">
        <v>1</v>
      </c>
      <c r="D2628" s="27" t="s">
        <v>201</v>
      </c>
      <c r="E2628" s="26">
        <v>81.849999999999994</v>
      </c>
      <c r="F2628" s="28" t="s">
        <v>202</v>
      </c>
      <c r="G2628" s="26">
        <f>ROUND(C2628*E2628,0)</f>
        <v>82</v>
      </c>
      <c r="H2628" t="s">
        <v>2137</v>
      </c>
    </row>
    <row r="2629" spans="1:8" ht="60" x14ac:dyDescent="0.25">
      <c r="A2629" s="21" t="s">
        <v>6277</v>
      </c>
      <c r="B2629" s="25" t="s">
        <v>6279</v>
      </c>
      <c r="C2629" s="26"/>
      <c r="D2629" s="27"/>
      <c r="E2629" s="26"/>
      <c r="F2629" s="28"/>
      <c r="G2629" s="26"/>
      <c r="H2629" t="s">
        <v>6278</v>
      </c>
    </row>
    <row r="2630" spans="1:8" x14ac:dyDescent="0.25">
      <c r="A2630" s="21" t="s">
        <v>6280</v>
      </c>
      <c r="B2630" s="25" t="s">
        <v>6282</v>
      </c>
      <c r="C2630" s="26"/>
      <c r="D2630" s="27"/>
      <c r="E2630" s="26"/>
      <c r="F2630" s="28"/>
      <c r="G2630" s="26"/>
      <c r="H2630" t="s">
        <v>6281</v>
      </c>
    </row>
    <row r="2631" spans="1:8" x14ac:dyDescent="0.25">
      <c r="A2631" s="21" t="s">
        <v>6283</v>
      </c>
      <c r="B2631" s="25" t="s">
        <v>6284</v>
      </c>
      <c r="C2631" s="26">
        <v>1</v>
      </c>
      <c r="D2631" s="27" t="s">
        <v>201</v>
      </c>
      <c r="E2631" s="26">
        <v>1996.5</v>
      </c>
      <c r="F2631" s="28" t="s">
        <v>202</v>
      </c>
      <c r="G2631" s="26">
        <f>ROUND(C2631*E2631,0)</f>
        <v>1997</v>
      </c>
      <c r="H2631" t="s">
        <v>6002</v>
      </c>
    </row>
    <row r="2632" spans="1:8" x14ac:dyDescent="0.25">
      <c r="A2632" s="21" t="s">
        <v>6285</v>
      </c>
      <c r="B2632" s="25" t="s">
        <v>6286</v>
      </c>
      <c r="C2632" s="26">
        <v>1</v>
      </c>
      <c r="D2632" s="27" t="s">
        <v>201</v>
      </c>
      <c r="E2632" s="26">
        <v>1683.55</v>
      </c>
      <c r="F2632" s="28" t="s">
        <v>202</v>
      </c>
      <c r="G2632" s="26">
        <f>ROUND(C2632*E2632,0)</f>
        <v>1684</v>
      </c>
      <c r="H2632" t="s">
        <v>6002</v>
      </c>
    </row>
    <row r="2633" spans="1:8" ht="30" x14ac:dyDescent="0.25">
      <c r="A2633" s="21" t="s">
        <v>6287</v>
      </c>
      <c r="B2633" s="25" t="s">
        <v>6029</v>
      </c>
      <c r="C2633" s="26">
        <v>1</v>
      </c>
      <c r="D2633" s="27" t="s">
        <v>201</v>
      </c>
      <c r="E2633" s="26">
        <v>854.55</v>
      </c>
      <c r="F2633" s="28" t="s">
        <v>202</v>
      </c>
      <c r="G2633" s="26">
        <f>ROUND(C2633*E2633,0)</f>
        <v>855</v>
      </c>
      <c r="H2633" t="s">
        <v>6029</v>
      </c>
    </row>
    <row r="2634" spans="1:8" x14ac:dyDescent="0.25">
      <c r="A2634" s="21" t="s">
        <v>6288</v>
      </c>
      <c r="B2634" s="25" t="s">
        <v>6290</v>
      </c>
      <c r="C2634" s="26"/>
      <c r="D2634" s="27"/>
      <c r="E2634" s="26"/>
      <c r="F2634" s="28"/>
      <c r="G2634" s="26"/>
      <c r="H2634" t="s">
        <v>6289</v>
      </c>
    </row>
    <row r="2635" spans="1:8" x14ac:dyDescent="0.25">
      <c r="A2635" s="21" t="s">
        <v>6291</v>
      </c>
      <c r="B2635" s="25" t="s">
        <v>6027</v>
      </c>
      <c r="C2635" s="26">
        <v>1</v>
      </c>
      <c r="D2635" s="27" t="s">
        <v>201</v>
      </c>
      <c r="E2635" s="26">
        <v>1975.15</v>
      </c>
      <c r="F2635" s="28" t="s">
        <v>202</v>
      </c>
      <c r="G2635" s="26">
        <f>ROUND(C2635*E2635,0)</f>
        <v>1975</v>
      </c>
      <c r="H2635" t="s">
        <v>6002</v>
      </c>
    </row>
    <row r="2636" spans="1:8" x14ac:dyDescent="0.25">
      <c r="A2636" s="21" t="s">
        <v>6292</v>
      </c>
      <c r="B2636" s="25" t="s">
        <v>6293</v>
      </c>
      <c r="C2636" s="26">
        <v>1</v>
      </c>
      <c r="D2636" s="27" t="s">
        <v>201</v>
      </c>
      <c r="E2636" s="26">
        <v>1558.35</v>
      </c>
      <c r="F2636" s="28" t="s">
        <v>202</v>
      </c>
      <c r="G2636" s="26">
        <f>ROUND(C2636*E2636,0)</f>
        <v>1558</v>
      </c>
      <c r="H2636" t="s">
        <v>6293</v>
      </c>
    </row>
    <row r="2637" spans="1:8" ht="30" x14ac:dyDescent="0.25">
      <c r="A2637" s="21" t="s">
        <v>6294</v>
      </c>
      <c r="B2637" s="25" t="s">
        <v>6029</v>
      </c>
      <c r="C2637" s="26">
        <v>1</v>
      </c>
      <c r="D2637" s="27" t="s">
        <v>201</v>
      </c>
      <c r="E2637" s="26">
        <v>591.4</v>
      </c>
      <c r="F2637" s="28" t="s">
        <v>202</v>
      </c>
      <c r="G2637" s="26">
        <f>ROUND(C2637*E2637,0)</f>
        <v>591</v>
      </c>
      <c r="H2637" t="s">
        <v>6029</v>
      </c>
    </row>
    <row r="2638" spans="1:8" ht="105" x14ac:dyDescent="0.25">
      <c r="A2638" s="21" t="s">
        <v>6295</v>
      </c>
      <c r="B2638" s="25" t="s">
        <v>6297</v>
      </c>
      <c r="C2638" s="26"/>
      <c r="D2638" s="27"/>
      <c r="E2638" s="26"/>
      <c r="F2638" s="28"/>
      <c r="G2638" s="26"/>
      <c r="H2638" t="s">
        <v>6296</v>
      </c>
    </row>
    <row r="2639" spans="1:8" ht="45" x14ac:dyDescent="0.25">
      <c r="A2639" s="21" t="s">
        <v>6298</v>
      </c>
      <c r="B2639" s="25" t="s">
        <v>5989</v>
      </c>
      <c r="C2639" s="26">
        <v>1</v>
      </c>
      <c r="D2639" s="27" t="s">
        <v>110</v>
      </c>
      <c r="E2639" s="26">
        <v>713.2</v>
      </c>
      <c r="F2639" s="28" t="s">
        <v>618</v>
      </c>
      <c r="G2639" s="26">
        <f t="shared" ref="G2639:G2644" si="66">ROUND(C2639*E2639,0)</f>
        <v>713</v>
      </c>
      <c r="H2639" t="s">
        <v>5989</v>
      </c>
    </row>
    <row r="2640" spans="1:8" ht="45" x14ac:dyDescent="0.25">
      <c r="A2640" s="21" t="s">
        <v>6299</v>
      </c>
      <c r="B2640" s="25" t="s">
        <v>6300</v>
      </c>
      <c r="C2640" s="26">
        <v>1</v>
      </c>
      <c r="D2640" s="27" t="s">
        <v>110</v>
      </c>
      <c r="E2640" s="26">
        <v>513.25</v>
      </c>
      <c r="F2640" s="28" t="s">
        <v>618</v>
      </c>
      <c r="G2640" s="26">
        <f t="shared" si="66"/>
        <v>513</v>
      </c>
      <c r="H2640" t="s">
        <v>6300</v>
      </c>
    </row>
    <row r="2641" spans="1:8" ht="45" x14ac:dyDescent="0.25">
      <c r="A2641" s="21" t="s">
        <v>6301</v>
      </c>
      <c r="B2641" s="25" t="s">
        <v>6302</v>
      </c>
      <c r="C2641" s="26">
        <v>1</v>
      </c>
      <c r="D2641" s="27" t="s">
        <v>110</v>
      </c>
      <c r="E2641" s="26">
        <v>336</v>
      </c>
      <c r="F2641" s="28" t="s">
        <v>618</v>
      </c>
      <c r="G2641" s="26">
        <f t="shared" si="66"/>
        <v>336</v>
      </c>
      <c r="H2641" t="s">
        <v>6302</v>
      </c>
    </row>
    <row r="2642" spans="1:8" ht="90" x14ac:dyDescent="0.25">
      <c r="A2642" s="21" t="s">
        <v>6303</v>
      </c>
      <c r="B2642" s="25" t="s">
        <v>6305</v>
      </c>
      <c r="C2642" s="26">
        <v>1</v>
      </c>
      <c r="D2642" s="27" t="s">
        <v>201</v>
      </c>
      <c r="E2642" s="26">
        <v>1020.6</v>
      </c>
      <c r="F2642" s="28" t="s">
        <v>202</v>
      </c>
      <c r="G2642" s="26">
        <f t="shared" si="66"/>
        <v>1021</v>
      </c>
      <c r="H2642" t="s">
        <v>6304</v>
      </c>
    </row>
    <row r="2643" spans="1:8" ht="90" x14ac:dyDescent="0.25">
      <c r="A2643" s="21" t="s">
        <v>6306</v>
      </c>
      <c r="B2643" s="25" t="s">
        <v>6308</v>
      </c>
      <c r="C2643" s="26">
        <v>1</v>
      </c>
      <c r="D2643" s="27" t="s">
        <v>201</v>
      </c>
      <c r="E2643" s="26">
        <v>673.7</v>
      </c>
      <c r="F2643" s="28" t="s">
        <v>202</v>
      </c>
      <c r="G2643" s="26">
        <f t="shared" si="66"/>
        <v>674</v>
      </c>
      <c r="H2643" t="s">
        <v>6307</v>
      </c>
    </row>
    <row r="2644" spans="1:8" ht="60" x14ac:dyDescent="0.25">
      <c r="A2644" s="21" t="s">
        <v>6309</v>
      </c>
      <c r="B2644" s="25" t="s">
        <v>6311</v>
      </c>
      <c r="C2644" s="26">
        <v>1</v>
      </c>
      <c r="D2644" s="27" t="s">
        <v>201</v>
      </c>
      <c r="E2644" s="26">
        <v>292.55</v>
      </c>
      <c r="F2644" s="28" t="s">
        <v>202</v>
      </c>
      <c r="G2644" s="26">
        <f t="shared" si="66"/>
        <v>293</v>
      </c>
      <c r="H2644" t="s">
        <v>6310</v>
      </c>
    </row>
    <row r="2645" spans="1:8" ht="75" x14ac:dyDescent="0.25">
      <c r="A2645" s="21" t="s">
        <v>6312</v>
      </c>
      <c r="B2645" s="25" t="s">
        <v>6314</v>
      </c>
      <c r="C2645" s="26"/>
      <c r="D2645" s="27"/>
      <c r="E2645" s="26"/>
      <c r="F2645" s="28"/>
      <c r="G2645" s="26"/>
      <c r="H2645" t="s">
        <v>6313</v>
      </c>
    </row>
    <row r="2646" spans="1:8" x14ac:dyDescent="0.25">
      <c r="A2646" s="21" t="s">
        <v>6315</v>
      </c>
      <c r="B2646" s="25" t="s">
        <v>6317</v>
      </c>
      <c r="C2646" s="26">
        <v>1</v>
      </c>
      <c r="D2646" s="27" t="s">
        <v>110</v>
      </c>
      <c r="E2646" s="26">
        <v>82.8</v>
      </c>
      <c r="F2646" s="28" t="s">
        <v>68</v>
      </c>
      <c r="G2646" s="26">
        <f>ROUND(C2646*E2646,0)</f>
        <v>83</v>
      </c>
      <c r="H2646" t="s">
        <v>6316</v>
      </c>
    </row>
    <row r="2647" spans="1:8" x14ac:dyDescent="0.25">
      <c r="A2647" s="21" t="s">
        <v>6318</v>
      </c>
      <c r="B2647" s="25" t="s">
        <v>6320</v>
      </c>
      <c r="C2647" s="26">
        <v>1</v>
      </c>
      <c r="D2647" s="27" t="s">
        <v>110</v>
      </c>
      <c r="E2647" s="26">
        <v>62.95</v>
      </c>
      <c r="F2647" s="28" t="s">
        <v>68</v>
      </c>
      <c r="G2647" s="26">
        <f>ROUND(C2647*E2647,0)</f>
        <v>63</v>
      </c>
      <c r="H2647" t="s">
        <v>6319</v>
      </c>
    </row>
    <row r="2648" spans="1:8" ht="60" x14ac:dyDescent="0.25">
      <c r="A2648" s="21" t="s">
        <v>6321</v>
      </c>
      <c r="B2648" s="25" t="s">
        <v>6323</v>
      </c>
      <c r="C2648" s="26"/>
      <c r="D2648" s="27"/>
      <c r="E2648" s="26"/>
      <c r="F2648" s="28"/>
      <c r="G2648" s="26"/>
      <c r="H2648" t="s">
        <v>6322</v>
      </c>
    </row>
    <row r="2649" spans="1:8" x14ac:dyDescent="0.25">
      <c r="A2649" s="21" t="s">
        <v>6324</v>
      </c>
      <c r="B2649" s="25" t="s">
        <v>6317</v>
      </c>
      <c r="C2649" s="26">
        <v>1</v>
      </c>
      <c r="D2649" s="27" t="s">
        <v>110</v>
      </c>
      <c r="E2649" s="26">
        <v>39.5</v>
      </c>
      <c r="F2649" s="28" t="s">
        <v>68</v>
      </c>
      <c r="G2649" s="26">
        <f>ROUND(C2649*E2649,0)</f>
        <v>40</v>
      </c>
      <c r="H2649" t="s">
        <v>6325</v>
      </c>
    </row>
    <row r="2650" spans="1:8" x14ac:dyDescent="0.25">
      <c r="A2650" s="21" t="s">
        <v>6326</v>
      </c>
      <c r="B2650" s="25" t="s">
        <v>6320</v>
      </c>
      <c r="C2650" s="26">
        <v>1</v>
      </c>
      <c r="D2650" s="27" t="s">
        <v>110</v>
      </c>
      <c r="E2650" s="26">
        <v>29.55</v>
      </c>
      <c r="F2650" s="28" t="s">
        <v>68</v>
      </c>
      <c r="G2650" s="26">
        <f>ROUND(C2650*E2650,0)</f>
        <v>30</v>
      </c>
      <c r="H2650" t="s">
        <v>6327</v>
      </c>
    </row>
    <row r="2651" spans="1:8" ht="30" x14ac:dyDescent="0.25">
      <c r="A2651" s="21" t="s">
        <v>6328</v>
      </c>
      <c r="B2651" s="25" t="s">
        <v>6330</v>
      </c>
      <c r="C2651" s="26">
        <v>1</v>
      </c>
      <c r="D2651" s="27" t="s">
        <v>201</v>
      </c>
      <c r="E2651" s="26">
        <v>804.3</v>
      </c>
      <c r="F2651" s="28" t="s">
        <v>202</v>
      </c>
      <c r="G2651" s="26">
        <f>ROUND(C2651*E2651,0)</f>
        <v>804</v>
      </c>
      <c r="H2651" t="s">
        <v>6329</v>
      </c>
    </row>
    <row r="2652" spans="1:8" ht="180" x14ac:dyDescent="0.25">
      <c r="A2652" s="21" t="s">
        <v>6331</v>
      </c>
      <c r="B2652" s="25" t="s">
        <v>6333</v>
      </c>
      <c r="C2652" s="26"/>
      <c r="D2652" s="27"/>
      <c r="E2652" s="26"/>
      <c r="F2652" s="28"/>
      <c r="G2652" s="26"/>
      <c r="H2652" t="s">
        <v>6332</v>
      </c>
    </row>
    <row r="2653" spans="1:8" ht="60" x14ac:dyDescent="0.25">
      <c r="A2653" s="21" t="s">
        <v>6334</v>
      </c>
      <c r="B2653" s="25" t="s">
        <v>6336</v>
      </c>
      <c r="C2653" s="26">
        <v>1</v>
      </c>
      <c r="D2653" s="27" t="s">
        <v>201</v>
      </c>
      <c r="E2653" s="26">
        <v>11847.65</v>
      </c>
      <c r="F2653" s="28" t="s">
        <v>202</v>
      </c>
      <c r="G2653" s="26">
        <f>ROUND(C2653*E2653,0)</f>
        <v>11848</v>
      </c>
      <c r="H2653" t="s">
        <v>6335</v>
      </c>
    </row>
    <row r="2654" spans="1:8" ht="45" x14ac:dyDescent="0.25">
      <c r="A2654" s="21" t="s">
        <v>6337</v>
      </c>
      <c r="B2654" s="25" t="s">
        <v>6339</v>
      </c>
      <c r="C2654" s="26"/>
      <c r="D2654" s="27"/>
      <c r="E2654" s="26"/>
      <c r="F2654" s="28"/>
      <c r="G2654" s="26"/>
      <c r="H2654" t="s">
        <v>6338</v>
      </c>
    </row>
    <row r="2655" spans="1:8" ht="30" x14ac:dyDescent="0.25">
      <c r="A2655" s="21" t="s">
        <v>6340</v>
      </c>
      <c r="B2655" s="25" t="s">
        <v>6342</v>
      </c>
      <c r="C2655" s="26">
        <v>1</v>
      </c>
      <c r="D2655" s="27" t="s">
        <v>201</v>
      </c>
      <c r="E2655" s="26">
        <v>115.3</v>
      </c>
      <c r="F2655" s="28" t="s">
        <v>202</v>
      </c>
      <c r="G2655" s="26">
        <f>ROUND(C2655*E2655,0)</f>
        <v>115</v>
      </c>
      <c r="H2655" t="s">
        <v>6341</v>
      </c>
    </row>
    <row r="2656" spans="1:8" ht="30" x14ac:dyDescent="0.25">
      <c r="A2656" s="21" t="s">
        <v>6343</v>
      </c>
      <c r="B2656" s="25" t="s">
        <v>6345</v>
      </c>
      <c r="C2656" s="26">
        <v>1</v>
      </c>
      <c r="D2656" s="27" t="s">
        <v>201</v>
      </c>
      <c r="E2656" s="26">
        <v>122.4</v>
      </c>
      <c r="F2656" s="28" t="s">
        <v>202</v>
      </c>
      <c r="G2656" s="26">
        <f>ROUND(C2656*E2656,0)</f>
        <v>122</v>
      </c>
      <c r="H2656" t="s">
        <v>6344</v>
      </c>
    </row>
    <row r="2657" spans="1:8" ht="30" x14ac:dyDescent="0.25">
      <c r="A2657" s="21" t="s">
        <v>6346</v>
      </c>
      <c r="B2657" s="25" t="s">
        <v>6348</v>
      </c>
      <c r="C2657" s="26"/>
      <c r="D2657" s="27"/>
      <c r="E2657" s="26"/>
      <c r="F2657" s="28"/>
      <c r="G2657" s="26"/>
      <c r="H2657" t="s">
        <v>6347</v>
      </c>
    </row>
    <row r="2658" spans="1:8" ht="75" x14ac:dyDescent="0.25">
      <c r="A2658" s="21" t="s">
        <v>6349</v>
      </c>
      <c r="B2658" s="25" t="s">
        <v>6351</v>
      </c>
      <c r="C2658" s="26">
        <v>1</v>
      </c>
      <c r="D2658" s="27" t="s">
        <v>201</v>
      </c>
      <c r="E2658" s="26">
        <v>367.1</v>
      </c>
      <c r="F2658" s="28" t="s">
        <v>202</v>
      </c>
      <c r="G2658" s="26">
        <f>ROUND(C2658*E2658,0)</f>
        <v>367</v>
      </c>
      <c r="H2658" t="s">
        <v>6350</v>
      </c>
    </row>
    <row r="2659" spans="1:8" ht="75" x14ac:dyDescent="0.25">
      <c r="A2659" s="21" t="s">
        <v>6352</v>
      </c>
      <c r="B2659" s="25" t="s">
        <v>6354</v>
      </c>
      <c r="C2659" s="26">
        <v>1</v>
      </c>
      <c r="D2659" s="27" t="s">
        <v>201</v>
      </c>
      <c r="E2659" s="26">
        <v>375.65</v>
      </c>
      <c r="F2659" s="28" t="s">
        <v>202</v>
      </c>
      <c r="G2659" s="26">
        <f>ROUND(C2659*E2659,0)</f>
        <v>376</v>
      </c>
      <c r="H2659" t="s">
        <v>6353</v>
      </c>
    </row>
    <row r="2660" spans="1:8" ht="90" x14ac:dyDescent="0.25">
      <c r="A2660" s="21" t="s">
        <v>6355</v>
      </c>
      <c r="B2660" s="25" t="s">
        <v>6357</v>
      </c>
      <c r="C2660" s="26">
        <v>1</v>
      </c>
      <c r="D2660" s="27" t="s">
        <v>201</v>
      </c>
      <c r="E2660" s="26">
        <v>168.35</v>
      </c>
      <c r="F2660" s="28" t="s">
        <v>202</v>
      </c>
      <c r="G2660" s="26">
        <f>ROUND(C2660*E2660,0)</f>
        <v>168</v>
      </c>
      <c r="H2660" t="s">
        <v>6356</v>
      </c>
    </row>
    <row r="2661" spans="1:8" ht="90" x14ac:dyDescent="0.25">
      <c r="A2661" s="21" t="s">
        <v>6358</v>
      </c>
      <c r="B2661" s="25" t="s">
        <v>6360</v>
      </c>
      <c r="C2661" s="26">
        <v>1</v>
      </c>
      <c r="D2661" s="27" t="s">
        <v>201</v>
      </c>
      <c r="E2661" s="26">
        <v>231.95</v>
      </c>
      <c r="F2661" s="28" t="s">
        <v>202</v>
      </c>
      <c r="G2661" s="26">
        <f>ROUND(C2661*E2661,0)</f>
        <v>232</v>
      </c>
      <c r="H2661" t="s">
        <v>6359</v>
      </c>
    </row>
    <row r="2662" spans="1:8" ht="60" x14ac:dyDescent="0.25">
      <c r="A2662" s="21" t="s">
        <v>6361</v>
      </c>
      <c r="B2662" s="25" t="s">
        <v>6363</v>
      </c>
      <c r="C2662" s="26"/>
      <c r="D2662" s="27"/>
      <c r="E2662" s="26"/>
      <c r="F2662" s="28"/>
      <c r="G2662" s="26"/>
      <c r="H2662" t="s">
        <v>6362</v>
      </c>
    </row>
    <row r="2663" spans="1:8" ht="45" x14ac:dyDescent="0.25">
      <c r="A2663" s="21" t="s">
        <v>6364</v>
      </c>
      <c r="B2663" s="25" t="s">
        <v>6366</v>
      </c>
      <c r="C2663" s="26">
        <v>1</v>
      </c>
      <c r="D2663" s="27" t="s">
        <v>201</v>
      </c>
      <c r="E2663" s="26">
        <v>673.4</v>
      </c>
      <c r="F2663" s="28" t="s">
        <v>202</v>
      </c>
      <c r="G2663" s="26">
        <f>ROUND(C2663*E2663,0)</f>
        <v>673</v>
      </c>
      <c r="H2663" t="s">
        <v>6365</v>
      </c>
    </row>
    <row r="2664" spans="1:8" ht="45" x14ac:dyDescent="0.25">
      <c r="A2664" s="21" t="s">
        <v>6367</v>
      </c>
      <c r="B2664" s="25" t="s">
        <v>6369</v>
      </c>
      <c r="C2664" s="26">
        <v>1</v>
      </c>
      <c r="D2664" s="27" t="s">
        <v>201</v>
      </c>
      <c r="E2664" s="26">
        <v>708.95</v>
      </c>
      <c r="F2664" s="28" t="s">
        <v>202</v>
      </c>
      <c r="G2664" s="26">
        <f>ROUND(C2664*E2664,0)</f>
        <v>709</v>
      </c>
      <c r="H2664" t="s">
        <v>6368</v>
      </c>
    </row>
    <row r="2665" spans="1:8" ht="45" x14ac:dyDescent="0.25">
      <c r="A2665" s="21" t="s">
        <v>6370</v>
      </c>
      <c r="B2665" s="25" t="s">
        <v>6372</v>
      </c>
      <c r="C2665" s="26">
        <v>1</v>
      </c>
      <c r="D2665" s="27" t="s">
        <v>201</v>
      </c>
      <c r="E2665" s="26">
        <v>713.2</v>
      </c>
      <c r="F2665" s="28" t="s">
        <v>202</v>
      </c>
      <c r="G2665" s="26">
        <f>ROUND(C2665*E2665,0)</f>
        <v>713</v>
      </c>
      <c r="H2665" t="s">
        <v>6371</v>
      </c>
    </row>
    <row r="2666" spans="1:8" ht="45" x14ac:dyDescent="0.25">
      <c r="A2666" s="21" t="s">
        <v>6373</v>
      </c>
      <c r="B2666" s="25" t="s">
        <v>6375</v>
      </c>
      <c r="C2666" s="26">
        <v>1</v>
      </c>
      <c r="D2666" s="27" t="s">
        <v>201</v>
      </c>
      <c r="E2666" s="26">
        <v>107.2</v>
      </c>
      <c r="F2666" s="28" t="s">
        <v>202</v>
      </c>
      <c r="G2666" s="26">
        <f>ROUND(C2666*E2666,0)</f>
        <v>107</v>
      </c>
      <c r="H2666" t="s">
        <v>6374</v>
      </c>
    </row>
    <row r="2667" spans="1:8" ht="30" x14ac:dyDescent="0.25">
      <c r="A2667" s="21" t="s">
        <v>6376</v>
      </c>
      <c r="B2667" s="25" t="s">
        <v>6378</v>
      </c>
      <c r="C2667" s="26"/>
      <c r="D2667" s="27"/>
      <c r="E2667" s="26"/>
      <c r="F2667" s="28"/>
      <c r="G2667" s="26"/>
      <c r="H2667" t="s">
        <v>6377</v>
      </c>
    </row>
    <row r="2668" spans="1:8" ht="45" x14ac:dyDescent="0.25">
      <c r="A2668" s="21" t="s">
        <v>6379</v>
      </c>
      <c r="B2668" s="25" t="s">
        <v>6381</v>
      </c>
      <c r="C2668" s="26">
        <v>1</v>
      </c>
      <c r="D2668" s="27" t="s">
        <v>201</v>
      </c>
      <c r="E2668" s="26">
        <v>175.4</v>
      </c>
      <c r="F2668" s="28" t="s">
        <v>202</v>
      </c>
      <c r="G2668" s="26">
        <f>ROUND(C2668*E2668,0)</f>
        <v>175</v>
      </c>
      <c r="H2668" t="s">
        <v>6380</v>
      </c>
    </row>
    <row r="2669" spans="1:8" ht="210" x14ac:dyDescent="0.25">
      <c r="A2669" s="21" t="s">
        <v>6382</v>
      </c>
      <c r="B2669" s="25" t="s">
        <v>6384</v>
      </c>
      <c r="C2669" s="26"/>
      <c r="D2669" s="27"/>
      <c r="E2669" s="26"/>
      <c r="F2669" s="28"/>
      <c r="G2669" s="26"/>
      <c r="H2669" t="s">
        <v>6383</v>
      </c>
    </row>
    <row r="2670" spans="1:8" ht="30" x14ac:dyDescent="0.25">
      <c r="A2670" s="21" t="s">
        <v>6385</v>
      </c>
      <c r="B2670" s="25" t="s">
        <v>6387</v>
      </c>
      <c r="C2670" s="26">
        <v>1</v>
      </c>
      <c r="D2670" s="27" t="s">
        <v>201</v>
      </c>
      <c r="E2670" s="26">
        <v>304.05</v>
      </c>
      <c r="F2670" s="28" t="s">
        <v>202</v>
      </c>
      <c r="G2670" s="26">
        <f t="shared" ref="G2670:G2676" si="67">ROUND(C2670*E2670,0)</f>
        <v>304</v>
      </c>
      <c r="H2670" t="s">
        <v>6386</v>
      </c>
    </row>
    <row r="2671" spans="1:8" ht="30" x14ac:dyDescent="0.25">
      <c r="A2671" s="21" t="s">
        <v>6388</v>
      </c>
      <c r="B2671" s="25" t="s">
        <v>6390</v>
      </c>
      <c r="C2671" s="26">
        <v>1</v>
      </c>
      <c r="D2671" s="27" t="s">
        <v>201</v>
      </c>
      <c r="E2671" s="26">
        <v>378.1</v>
      </c>
      <c r="F2671" s="28" t="s">
        <v>202</v>
      </c>
      <c r="G2671" s="26">
        <f t="shared" si="67"/>
        <v>378</v>
      </c>
      <c r="H2671" t="s">
        <v>6389</v>
      </c>
    </row>
    <row r="2672" spans="1:8" ht="30" x14ac:dyDescent="0.25">
      <c r="A2672" s="21" t="s">
        <v>6391</v>
      </c>
      <c r="B2672" s="25" t="s">
        <v>6393</v>
      </c>
      <c r="C2672" s="26">
        <v>1</v>
      </c>
      <c r="D2672" s="27" t="s">
        <v>201</v>
      </c>
      <c r="E2672" s="26">
        <v>451.9</v>
      </c>
      <c r="F2672" s="28" t="s">
        <v>202</v>
      </c>
      <c r="G2672" s="26">
        <f t="shared" si="67"/>
        <v>452</v>
      </c>
      <c r="H2672" t="s">
        <v>6392</v>
      </c>
    </row>
    <row r="2673" spans="1:8" ht="120" x14ac:dyDescent="0.25">
      <c r="A2673" s="21" t="s">
        <v>6394</v>
      </c>
      <c r="B2673" s="25" t="s">
        <v>6396</v>
      </c>
      <c r="C2673" s="26">
        <v>1</v>
      </c>
      <c r="D2673" s="27" t="s">
        <v>201</v>
      </c>
      <c r="E2673" s="26">
        <v>14999.15</v>
      </c>
      <c r="F2673" s="28" t="s">
        <v>202</v>
      </c>
      <c r="G2673" s="26">
        <f t="shared" si="67"/>
        <v>14999</v>
      </c>
      <c r="H2673" t="s">
        <v>6395</v>
      </c>
    </row>
    <row r="2674" spans="1:8" ht="75" x14ac:dyDescent="0.25">
      <c r="A2674" s="21" t="s">
        <v>6397</v>
      </c>
      <c r="B2674" s="25" t="s">
        <v>6398</v>
      </c>
      <c r="C2674" s="26">
        <v>1</v>
      </c>
      <c r="D2674" s="27" t="s">
        <v>201</v>
      </c>
      <c r="E2674" s="26">
        <v>18088.45</v>
      </c>
      <c r="F2674" s="28" t="s">
        <v>202</v>
      </c>
      <c r="G2674" s="26">
        <f t="shared" si="67"/>
        <v>18088</v>
      </c>
      <c r="H2674" t="s">
        <v>6398</v>
      </c>
    </row>
    <row r="2675" spans="1:8" ht="120" x14ac:dyDescent="0.25">
      <c r="A2675" s="21" t="s">
        <v>6399</v>
      </c>
      <c r="B2675" s="25" t="s">
        <v>6401</v>
      </c>
      <c r="C2675" s="26">
        <v>1</v>
      </c>
      <c r="D2675" s="27" t="s">
        <v>201</v>
      </c>
      <c r="E2675" s="26">
        <v>7979.2</v>
      </c>
      <c r="F2675" s="28" t="s">
        <v>202</v>
      </c>
      <c r="G2675" s="26">
        <f t="shared" si="67"/>
        <v>7979</v>
      </c>
      <c r="H2675" t="s">
        <v>6400</v>
      </c>
    </row>
    <row r="2676" spans="1:8" ht="150" x14ac:dyDescent="0.25">
      <c r="A2676" s="21" t="s">
        <v>6402</v>
      </c>
      <c r="B2676" s="25" t="s">
        <v>6404</v>
      </c>
      <c r="C2676" s="26">
        <v>1</v>
      </c>
      <c r="D2676" s="27" t="s">
        <v>201</v>
      </c>
      <c r="E2676" s="26">
        <v>18212.900000000001</v>
      </c>
      <c r="F2676" s="28" t="s">
        <v>202</v>
      </c>
      <c r="G2676" s="26">
        <f t="shared" si="67"/>
        <v>18213</v>
      </c>
      <c r="H2676" t="s">
        <v>6403</v>
      </c>
    </row>
    <row r="2677" spans="1:8" x14ac:dyDescent="0.25">
      <c r="A2677" s="21"/>
      <c r="B2677" s="45" t="s">
        <v>6405</v>
      </c>
      <c r="C2677" s="45"/>
      <c r="D2677" s="45"/>
      <c r="E2677" s="45"/>
      <c r="F2677" s="45"/>
      <c r="G2677" s="29">
        <f>SUM(G2339:G2676)</f>
        <v>549669</v>
      </c>
    </row>
    <row r="2678" spans="1:8" x14ac:dyDescent="0.25">
      <c r="A2678" s="46" t="s">
        <v>6406</v>
      </c>
      <c r="B2678" s="47"/>
      <c r="C2678" s="47"/>
      <c r="D2678" s="47"/>
      <c r="E2678" s="47"/>
      <c r="F2678" s="47"/>
      <c r="G2678" s="47"/>
    </row>
    <row r="2679" spans="1:8" ht="195" x14ac:dyDescent="0.25">
      <c r="A2679" s="21" t="s">
        <v>6407</v>
      </c>
      <c r="B2679" s="25" t="s">
        <v>6409</v>
      </c>
      <c r="C2679" s="26"/>
      <c r="D2679" s="27"/>
      <c r="E2679" s="26"/>
      <c r="F2679" s="28"/>
      <c r="G2679" s="26"/>
      <c r="H2679" t="s">
        <v>6408</v>
      </c>
    </row>
    <row r="2680" spans="1:8" ht="45" x14ac:dyDescent="0.25">
      <c r="A2680" s="21" t="s">
        <v>6410</v>
      </c>
      <c r="B2680" s="25" t="s">
        <v>6412</v>
      </c>
      <c r="C2680" s="26">
        <v>1</v>
      </c>
      <c r="D2680" s="27" t="s">
        <v>110</v>
      </c>
      <c r="E2680" s="26">
        <v>286.75</v>
      </c>
      <c r="F2680" s="28" t="s">
        <v>618</v>
      </c>
      <c r="G2680" s="26">
        <f t="shared" ref="G2680:G2685" si="68">ROUND(C2680*E2680,0)</f>
        <v>287</v>
      </c>
      <c r="H2680" t="s">
        <v>6411</v>
      </c>
    </row>
    <row r="2681" spans="1:8" ht="45" x14ac:dyDescent="0.25">
      <c r="A2681" s="21" t="s">
        <v>6413</v>
      </c>
      <c r="B2681" s="25" t="s">
        <v>6415</v>
      </c>
      <c r="C2681" s="26">
        <v>1</v>
      </c>
      <c r="D2681" s="27" t="s">
        <v>110</v>
      </c>
      <c r="E2681" s="26">
        <v>331.2</v>
      </c>
      <c r="F2681" s="28" t="s">
        <v>618</v>
      </c>
      <c r="G2681" s="26">
        <f t="shared" si="68"/>
        <v>331</v>
      </c>
      <c r="H2681" t="s">
        <v>6414</v>
      </c>
    </row>
    <row r="2682" spans="1:8" ht="45" x14ac:dyDescent="0.25">
      <c r="A2682" s="21" t="s">
        <v>6416</v>
      </c>
      <c r="B2682" s="25" t="s">
        <v>6418</v>
      </c>
      <c r="C2682" s="26">
        <v>1</v>
      </c>
      <c r="D2682" s="27" t="s">
        <v>110</v>
      </c>
      <c r="E2682" s="26">
        <v>401.55</v>
      </c>
      <c r="F2682" s="28" t="s">
        <v>618</v>
      </c>
      <c r="G2682" s="26">
        <f t="shared" si="68"/>
        <v>402</v>
      </c>
      <c r="H2682" t="s">
        <v>6417</v>
      </c>
    </row>
    <row r="2683" spans="1:8" ht="45" x14ac:dyDescent="0.25">
      <c r="A2683" s="21" t="s">
        <v>6419</v>
      </c>
      <c r="B2683" s="25" t="s">
        <v>6421</v>
      </c>
      <c r="C2683" s="26">
        <v>1</v>
      </c>
      <c r="D2683" s="27" t="s">
        <v>110</v>
      </c>
      <c r="E2683" s="26">
        <v>529.85</v>
      </c>
      <c r="F2683" s="28" t="s">
        <v>618</v>
      </c>
      <c r="G2683" s="26">
        <f t="shared" si="68"/>
        <v>530</v>
      </c>
      <c r="H2683" t="s">
        <v>6420</v>
      </c>
    </row>
    <row r="2684" spans="1:8" ht="45" x14ac:dyDescent="0.25">
      <c r="A2684" s="21" t="s">
        <v>6422</v>
      </c>
      <c r="B2684" s="25" t="s">
        <v>6424</v>
      </c>
      <c r="C2684" s="26">
        <v>1</v>
      </c>
      <c r="D2684" s="27" t="s">
        <v>110</v>
      </c>
      <c r="E2684" s="26">
        <v>684.45</v>
      </c>
      <c r="F2684" s="28" t="s">
        <v>618</v>
      </c>
      <c r="G2684" s="26">
        <f t="shared" si="68"/>
        <v>684</v>
      </c>
      <c r="H2684" t="s">
        <v>6423</v>
      </c>
    </row>
    <row r="2685" spans="1:8" ht="45" x14ac:dyDescent="0.25">
      <c r="A2685" s="21" t="s">
        <v>6425</v>
      </c>
      <c r="B2685" s="25" t="s">
        <v>6427</v>
      </c>
      <c r="C2685" s="26">
        <v>1</v>
      </c>
      <c r="D2685" s="27" t="s">
        <v>110</v>
      </c>
      <c r="E2685" s="26">
        <v>939.7</v>
      </c>
      <c r="F2685" s="28" t="s">
        <v>618</v>
      </c>
      <c r="G2685" s="26">
        <f t="shared" si="68"/>
        <v>940</v>
      </c>
      <c r="H2685" t="s">
        <v>6426</v>
      </c>
    </row>
    <row r="2686" spans="1:8" ht="225" x14ac:dyDescent="0.25">
      <c r="A2686" s="21" t="s">
        <v>6428</v>
      </c>
      <c r="B2686" s="25" t="s">
        <v>6430</v>
      </c>
      <c r="C2686" s="26"/>
      <c r="D2686" s="27"/>
      <c r="E2686" s="26"/>
      <c r="F2686" s="28"/>
      <c r="G2686" s="26"/>
      <c r="H2686" t="s">
        <v>6429</v>
      </c>
    </row>
    <row r="2687" spans="1:8" ht="45" x14ac:dyDescent="0.25">
      <c r="A2687" s="21" t="s">
        <v>6431</v>
      </c>
      <c r="B2687" s="25" t="s">
        <v>6433</v>
      </c>
      <c r="C2687" s="26">
        <v>1</v>
      </c>
      <c r="D2687" s="27" t="s">
        <v>110</v>
      </c>
      <c r="E2687" s="26">
        <v>522.70000000000005</v>
      </c>
      <c r="F2687" s="28" t="s">
        <v>618</v>
      </c>
      <c r="G2687" s="26">
        <f>ROUND(C2687*E2687,0)</f>
        <v>523</v>
      </c>
      <c r="H2687" t="s">
        <v>6432</v>
      </c>
    </row>
    <row r="2688" spans="1:8" ht="45" x14ac:dyDescent="0.25">
      <c r="A2688" s="21" t="s">
        <v>6434</v>
      </c>
      <c r="B2688" s="25" t="s">
        <v>6415</v>
      </c>
      <c r="C2688" s="26">
        <v>1</v>
      </c>
      <c r="D2688" s="27" t="s">
        <v>110</v>
      </c>
      <c r="E2688" s="26">
        <v>557.54999999999995</v>
      </c>
      <c r="F2688" s="28" t="s">
        <v>618</v>
      </c>
      <c r="G2688" s="26">
        <f>ROUND(C2688*E2688,0)</f>
        <v>558</v>
      </c>
      <c r="H2688" t="s">
        <v>6414</v>
      </c>
    </row>
    <row r="2689" spans="1:8" ht="45" x14ac:dyDescent="0.25">
      <c r="A2689" s="21" t="s">
        <v>6435</v>
      </c>
      <c r="B2689" s="25" t="s">
        <v>6418</v>
      </c>
      <c r="C2689" s="26">
        <v>1</v>
      </c>
      <c r="D2689" s="27" t="s">
        <v>110</v>
      </c>
      <c r="E2689" s="26">
        <v>627.25</v>
      </c>
      <c r="F2689" s="28" t="s">
        <v>618</v>
      </c>
      <c r="G2689" s="26">
        <f>ROUND(C2689*E2689,0)</f>
        <v>627</v>
      </c>
      <c r="H2689" t="s">
        <v>6417</v>
      </c>
    </row>
    <row r="2690" spans="1:8" ht="45" x14ac:dyDescent="0.25">
      <c r="A2690" s="21" t="s">
        <v>6436</v>
      </c>
      <c r="B2690" s="25" t="s">
        <v>6421</v>
      </c>
      <c r="C2690" s="26">
        <v>1</v>
      </c>
      <c r="D2690" s="27" t="s">
        <v>110</v>
      </c>
      <c r="E2690" s="26">
        <v>754.2</v>
      </c>
      <c r="F2690" s="28" t="s">
        <v>618</v>
      </c>
      <c r="G2690" s="26">
        <f>ROUND(C2690*E2690,0)</f>
        <v>754</v>
      </c>
      <c r="H2690" t="s">
        <v>6420</v>
      </c>
    </row>
    <row r="2691" spans="1:8" ht="180" x14ac:dyDescent="0.25">
      <c r="A2691" s="21" t="s">
        <v>6437</v>
      </c>
      <c r="B2691" s="25" t="s">
        <v>6439</v>
      </c>
      <c r="C2691" s="26"/>
      <c r="D2691" s="27"/>
      <c r="E2691" s="26"/>
      <c r="F2691" s="28"/>
      <c r="G2691" s="26"/>
      <c r="H2691" t="s">
        <v>6438</v>
      </c>
    </row>
    <row r="2692" spans="1:8" ht="45" x14ac:dyDescent="0.25">
      <c r="A2692" s="21" t="s">
        <v>6440</v>
      </c>
      <c r="B2692" s="25" t="s">
        <v>6412</v>
      </c>
      <c r="C2692" s="26">
        <v>1</v>
      </c>
      <c r="D2692" s="27" t="s">
        <v>110</v>
      </c>
      <c r="E2692" s="26">
        <v>263.2</v>
      </c>
      <c r="F2692" s="28" t="s">
        <v>618</v>
      </c>
      <c r="G2692" s="26">
        <f t="shared" ref="G2692:G2697" si="69">ROUND(C2692*E2692,0)</f>
        <v>263</v>
      </c>
      <c r="H2692" t="s">
        <v>6432</v>
      </c>
    </row>
    <row r="2693" spans="1:8" ht="45" x14ac:dyDescent="0.25">
      <c r="A2693" s="21" t="s">
        <v>6441</v>
      </c>
      <c r="B2693" s="25" t="s">
        <v>6442</v>
      </c>
      <c r="C2693" s="26">
        <v>1</v>
      </c>
      <c r="D2693" s="27" t="s">
        <v>110</v>
      </c>
      <c r="E2693" s="26">
        <v>289.10000000000002</v>
      </c>
      <c r="F2693" s="28" t="s">
        <v>618</v>
      </c>
      <c r="G2693" s="26">
        <f t="shared" si="69"/>
        <v>289</v>
      </c>
      <c r="H2693" t="s">
        <v>6414</v>
      </c>
    </row>
    <row r="2694" spans="1:8" ht="45" x14ac:dyDescent="0.25">
      <c r="A2694" s="21" t="s">
        <v>6443</v>
      </c>
      <c r="B2694" s="25" t="s">
        <v>6444</v>
      </c>
      <c r="C2694" s="26">
        <v>1</v>
      </c>
      <c r="D2694" s="27" t="s">
        <v>110</v>
      </c>
      <c r="E2694" s="26">
        <v>340.85</v>
      </c>
      <c r="F2694" s="28" t="s">
        <v>618</v>
      </c>
      <c r="G2694" s="26">
        <f t="shared" si="69"/>
        <v>341</v>
      </c>
      <c r="H2694" t="s">
        <v>6417</v>
      </c>
    </row>
    <row r="2695" spans="1:8" ht="45" x14ac:dyDescent="0.25">
      <c r="A2695" s="21" t="s">
        <v>6445</v>
      </c>
      <c r="B2695" s="25" t="s">
        <v>6446</v>
      </c>
      <c r="C2695" s="26">
        <v>1</v>
      </c>
      <c r="D2695" s="27" t="s">
        <v>110</v>
      </c>
      <c r="E2695" s="26">
        <v>435.2</v>
      </c>
      <c r="F2695" s="28" t="s">
        <v>618</v>
      </c>
      <c r="G2695" s="26">
        <f t="shared" si="69"/>
        <v>435</v>
      </c>
      <c r="H2695" t="s">
        <v>6420</v>
      </c>
    </row>
    <row r="2696" spans="1:8" ht="45" x14ac:dyDescent="0.25">
      <c r="A2696" s="21" t="s">
        <v>6447</v>
      </c>
      <c r="B2696" s="25" t="s">
        <v>6448</v>
      </c>
      <c r="C2696" s="26">
        <v>1</v>
      </c>
      <c r="D2696" s="27" t="s">
        <v>110</v>
      </c>
      <c r="E2696" s="26">
        <v>544.54999999999995</v>
      </c>
      <c r="F2696" s="28" t="s">
        <v>618</v>
      </c>
      <c r="G2696" s="26">
        <f t="shared" si="69"/>
        <v>545</v>
      </c>
      <c r="H2696" t="s">
        <v>6423</v>
      </c>
    </row>
    <row r="2697" spans="1:8" ht="45" x14ac:dyDescent="0.25">
      <c r="A2697" s="21" t="s">
        <v>6449</v>
      </c>
      <c r="B2697" s="25" t="s">
        <v>6450</v>
      </c>
      <c r="C2697" s="26">
        <v>1</v>
      </c>
      <c r="D2697" s="27" t="s">
        <v>110</v>
      </c>
      <c r="E2697" s="26">
        <v>799.8</v>
      </c>
      <c r="F2697" s="28" t="s">
        <v>618</v>
      </c>
      <c r="G2697" s="26">
        <f t="shared" si="69"/>
        <v>800</v>
      </c>
      <c r="H2697" t="s">
        <v>6426</v>
      </c>
    </row>
    <row r="2698" spans="1:8" ht="150" x14ac:dyDescent="0.25">
      <c r="A2698" s="21" t="s">
        <v>6451</v>
      </c>
      <c r="B2698" s="25" t="s">
        <v>6453</v>
      </c>
      <c r="C2698" s="26"/>
      <c r="D2698" s="27"/>
      <c r="E2698" s="26"/>
      <c r="F2698" s="28"/>
      <c r="G2698" s="26"/>
      <c r="H2698" t="s">
        <v>6452</v>
      </c>
    </row>
    <row r="2699" spans="1:8" ht="45" x14ac:dyDescent="0.25">
      <c r="A2699" s="21" t="s">
        <v>6454</v>
      </c>
      <c r="B2699" s="25" t="s">
        <v>6456</v>
      </c>
      <c r="C2699" s="26">
        <v>1</v>
      </c>
      <c r="D2699" s="27" t="s">
        <v>110</v>
      </c>
      <c r="E2699" s="26">
        <v>272</v>
      </c>
      <c r="F2699" s="28" t="s">
        <v>618</v>
      </c>
      <c r="G2699" s="26">
        <f>ROUND(C2699*E2699,0)</f>
        <v>272</v>
      </c>
      <c r="H2699" t="s">
        <v>6455</v>
      </c>
    </row>
    <row r="2700" spans="1:8" ht="45" x14ac:dyDescent="0.25">
      <c r="A2700" s="21" t="s">
        <v>6457</v>
      </c>
      <c r="B2700" s="25" t="s">
        <v>6459</v>
      </c>
      <c r="C2700" s="26">
        <v>1</v>
      </c>
      <c r="D2700" s="27" t="s">
        <v>110</v>
      </c>
      <c r="E2700" s="26">
        <v>318.35000000000002</v>
      </c>
      <c r="F2700" s="28" t="s">
        <v>618</v>
      </c>
      <c r="G2700" s="26">
        <f>ROUND(C2700*E2700,0)</f>
        <v>318</v>
      </c>
      <c r="H2700" t="s">
        <v>6458</v>
      </c>
    </row>
    <row r="2701" spans="1:8" ht="45" x14ac:dyDescent="0.25">
      <c r="A2701" s="21" t="s">
        <v>6460</v>
      </c>
      <c r="B2701" s="25" t="s">
        <v>6462</v>
      </c>
      <c r="C2701" s="26">
        <v>1</v>
      </c>
      <c r="D2701" s="27" t="s">
        <v>110</v>
      </c>
      <c r="E2701" s="26">
        <v>362.9</v>
      </c>
      <c r="F2701" s="28" t="s">
        <v>618</v>
      </c>
      <c r="G2701" s="26">
        <f>ROUND(C2701*E2701,0)</f>
        <v>363</v>
      </c>
      <c r="H2701" t="s">
        <v>6461</v>
      </c>
    </row>
    <row r="2702" spans="1:8" ht="45" x14ac:dyDescent="0.25">
      <c r="A2702" s="21" t="s">
        <v>6463</v>
      </c>
      <c r="B2702" s="25" t="s">
        <v>6465</v>
      </c>
      <c r="C2702" s="26">
        <v>1</v>
      </c>
      <c r="D2702" s="27" t="s">
        <v>110</v>
      </c>
      <c r="E2702" s="26">
        <v>545.75</v>
      </c>
      <c r="F2702" s="28" t="s">
        <v>618</v>
      </c>
      <c r="G2702" s="26">
        <f>ROUND(C2702*E2702,0)</f>
        <v>546</v>
      </c>
      <c r="H2702" t="s">
        <v>6464</v>
      </c>
    </row>
    <row r="2703" spans="1:8" ht="45" x14ac:dyDescent="0.25">
      <c r="A2703" s="21" t="s">
        <v>6466</v>
      </c>
      <c r="B2703" s="25" t="s">
        <v>6468</v>
      </c>
      <c r="C2703" s="26">
        <v>1</v>
      </c>
      <c r="D2703" s="27" t="s">
        <v>110</v>
      </c>
      <c r="E2703" s="26">
        <v>580.1</v>
      </c>
      <c r="F2703" s="28" t="s">
        <v>618</v>
      </c>
      <c r="G2703" s="26">
        <f>ROUND(C2703*E2703,0)</f>
        <v>580</v>
      </c>
      <c r="H2703" t="s">
        <v>6467</v>
      </c>
    </row>
    <row r="2704" spans="1:8" ht="180" x14ac:dyDescent="0.25">
      <c r="A2704" s="21" t="s">
        <v>6469</v>
      </c>
      <c r="B2704" s="25" t="s">
        <v>6471</v>
      </c>
      <c r="C2704" s="26"/>
      <c r="D2704" s="27"/>
      <c r="E2704" s="26"/>
      <c r="F2704" s="28"/>
      <c r="G2704" s="26"/>
      <c r="H2704" t="s">
        <v>6470</v>
      </c>
    </row>
    <row r="2705" spans="1:8" ht="45" x14ac:dyDescent="0.25">
      <c r="A2705" s="21" t="s">
        <v>6472</v>
      </c>
      <c r="B2705" s="25" t="s">
        <v>6456</v>
      </c>
      <c r="C2705" s="26">
        <v>1</v>
      </c>
      <c r="D2705" s="27" t="s">
        <v>110</v>
      </c>
      <c r="E2705" s="26">
        <v>477.85</v>
      </c>
      <c r="F2705" s="28" t="s">
        <v>618</v>
      </c>
      <c r="G2705" s="26">
        <f>ROUND(C2705*E2705,0)</f>
        <v>478</v>
      </c>
      <c r="H2705" t="s">
        <v>6455</v>
      </c>
    </row>
    <row r="2706" spans="1:8" ht="45" x14ac:dyDescent="0.25">
      <c r="A2706" s="21" t="s">
        <v>6473</v>
      </c>
      <c r="B2706" s="25" t="s">
        <v>6459</v>
      </c>
      <c r="C2706" s="26">
        <v>1</v>
      </c>
      <c r="D2706" s="27" t="s">
        <v>110</v>
      </c>
      <c r="E2706" s="26">
        <v>515.20000000000005</v>
      </c>
      <c r="F2706" s="28" t="s">
        <v>618</v>
      </c>
      <c r="G2706" s="26">
        <f>ROUND(C2706*E2706,0)</f>
        <v>515</v>
      </c>
      <c r="H2706" t="s">
        <v>6458</v>
      </c>
    </row>
    <row r="2707" spans="1:8" ht="45" x14ac:dyDescent="0.25">
      <c r="A2707" s="21" t="s">
        <v>6474</v>
      </c>
      <c r="B2707" s="25" t="s">
        <v>6462</v>
      </c>
      <c r="C2707" s="26">
        <v>1</v>
      </c>
      <c r="D2707" s="27" t="s">
        <v>110</v>
      </c>
      <c r="E2707" s="26">
        <v>561.45000000000005</v>
      </c>
      <c r="F2707" s="28" t="s">
        <v>618</v>
      </c>
      <c r="G2707" s="26">
        <f>ROUND(C2707*E2707,0)</f>
        <v>561</v>
      </c>
      <c r="H2707" t="s">
        <v>6461</v>
      </c>
    </row>
    <row r="2708" spans="1:8" ht="135" x14ac:dyDescent="0.25">
      <c r="A2708" s="21" t="s">
        <v>6475</v>
      </c>
      <c r="B2708" s="25" t="s">
        <v>6477</v>
      </c>
      <c r="C2708" s="26"/>
      <c r="D2708" s="27"/>
      <c r="E2708" s="26"/>
      <c r="F2708" s="28"/>
      <c r="G2708" s="26"/>
      <c r="H2708" t="s">
        <v>6476</v>
      </c>
    </row>
    <row r="2709" spans="1:8" ht="45" x14ac:dyDescent="0.25">
      <c r="A2709" s="21" t="s">
        <v>6478</v>
      </c>
      <c r="B2709" s="25" t="s">
        <v>6456</v>
      </c>
      <c r="C2709" s="26">
        <v>1</v>
      </c>
      <c r="D2709" s="27" t="s">
        <v>110</v>
      </c>
      <c r="E2709" s="26">
        <v>224.95</v>
      </c>
      <c r="F2709" s="28" t="s">
        <v>618</v>
      </c>
      <c r="G2709" s="26">
        <f t="shared" ref="G2709:G2718" si="70">ROUND(C2709*E2709,0)</f>
        <v>225</v>
      </c>
      <c r="H2709" t="s">
        <v>6479</v>
      </c>
    </row>
    <row r="2710" spans="1:8" ht="45" x14ac:dyDescent="0.25">
      <c r="A2710" s="21" t="s">
        <v>6480</v>
      </c>
      <c r="B2710" s="25" t="s">
        <v>6482</v>
      </c>
      <c r="C2710" s="26">
        <v>1</v>
      </c>
      <c r="D2710" s="27" t="s">
        <v>110</v>
      </c>
      <c r="E2710" s="26">
        <v>265.05</v>
      </c>
      <c r="F2710" s="28" t="s">
        <v>618</v>
      </c>
      <c r="G2710" s="26">
        <f t="shared" si="70"/>
        <v>265</v>
      </c>
      <c r="H2710" t="s">
        <v>6481</v>
      </c>
    </row>
    <row r="2711" spans="1:8" ht="45" x14ac:dyDescent="0.25">
      <c r="A2711" s="21" t="s">
        <v>6483</v>
      </c>
      <c r="B2711" s="25" t="s">
        <v>6485</v>
      </c>
      <c r="C2711" s="26">
        <v>1</v>
      </c>
      <c r="D2711" s="27" t="s">
        <v>110</v>
      </c>
      <c r="E2711" s="26">
        <v>316.25</v>
      </c>
      <c r="F2711" s="28" t="s">
        <v>618</v>
      </c>
      <c r="G2711" s="26">
        <f t="shared" si="70"/>
        <v>316</v>
      </c>
      <c r="H2711" t="s">
        <v>6484</v>
      </c>
    </row>
    <row r="2712" spans="1:8" ht="45" x14ac:dyDescent="0.25">
      <c r="A2712" s="21" t="s">
        <v>6486</v>
      </c>
      <c r="B2712" s="25" t="s">
        <v>6488</v>
      </c>
      <c r="C2712" s="26">
        <v>1</v>
      </c>
      <c r="D2712" s="27" t="s">
        <v>110</v>
      </c>
      <c r="E2712" s="26">
        <v>415.1</v>
      </c>
      <c r="F2712" s="28" t="s">
        <v>618</v>
      </c>
      <c r="G2712" s="26">
        <f t="shared" si="70"/>
        <v>415</v>
      </c>
      <c r="H2712" t="s">
        <v>6487</v>
      </c>
    </row>
    <row r="2713" spans="1:8" ht="45" x14ac:dyDescent="0.25">
      <c r="A2713" s="21" t="s">
        <v>6489</v>
      </c>
      <c r="B2713" s="25" t="s">
        <v>6491</v>
      </c>
      <c r="C2713" s="26">
        <v>1</v>
      </c>
      <c r="D2713" s="27" t="s">
        <v>110</v>
      </c>
      <c r="E2713" s="26">
        <v>450.95</v>
      </c>
      <c r="F2713" s="28" t="s">
        <v>618</v>
      </c>
      <c r="G2713" s="26">
        <f t="shared" si="70"/>
        <v>451</v>
      </c>
      <c r="H2713" t="s">
        <v>6490</v>
      </c>
    </row>
    <row r="2714" spans="1:8" ht="45" x14ac:dyDescent="0.25">
      <c r="A2714" s="21" t="s">
        <v>6492</v>
      </c>
      <c r="B2714" s="25" t="s">
        <v>6494</v>
      </c>
      <c r="C2714" s="26">
        <v>1</v>
      </c>
      <c r="D2714" s="27" t="s">
        <v>110</v>
      </c>
      <c r="E2714" s="26">
        <v>597.75</v>
      </c>
      <c r="F2714" s="28" t="s">
        <v>618</v>
      </c>
      <c r="G2714" s="26">
        <f t="shared" si="70"/>
        <v>598</v>
      </c>
      <c r="H2714" t="s">
        <v>6493</v>
      </c>
    </row>
    <row r="2715" spans="1:8" ht="45" x14ac:dyDescent="0.25">
      <c r="A2715" s="21" t="s">
        <v>6495</v>
      </c>
      <c r="B2715" s="25" t="s">
        <v>6497</v>
      </c>
      <c r="C2715" s="26">
        <v>1</v>
      </c>
      <c r="D2715" s="27" t="s">
        <v>110</v>
      </c>
      <c r="E2715" s="26">
        <v>696.75</v>
      </c>
      <c r="F2715" s="28" t="s">
        <v>618</v>
      </c>
      <c r="G2715" s="26">
        <f t="shared" si="70"/>
        <v>697</v>
      </c>
      <c r="H2715" t="s">
        <v>6496</v>
      </c>
    </row>
    <row r="2716" spans="1:8" ht="45" x14ac:dyDescent="0.25">
      <c r="A2716" s="21" t="s">
        <v>6498</v>
      </c>
      <c r="B2716" s="25" t="s">
        <v>6500</v>
      </c>
      <c r="C2716" s="26">
        <v>1</v>
      </c>
      <c r="D2716" s="27" t="s">
        <v>110</v>
      </c>
      <c r="E2716" s="26">
        <v>975.3</v>
      </c>
      <c r="F2716" s="28" t="s">
        <v>618</v>
      </c>
      <c r="G2716" s="26">
        <f t="shared" si="70"/>
        <v>975</v>
      </c>
      <c r="H2716" t="s">
        <v>6499</v>
      </c>
    </row>
    <row r="2717" spans="1:8" ht="45" x14ac:dyDescent="0.25">
      <c r="A2717" s="21" t="s">
        <v>6501</v>
      </c>
      <c r="B2717" s="25" t="s">
        <v>6503</v>
      </c>
      <c r="C2717" s="26">
        <v>1</v>
      </c>
      <c r="D2717" s="27" t="s">
        <v>110</v>
      </c>
      <c r="E2717" s="26">
        <v>1301.3499999999999</v>
      </c>
      <c r="F2717" s="28" t="s">
        <v>618</v>
      </c>
      <c r="G2717" s="26">
        <f t="shared" si="70"/>
        <v>1301</v>
      </c>
      <c r="H2717" t="s">
        <v>6502</v>
      </c>
    </row>
    <row r="2718" spans="1:8" ht="45" x14ac:dyDescent="0.25">
      <c r="A2718" s="21" t="s">
        <v>6504</v>
      </c>
      <c r="B2718" s="25" t="s">
        <v>6506</v>
      </c>
      <c r="C2718" s="26">
        <v>1</v>
      </c>
      <c r="D2718" s="27" t="s">
        <v>110</v>
      </c>
      <c r="E2718" s="26">
        <v>2746.85</v>
      </c>
      <c r="F2718" s="28" t="s">
        <v>618</v>
      </c>
      <c r="G2718" s="26">
        <f t="shared" si="70"/>
        <v>2747</v>
      </c>
      <c r="H2718" t="s">
        <v>6505</v>
      </c>
    </row>
    <row r="2719" spans="1:8" x14ac:dyDescent="0.25">
      <c r="A2719" s="21" t="s">
        <v>6507</v>
      </c>
      <c r="B2719" s="25" t="s">
        <v>6508</v>
      </c>
      <c r="C2719" s="26"/>
      <c r="D2719" s="27"/>
      <c r="E2719" s="26"/>
      <c r="F2719" s="28"/>
      <c r="G2719" s="26"/>
      <c r="H2719" t="s">
        <v>105</v>
      </c>
    </row>
    <row r="2720" spans="1:8" x14ac:dyDescent="0.25">
      <c r="A2720" s="21" t="s">
        <v>6509</v>
      </c>
      <c r="B2720" s="25" t="s">
        <v>6510</v>
      </c>
      <c r="C2720" s="26">
        <v>1</v>
      </c>
      <c r="D2720" s="27" t="s">
        <v>201</v>
      </c>
      <c r="E2720" s="26">
        <v>315.5</v>
      </c>
      <c r="F2720" s="28" t="s">
        <v>202</v>
      </c>
      <c r="G2720" s="26">
        <f t="shared" ref="G2720:G2726" si="71">ROUND(C2720*E2720,0)</f>
        <v>316</v>
      </c>
      <c r="H2720" t="s">
        <v>105</v>
      </c>
    </row>
    <row r="2721" spans="1:8" x14ac:dyDescent="0.25">
      <c r="A2721" s="21" t="s">
        <v>6511</v>
      </c>
      <c r="B2721" s="25" t="s">
        <v>6512</v>
      </c>
      <c r="C2721" s="26">
        <v>1</v>
      </c>
      <c r="D2721" s="27" t="s">
        <v>201</v>
      </c>
      <c r="E2721" s="26">
        <v>334</v>
      </c>
      <c r="F2721" s="28" t="s">
        <v>202</v>
      </c>
      <c r="G2721" s="26">
        <f t="shared" si="71"/>
        <v>334</v>
      </c>
      <c r="H2721" t="s">
        <v>105</v>
      </c>
    </row>
    <row r="2722" spans="1:8" x14ac:dyDescent="0.25">
      <c r="A2722" s="21" t="s">
        <v>6513</v>
      </c>
      <c r="B2722" s="25" t="s">
        <v>6514</v>
      </c>
      <c r="C2722" s="26">
        <v>1</v>
      </c>
      <c r="D2722" s="27" t="s">
        <v>201</v>
      </c>
      <c r="E2722" s="26">
        <v>403.7</v>
      </c>
      <c r="F2722" s="28" t="s">
        <v>202</v>
      </c>
      <c r="G2722" s="26">
        <f t="shared" si="71"/>
        <v>404</v>
      </c>
      <c r="H2722" t="s">
        <v>105</v>
      </c>
    </row>
    <row r="2723" spans="1:8" x14ac:dyDescent="0.25">
      <c r="A2723" s="21" t="s">
        <v>6515</v>
      </c>
      <c r="B2723" s="25" t="s">
        <v>6516</v>
      </c>
      <c r="C2723" s="26">
        <v>1</v>
      </c>
      <c r="D2723" s="27" t="s">
        <v>201</v>
      </c>
      <c r="E2723" s="26">
        <v>543.1</v>
      </c>
      <c r="F2723" s="28" t="s">
        <v>202</v>
      </c>
      <c r="G2723" s="26">
        <f t="shared" si="71"/>
        <v>543</v>
      </c>
      <c r="H2723" t="s">
        <v>105</v>
      </c>
    </row>
    <row r="2724" spans="1:8" x14ac:dyDescent="0.25">
      <c r="A2724" s="21" t="s">
        <v>6517</v>
      </c>
      <c r="B2724" s="25" t="s">
        <v>6518</v>
      </c>
      <c r="C2724" s="26">
        <v>1</v>
      </c>
      <c r="D2724" s="27" t="s">
        <v>201</v>
      </c>
      <c r="E2724" s="26">
        <v>782.1</v>
      </c>
      <c r="F2724" s="28" t="s">
        <v>202</v>
      </c>
      <c r="G2724" s="26">
        <f t="shared" si="71"/>
        <v>782</v>
      </c>
      <c r="H2724" t="s">
        <v>105</v>
      </c>
    </row>
    <row r="2725" spans="1:8" x14ac:dyDescent="0.25">
      <c r="A2725" s="21" t="s">
        <v>6519</v>
      </c>
      <c r="B2725" s="25" t="s">
        <v>6520</v>
      </c>
      <c r="C2725" s="26">
        <v>1</v>
      </c>
      <c r="D2725" s="27" t="s">
        <v>201</v>
      </c>
      <c r="E2725" s="26">
        <v>913</v>
      </c>
      <c r="F2725" s="28" t="s">
        <v>202</v>
      </c>
      <c r="G2725" s="26">
        <f t="shared" si="71"/>
        <v>913</v>
      </c>
      <c r="H2725" t="s">
        <v>105</v>
      </c>
    </row>
    <row r="2726" spans="1:8" x14ac:dyDescent="0.25">
      <c r="A2726" s="21" t="s">
        <v>6521</v>
      </c>
      <c r="B2726" s="25" t="s">
        <v>6522</v>
      </c>
      <c r="C2726" s="26">
        <v>1</v>
      </c>
      <c r="D2726" s="27" t="s">
        <v>201</v>
      </c>
      <c r="E2726" s="26">
        <v>1684.05</v>
      </c>
      <c r="F2726" s="28" t="s">
        <v>202</v>
      </c>
      <c r="G2726" s="26">
        <f t="shared" si="71"/>
        <v>1684</v>
      </c>
      <c r="H2726" t="s">
        <v>105</v>
      </c>
    </row>
    <row r="2727" spans="1:8" ht="135" x14ac:dyDescent="0.25">
      <c r="A2727" s="21" t="s">
        <v>6523</v>
      </c>
      <c r="B2727" s="25" t="s">
        <v>6525</v>
      </c>
      <c r="C2727" s="26"/>
      <c r="D2727" s="27"/>
      <c r="E2727" s="26"/>
      <c r="F2727" s="28"/>
      <c r="G2727" s="26"/>
      <c r="H2727" t="s">
        <v>6524</v>
      </c>
    </row>
    <row r="2728" spans="1:8" ht="45" x14ac:dyDescent="0.25">
      <c r="A2728" s="21" t="s">
        <v>6526</v>
      </c>
      <c r="B2728" s="25" t="s">
        <v>6528</v>
      </c>
      <c r="C2728" s="26">
        <v>1</v>
      </c>
      <c r="D2728" s="27" t="s">
        <v>110</v>
      </c>
      <c r="E2728" s="26">
        <v>286.8</v>
      </c>
      <c r="F2728" s="28" t="s">
        <v>618</v>
      </c>
      <c r="G2728" s="26">
        <f t="shared" ref="G2728:G2733" si="72">ROUND(C2728*E2728,0)</f>
        <v>287</v>
      </c>
      <c r="H2728" t="s">
        <v>6527</v>
      </c>
    </row>
    <row r="2729" spans="1:8" ht="45" x14ac:dyDescent="0.25">
      <c r="A2729" s="21" t="s">
        <v>6529</v>
      </c>
      <c r="B2729" s="25" t="s">
        <v>6531</v>
      </c>
      <c r="C2729" s="26">
        <v>1</v>
      </c>
      <c r="D2729" s="27" t="s">
        <v>110</v>
      </c>
      <c r="E2729" s="26">
        <v>335</v>
      </c>
      <c r="F2729" s="28" t="s">
        <v>618</v>
      </c>
      <c r="G2729" s="26">
        <f t="shared" si="72"/>
        <v>335</v>
      </c>
      <c r="H2729" t="s">
        <v>6530</v>
      </c>
    </row>
    <row r="2730" spans="1:8" ht="45" x14ac:dyDescent="0.25">
      <c r="A2730" s="21" t="s">
        <v>6532</v>
      </c>
      <c r="B2730" s="25" t="s">
        <v>6534</v>
      </c>
      <c r="C2730" s="26">
        <v>1</v>
      </c>
      <c r="D2730" s="27" t="s">
        <v>110</v>
      </c>
      <c r="E2730" s="26">
        <v>401.55</v>
      </c>
      <c r="F2730" s="28" t="s">
        <v>618</v>
      </c>
      <c r="G2730" s="26">
        <f t="shared" si="72"/>
        <v>402</v>
      </c>
      <c r="H2730" t="s">
        <v>6533</v>
      </c>
    </row>
    <row r="2731" spans="1:8" ht="45" x14ac:dyDescent="0.25">
      <c r="A2731" s="21" t="s">
        <v>6535</v>
      </c>
      <c r="B2731" s="25" t="s">
        <v>6537</v>
      </c>
      <c r="C2731" s="26">
        <v>1</v>
      </c>
      <c r="D2731" s="27" t="s">
        <v>110</v>
      </c>
      <c r="E2731" s="26">
        <v>518.75</v>
      </c>
      <c r="F2731" s="28" t="s">
        <v>618</v>
      </c>
      <c r="G2731" s="26">
        <f t="shared" si="72"/>
        <v>519</v>
      </c>
      <c r="H2731" t="s">
        <v>6536</v>
      </c>
    </row>
    <row r="2732" spans="1:8" ht="45" x14ac:dyDescent="0.25">
      <c r="A2732" s="21" t="s">
        <v>6538</v>
      </c>
      <c r="B2732" s="25" t="s">
        <v>6540</v>
      </c>
      <c r="C2732" s="26">
        <v>1</v>
      </c>
      <c r="D2732" s="27" t="s">
        <v>110</v>
      </c>
      <c r="E2732" s="26">
        <v>702.95</v>
      </c>
      <c r="F2732" s="28" t="s">
        <v>618</v>
      </c>
      <c r="G2732" s="26">
        <f t="shared" si="72"/>
        <v>703</v>
      </c>
      <c r="H2732" t="s">
        <v>6539</v>
      </c>
    </row>
    <row r="2733" spans="1:8" ht="45" x14ac:dyDescent="0.25">
      <c r="A2733" s="21" t="s">
        <v>6541</v>
      </c>
      <c r="B2733" s="25" t="s">
        <v>6543</v>
      </c>
      <c r="C2733" s="26">
        <v>1</v>
      </c>
      <c r="D2733" s="27" t="s">
        <v>110</v>
      </c>
      <c r="E2733" s="26">
        <v>934.15</v>
      </c>
      <c r="F2733" s="28" t="s">
        <v>618</v>
      </c>
      <c r="G2733" s="26">
        <f t="shared" si="72"/>
        <v>934</v>
      </c>
      <c r="H2733" t="s">
        <v>6542</v>
      </c>
    </row>
    <row r="2734" spans="1:8" ht="165" x14ac:dyDescent="0.25">
      <c r="A2734" s="21" t="s">
        <v>6544</v>
      </c>
      <c r="B2734" s="25" t="s">
        <v>6546</v>
      </c>
      <c r="C2734" s="26"/>
      <c r="D2734" s="27"/>
      <c r="E2734" s="26"/>
      <c r="F2734" s="28"/>
      <c r="G2734" s="26"/>
      <c r="H2734" t="s">
        <v>6545</v>
      </c>
    </row>
    <row r="2735" spans="1:8" ht="45" x14ac:dyDescent="0.25">
      <c r="A2735" s="21" t="s">
        <v>6547</v>
      </c>
      <c r="B2735" s="25" t="s">
        <v>6548</v>
      </c>
      <c r="C2735" s="26">
        <v>1</v>
      </c>
      <c r="D2735" s="27" t="s">
        <v>110</v>
      </c>
      <c r="E2735" s="26">
        <v>497.8</v>
      </c>
      <c r="F2735" s="28" t="s">
        <v>618</v>
      </c>
      <c r="G2735" s="26">
        <f>ROUND(C2735*E2735,0)</f>
        <v>498</v>
      </c>
      <c r="H2735" t="s">
        <v>6527</v>
      </c>
    </row>
    <row r="2736" spans="1:8" ht="45" x14ac:dyDescent="0.25">
      <c r="A2736" s="21" t="s">
        <v>6549</v>
      </c>
      <c r="B2736" s="25" t="s">
        <v>6550</v>
      </c>
      <c r="C2736" s="26">
        <v>1</v>
      </c>
      <c r="D2736" s="27" t="s">
        <v>110</v>
      </c>
      <c r="E2736" s="26">
        <v>537.6</v>
      </c>
      <c r="F2736" s="28" t="s">
        <v>618</v>
      </c>
      <c r="G2736" s="26">
        <f>ROUND(C2736*E2736,0)</f>
        <v>538</v>
      </c>
      <c r="H2736" t="s">
        <v>6530</v>
      </c>
    </row>
    <row r="2737" spans="1:8" ht="45" x14ac:dyDescent="0.25">
      <c r="A2737" s="21" t="s">
        <v>6551</v>
      </c>
      <c r="B2737" s="25" t="s">
        <v>6534</v>
      </c>
      <c r="C2737" s="26">
        <v>1</v>
      </c>
      <c r="D2737" s="27" t="s">
        <v>110</v>
      </c>
      <c r="E2737" s="26">
        <v>627.25</v>
      </c>
      <c r="F2737" s="28" t="s">
        <v>618</v>
      </c>
      <c r="G2737" s="26">
        <f>ROUND(C2737*E2737,0)</f>
        <v>627</v>
      </c>
      <c r="H2737" t="s">
        <v>6533</v>
      </c>
    </row>
    <row r="2738" spans="1:8" ht="45" x14ac:dyDescent="0.25">
      <c r="A2738" s="21" t="s">
        <v>6552</v>
      </c>
      <c r="B2738" s="25" t="s">
        <v>6553</v>
      </c>
      <c r="C2738" s="26">
        <v>1</v>
      </c>
      <c r="D2738" s="27" t="s">
        <v>110</v>
      </c>
      <c r="E2738" s="26">
        <v>739.3</v>
      </c>
      <c r="F2738" s="28" t="s">
        <v>618</v>
      </c>
      <c r="G2738" s="26">
        <f>ROUND(C2738*E2738,0)</f>
        <v>739</v>
      </c>
      <c r="H2738" t="s">
        <v>6536</v>
      </c>
    </row>
    <row r="2739" spans="1:8" ht="120" x14ac:dyDescent="0.25">
      <c r="A2739" s="21" t="s">
        <v>6554</v>
      </c>
      <c r="B2739" s="25" t="s">
        <v>6556</v>
      </c>
      <c r="C2739" s="26"/>
      <c r="D2739" s="27"/>
      <c r="E2739" s="26"/>
      <c r="F2739" s="28"/>
      <c r="G2739" s="26"/>
      <c r="H2739" t="s">
        <v>6555</v>
      </c>
    </row>
    <row r="2740" spans="1:8" ht="45" x14ac:dyDescent="0.25">
      <c r="A2740" s="21" t="s">
        <v>6557</v>
      </c>
      <c r="B2740" s="25" t="s">
        <v>6528</v>
      </c>
      <c r="C2740" s="26">
        <v>1</v>
      </c>
      <c r="D2740" s="27" t="s">
        <v>110</v>
      </c>
      <c r="E2740" s="26">
        <v>244.7</v>
      </c>
      <c r="F2740" s="28" t="s">
        <v>618</v>
      </c>
      <c r="G2740" s="26">
        <f t="shared" ref="G2740:G2749" si="73">ROUND(C2740*E2740,0)</f>
        <v>245</v>
      </c>
      <c r="H2740" t="s">
        <v>6527</v>
      </c>
    </row>
    <row r="2741" spans="1:8" ht="45" x14ac:dyDescent="0.25">
      <c r="A2741" s="21" t="s">
        <v>6558</v>
      </c>
      <c r="B2741" s="25" t="s">
        <v>6531</v>
      </c>
      <c r="C2741" s="26">
        <v>1</v>
      </c>
      <c r="D2741" s="27" t="s">
        <v>110</v>
      </c>
      <c r="E2741" s="26">
        <v>274.3</v>
      </c>
      <c r="F2741" s="28" t="s">
        <v>618</v>
      </c>
      <c r="G2741" s="26">
        <f t="shared" si="73"/>
        <v>274</v>
      </c>
      <c r="H2741" t="s">
        <v>6530</v>
      </c>
    </row>
    <row r="2742" spans="1:8" ht="45" x14ac:dyDescent="0.25">
      <c r="A2742" s="21" t="s">
        <v>6559</v>
      </c>
      <c r="B2742" s="25" t="s">
        <v>6560</v>
      </c>
      <c r="C2742" s="26">
        <v>1</v>
      </c>
      <c r="D2742" s="27" t="s">
        <v>110</v>
      </c>
      <c r="E2742" s="26">
        <v>355.4</v>
      </c>
      <c r="F2742" s="28" t="s">
        <v>618</v>
      </c>
      <c r="G2742" s="26">
        <f t="shared" si="73"/>
        <v>355</v>
      </c>
      <c r="H2742" t="s">
        <v>6533</v>
      </c>
    </row>
    <row r="2743" spans="1:8" ht="45" x14ac:dyDescent="0.25">
      <c r="A2743" s="21" t="s">
        <v>6561</v>
      </c>
      <c r="B2743" s="25" t="s">
        <v>6537</v>
      </c>
      <c r="C2743" s="26">
        <v>1</v>
      </c>
      <c r="D2743" s="27" t="s">
        <v>110</v>
      </c>
      <c r="E2743" s="26">
        <v>438.6</v>
      </c>
      <c r="F2743" s="28" t="s">
        <v>618</v>
      </c>
      <c r="G2743" s="26">
        <f t="shared" si="73"/>
        <v>439</v>
      </c>
      <c r="H2743" t="s">
        <v>6536</v>
      </c>
    </row>
    <row r="2744" spans="1:8" ht="45" x14ac:dyDescent="0.25">
      <c r="A2744" s="21" t="s">
        <v>6562</v>
      </c>
      <c r="B2744" s="25" t="s">
        <v>6540</v>
      </c>
      <c r="C2744" s="26">
        <v>1</v>
      </c>
      <c r="D2744" s="27" t="s">
        <v>110</v>
      </c>
      <c r="E2744" s="26">
        <v>563.04999999999995</v>
      </c>
      <c r="F2744" s="28" t="s">
        <v>618</v>
      </c>
      <c r="G2744" s="26">
        <f t="shared" si="73"/>
        <v>563</v>
      </c>
      <c r="H2744" t="s">
        <v>6539</v>
      </c>
    </row>
    <row r="2745" spans="1:8" ht="45" x14ac:dyDescent="0.25">
      <c r="A2745" s="21" t="s">
        <v>6563</v>
      </c>
      <c r="B2745" s="25" t="s">
        <v>6543</v>
      </c>
      <c r="C2745" s="26">
        <v>1</v>
      </c>
      <c r="D2745" s="27" t="s">
        <v>110</v>
      </c>
      <c r="E2745" s="26">
        <v>794.25</v>
      </c>
      <c r="F2745" s="28" t="s">
        <v>618</v>
      </c>
      <c r="G2745" s="26">
        <f t="shared" si="73"/>
        <v>794</v>
      </c>
      <c r="H2745" t="s">
        <v>6542</v>
      </c>
    </row>
    <row r="2746" spans="1:8" ht="45" x14ac:dyDescent="0.25">
      <c r="A2746" s="21" t="s">
        <v>6564</v>
      </c>
      <c r="B2746" s="25" t="s">
        <v>6566</v>
      </c>
      <c r="C2746" s="26">
        <v>1</v>
      </c>
      <c r="D2746" s="27" t="s">
        <v>110</v>
      </c>
      <c r="E2746" s="26">
        <v>1674.4</v>
      </c>
      <c r="F2746" s="28" t="s">
        <v>618</v>
      </c>
      <c r="G2746" s="26">
        <f t="shared" si="73"/>
        <v>1674</v>
      </c>
      <c r="H2746" t="s">
        <v>6565</v>
      </c>
    </row>
    <row r="2747" spans="1:8" ht="45" x14ac:dyDescent="0.25">
      <c r="A2747" s="21" t="s">
        <v>6567</v>
      </c>
      <c r="B2747" s="25" t="s">
        <v>6569</v>
      </c>
      <c r="C2747" s="26">
        <v>1</v>
      </c>
      <c r="D2747" s="27" t="s">
        <v>110</v>
      </c>
      <c r="E2747" s="26">
        <v>2166.35</v>
      </c>
      <c r="F2747" s="28" t="s">
        <v>618</v>
      </c>
      <c r="G2747" s="26">
        <f t="shared" si="73"/>
        <v>2166</v>
      </c>
      <c r="H2747" t="s">
        <v>6568</v>
      </c>
    </row>
    <row r="2748" spans="1:8" ht="45" x14ac:dyDescent="0.25">
      <c r="A2748" s="21" t="s">
        <v>6570</v>
      </c>
      <c r="B2748" s="25" t="s">
        <v>6572</v>
      </c>
      <c r="C2748" s="26">
        <v>1</v>
      </c>
      <c r="D2748" s="27" t="s">
        <v>110</v>
      </c>
      <c r="E2748" s="26">
        <v>3271.7</v>
      </c>
      <c r="F2748" s="28" t="s">
        <v>618</v>
      </c>
      <c r="G2748" s="26">
        <f t="shared" si="73"/>
        <v>3272</v>
      </c>
      <c r="H2748" t="s">
        <v>6571</v>
      </c>
    </row>
    <row r="2749" spans="1:8" ht="45" x14ac:dyDescent="0.25">
      <c r="A2749" s="21" t="s">
        <v>6573</v>
      </c>
      <c r="B2749" s="25" t="s">
        <v>6575</v>
      </c>
      <c r="C2749" s="26">
        <v>1</v>
      </c>
      <c r="D2749" s="27" t="s">
        <v>110</v>
      </c>
      <c r="E2749" s="26">
        <v>6822.7</v>
      </c>
      <c r="F2749" s="28" t="s">
        <v>618</v>
      </c>
      <c r="G2749" s="26">
        <f t="shared" si="73"/>
        <v>6823</v>
      </c>
      <c r="H2749" t="s">
        <v>6574</v>
      </c>
    </row>
    <row r="2750" spans="1:8" ht="45" x14ac:dyDescent="0.25">
      <c r="A2750" s="21" t="s">
        <v>6576</v>
      </c>
      <c r="B2750" s="25" t="s">
        <v>6578</v>
      </c>
      <c r="C2750" s="26"/>
      <c r="D2750" s="27"/>
      <c r="E2750" s="26"/>
      <c r="F2750" s="28"/>
      <c r="G2750" s="26"/>
      <c r="H2750" t="s">
        <v>6577</v>
      </c>
    </row>
    <row r="2751" spans="1:8" ht="45" x14ac:dyDescent="0.25">
      <c r="A2751" s="21" t="s">
        <v>6579</v>
      </c>
      <c r="B2751" s="25" t="s">
        <v>6581</v>
      </c>
      <c r="C2751" s="26">
        <v>1</v>
      </c>
      <c r="D2751" s="27" t="s">
        <v>110</v>
      </c>
      <c r="E2751" s="26">
        <v>366.4</v>
      </c>
      <c r="F2751" s="28" t="s">
        <v>618</v>
      </c>
      <c r="G2751" s="26">
        <f t="shared" ref="G2751:G2756" si="74">ROUND(C2751*E2751,0)</f>
        <v>366</v>
      </c>
      <c r="H2751" t="s">
        <v>6580</v>
      </c>
    </row>
    <row r="2752" spans="1:8" ht="45" x14ac:dyDescent="0.25">
      <c r="A2752" s="21" t="s">
        <v>6582</v>
      </c>
      <c r="B2752" s="25" t="s">
        <v>6584</v>
      </c>
      <c r="C2752" s="26">
        <v>1</v>
      </c>
      <c r="D2752" s="27" t="s">
        <v>110</v>
      </c>
      <c r="E2752" s="26">
        <v>437.3</v>
      </c>
      <c r="F2752" s="28" t="s">
        <v>618</v>
      </c>
      <c r="G2752" s="26">
        <f t="shared" si="74"/>
        <v>437</v>
      </c>
      <c r="H2752" t="s">
        <v>6583</v>
      </c>
    </row>
    <row r="2753" spans="1:8" ht="45" x14ac:dyDescent="0.25">
      <c r="A2753" s="21" t="s">
        <v>6585</v>
      </c>
      <c r="B2753" s="25" t="s">
        <v>6587</v>
      </c>
      <c r="C2753" s="26">
        <v>1</v>
      </c>
      <c r="D2753" s="27" t="s">
        <v>110</v>
      </c>
      <c r="E2753" s="26">
        <v>551.70000000000005</v>
      </c>
      <c r="F2753" s="28" t="s">
        <v>618</v>
      </c>
      <c r="G2753" s="26">
        <f t="shared" si="74"/>
        <v>552</v>
      </c>
      <c r="H2753" t="s">
        <v>6586</v>
      </c>
    </row>
    <row r="2754" spans="1:8" ht="45" x14ac:dyDescent="0.25">
      <c r="A2754" s="21" t="s">
        <v>6588</v>
      </c>
      <c r="B2754" s="25" t="s">
        <v>6590</v>
      </c>
      <c r="C2754" s="26">
        <v>1</v>
      </c>
      <c r="D2754" s="27" t="s">
        <v>110</v>
      </c>
      <c r="E2754" s="26">
        <v>667</v>
      </c>
      <c r="F2754" s="28" t="s">
        <v>618</v>
      </c>
      <c r="G2754" s="26">
        <f t="shared" si="74"/>
        <v>667</v>
      </c>
      <c r="H2754" t="s">
        <v>6589</v>
      </c>
    </row>
    <row r="2755" spans="1:8" ht="45" x14ac:dyDescent="0.25">
      <c r="A2755" s="21" t="s">
        <v>6591</v>
      </c>
      <c r="B2755" s="25" t="s">
        <v>6593</v>
      </c>
      <c r="C2755" s="26">
        <v>1</v>
      </c>
      <c r="D2755" s="27" t="s">
        <v>110</v>
      </c>
      <c r="E2755" s="26">
        <v>811.9</v>
      </c>
      <c r="F2755" s="28" t="s">
        <v>618</v>
      </c>
      <c r="G2755" s="26">
        <f t="shared" si="74"/>
        <v>812</v>
      </c>
      <c r="H2755" t="s">
        <v>6592</v>
      </c>
    </row>
    <row r="2756" spans="1:8" ht="45" x14ac:dyDescent="0.25">
      <c r="A2756" s="21" t="s">
        <v>6594</v>
      </c>
      <c r="B2756" s="25" t="s">
        <v>6596</v>
      </c>
      <c r="C2756" s="26">
        <v>1</v>
      </c>
      <c r="D2756" s="27" t="s">
        <v>110</v>
      </c>
      <c r="E2756" s="26">
        <v>1048.3499999999999</v>
      </c>
      <c r="F2756" s="28" t="s">
        <v>618</v>
      </c>
      <c r="G2756" s="26">
        <f t="shared" si="74"/>
        <v>1048</v>
      </c>
      <c r="H2756" t="s">
        <v>6595</v>
      </c>
    </row>
    <row r="2757" spans="1:8" ht="75" x14ac:dyDescent="0.25">
      <c r="A2757" s="21" t="s">
        <v>6597</v>
      </c>
      <c r="B2757" s="25" t="s">
        <v>6599</v>
      </c>
      <c r="C2757" s="26"/>
      <c r="D2757" s="27"/>
      <c r="E2757" s="26"/>
      <c r="F2757" s="28"/>
      <c r="G2757" s="26"/>
      <c r="H2757" t="s">
        <v>6598</v>
      </c>
    </row>
    <row r="2758" spans="1:8" ht="45" x14ac:dyDescent="0.25">
      <c r="A2758" s="21" t="s">
        <v>6600</v>
      </c>
      <c r="B2758" s="25" t="s">
        <v>6581</v>
      </c>
      <c r="C2758" s="26">
        <v>1</v>
      </c>
      <c r="D2758" s="27" t="s">
        <v>110</v>
      </c>
      <c r="E2758" s="26">
        <v>580.45000000000005</v>
      </c>
      <c r="F2758" s="28" t="s">
        <v>618</v>
      </c>
      <c r="G2758" s="26">
        <f>ROUND(C2758*E2758,0)</f>
        <v>580</v>
      </c>
      <c r="H2758" t="s">
        <v>6580</v>
      </c>
    </row>
    <row r="2759" spans="1:8" ht="45" x14ac:dyDescent="0.25">
      <c r="A2759" s="21" t="s">
        <v>6601</v>
      </c>
      <c r="B2759" s="25" t="s">
        <v>6584</v>
      </c>
      <c r="C2759" s="26">
        <v>1</v>
      </c>
      <c r="D2759" s="27" t="s">
        <v>110</v>
      </c>
      <c r="E2759" s="26">
        <v>635.20000000000005</v>
      </c>
      <c r="F2759" s="28" t="s">
        <v>618</v>
      </c>
      <c r="G2759" s="26">
        <f>ROUND(C2759*E2759,0)</f>
        <v>635</v>
      </c>
      <c r="H2759" t="s">
        <v>6583</v>
      </c>
    </row>
    <row r="2760" spans="1:8" ht="45" x14ac:dyDescent="0.25">
      <c r="A2760" s="21" t="s">
        <v>6602</v>
      </c>
      <c r="B2760" s="25" t="s">
        <v>6604</v>
      </c>
      <c r="C2760" s="26"/>
      <c r="D2760" s="27"/>
      <c r="E2760" s="26"/>
      <c r="F2760" s="28"/>
      <c r="G2760" s="26"/>
      <c r="H2760" t="s">
        <v>6603</v>
      </c>
    </row>
    <row r="2761" spans="1:8" ht="45" x14ac:dyDescent="0.25">
      <c r="A2761" s="21" t="s">
        <v>6605</v>
      </c>
      <c r="B2761" s="25" t="s">
        <v>6581</v>
      </c>
      <c r="C2761" s="26">
        <v>1</v>
      </c>
      <c r="D2761" s="27" t="s">
        <v>110</v>
      </c>
      <c r="E2761" s="26">
        <v>322.14999999999998</v>
      </c>
      <c r="F2761" s="28" t="s">
        <v>618</v>
      </c>
      <c r="G2761" s="26">
        <f t="shared" ref="G2761:G2768" si="75">ROUND(C2761*E2761,0)</f>
        <v>322</v>
      </c>
      <c r="H2761" t="s">
        <v>6580</v>
      </c>
    </row>
    <row r="2762" spans="1:8" ht="45" x14ac:dyDescent="0.25">
      <c r="A2762" s="21" t="s">
        <v>6606</v>
      </c>
      <c r="B2762" s="25" t="s">
        <v>6584</v>
      </c>
      <c r="C2762" s="26">
        <v>1</v>
      </c>
      <c r="D2762" s="27" t="s">
        <v>110</v>
      </c>
      <c r="E2762" s="26">
        <v>368.6</v>
      </c>
      <c r="F2762" s="28" t="s">
        <v>618</v>
      </c>
      <c r="G2762" s="26">
        <f t="shared" si="75"/>
        <v>369</v>
      </c>
      <c r="H2762" t="s">
        <v>6583</v>
      </c>
    </row>
    <row r="2763" spans="1:8" ht="45" x14ac:dyDescent="0.25">
      <c r="A2763" s="21" t="s">
        <v>6607</v>
      </c>
      <c r="B2763" s="25" t="s">
        <v>6587</v>
      </c>
      <c r="C2763" s="26">
        <v>1</v>
      </c>
      <c r="D2763" s="27" t="s">
        <v>110</v>
      </c>
      <c r="E2763" s="26">
        <v>467.75</v>
      </c>
      <c r="F2763" s="28" t="s">
        <v>618</v>
      </c>
      <c r="G2763" s="26">
        <f t="shared" si="75"/>
        <v>468</v>
      </c>
      <c r="H2763" t="s">
        <v>6586</v>
      </c>
    </row>
    <row r="2764" spans="1:8" ht="45" x14ac:dyDescent="0.25">
      <c r="A2764" s="21" t="s">
        <v>6608</v>
      </c>
      <c r="B2764" s="25" t="s">
        <v>6590</v>
      </c>
      <c r="C2764" s="26">
        <v>1</v>
      </c>
      <c r="D2764" s="27" t="s">
        <v>110</v>
      </c>
      <c r="E2764" s="26">
        <v>540.29999999999995</v>
      </c>
      <c r="F2764" s="28" t="s">
        <v>618</v>
      </c>
      <c r="G2764" s="26">
        <f t="shared" si="75"/>
        <v>540</v>
      </c>
      <c r="H2764" t="s">
        <v>6589</v>
      </c>
    </row>
    <row r="2765" spans="1:8" ht="45" x14ac:dyDescent="0.25">
      <c r="A2765" s="21" t="s">
        <v>6609</v>
      </c>
      <c r="B2765" s="25" t="s">
        <v>6593</v>
      </c>
      <c r="C2765" s="26">
        <v>1</v>
      </c>
      <c r="D2765" s="27" t="s">
        <v>110</v>
      </c>
      <c r="E2765" s="26">
        <v>617.04999999999995</v>
      </c>
      <c r="F2765" s="28" t="s">
        <v>618</v>
      </c>
      <c r="G2765" s="26">
        <f t="shared" si="75"/>
        <v>617</v>
      </c>
      <c r="H2765" t="s">
        <v>6592</v>
      </c>
    </row>
    <row r="2766" spans="1:8" ht="45" x14ac:dyDescent="0.25">
      <c r="A2766" s="21" t="s">
        <v>6610</v>
      </c>
      <c r="B2766" s="25" t="s">
        <v>6596</v>
      </c>
      <c r="C2766" s="26">
        <v>1</v>
      </c>
      <c r="D2766" s="27" t="s">
        <v>110</v>
      </c>
      <c r="E2766" s="26">
        <v>762.15</v>
      </c>
      <c r="F2766" s="28" t="s">
        <v>618</v>
      </c>
      <c r="G2766" s="26">
        <f t="shared" si="75"/>
        <v>762</v>
      </c>
      <c r="H2766" t="s">
        <v>6595</v>
      </c>
    </row>
    <row r="2767" spans="1:8" ht="45" x14ac:dyDescent="0.25">
      <c r="A2767" s="21" t="s">
        <v>6611</v>
      </c>
      <c r="B2767" s="25" t="s">
        <v>6613</v>
      </c>
      <c r="C2767" s="26">
        <v>1</v>
      </c>
      <c r="D2767" s="27" t="s">
        <v>110</v>
      </c>
      <c r="E2767" s="26">
        <v>896.6</v>
      </c>
      <c r="F2767" s="28" t="s">
        <v>618</v>
      </c>
      <c r="G2767" s="26">
        <f t="shared" si="75"/>
        <v>897</v>
      </c>
      <c r="H2767" t="s">
        <v>6612</v>
      </c>
    </row>
    <row r="2768" spans="1:8" ht="45" x14ac:dyDescent="0.25">
      <c r="A2768" s="21" t="s">
        <v>6614</v>
      </c>
      <c r="B2768" s="25" t="s">
        <v>6616</v>
      </c>
      <c r="C2768" s="26">
        <v>1</v>
      </c>
      <c r="D2768" s="27" t="s">
        <v>110</v>
      </c>
      <c r="E2768" s="26">
        <v>1041.7</v>
      </c>
      <c r="F2768" s="28" t="s">
        <v>618</v>
      </c>
      <c r="G2768" s="26">
        <f t="shared" si="75"/>
        <v>1042</v>
      </c>
      <c r="H2768" t="s">
        <v>6615</v>
      </c>
    </row>
    <row r="2769" spans="1:8" ht="60" x14ac:dyDescent="0.25">
      <c r="A2769" s="21" t="s">
        <v>6617</v>
      </c>
      <c r="B2769" s="25" t="s">
        <v>6619</v>
      </c>
      <c r="C2769" s="26"/>
      <c r="D2769" s="27"/>
      <c r="E2769" s="26"/>
      <c r="F2769" s="28"/>
      <c r="G2769" s="26"/>
      <c r="H2769" t="s">
        <v>6618</v>
      </c>
    </row>
    <row r="2770" spans="1:8" x14ac:dyDescent="0.25">
      <c r="A2770" s="21" t="s">
        <v>6620</v>
      </c>
      <c r="B2770" s="25" t="s">
        <v>6622</v>
      </c>
      <c r="C2770" s="26">
        <v>1</v>
      </c>
      <c r="D2770" s="27" t="s">
        <v>201</v>
      </c>
      <c r="E2770" s="26">
        <v>911.9</v>
      </c>
      <c r="F2770" s="28" t="s">
        <v>202</v>
      </c>
      <c r="G2770" s="26">
        <f>ROUND(C2770*E2770,0)</f>
        <v>912</v>
      </c>
      <c r="H2770" t="s">
        <v>6621</v>
      </c>
    </row>
    <row r="2771" spans="1:8" x14ac:dyDescent="0.25">
      <c r="A2771" s="21" t="s">
        <v>6623</v>
      </c>
      <c r="B2771" s="25" t="s">
        <v>6625</v>
      </c>
      <c r="C2771" s="26">
        <v>1</v>
      </c>
      <c r="D2771" s="27" t="s">
        <v>201</v>
      </c>
      <c r="E2771" s="26">
        <v>1785.35</v>
      </c>
      <c r="F2771" s="28" t="s">
        <v>202</v>
      </c>
      <c r="G2771" s="26">
        <f>ROUND(C2771*E2771,0)</f>
        <v>1785</v>
      </c>
      <c r="H2771" t="s">
        <v>6624</v>
      </c>
    </row>
    <row r="2772" spans="1:8" ht="60" x14ac:dyDescent="0.25">
      <c r="A2772" s="21" t="s">
        <v>6626</v>
      </c>
      <c r="B2772" s="25" t="s">
        <v>6628</v>
      </c>
      <c r="C2772" s="26">
        <v>1</v>
      </c>
      <c r="D2772" s="27" t="s">
        <v>201</v>
      </c>
      <c r="E2772" s="26">
        <v>812.3</v>
      </c>
      <c r="F2772" s="28" t="s">
        <v>202</v>
      </c>
      <c r="G2772" s="26">
        <f>ROUND(C2772*E2772,0)</f>
        <v>812</v>
      </c>
      <c r="H2772" t="s">
        <v>6627</v>
      </c>
    </row>
    <row r="2773" spans="1:8" ht="30" x14ac:dyDescent="0.25">
      <c r="A2773" s="21" t="s">
        <v>6629</v>
      </c>
      <c r="B2773" s="25" t="s">
        <v>6631</v>
      </c>
      <c r="C2773" s="26"/>
      <c r="D2773" s="27"/>
      <c r="E2773" s="26"/>
      <c r="F2773" s="28"/>
      <c r="G2773" s="26"/>
      <c r="H2773" t="s">
        <v>6630</v>
      </c>
    </row>
    <row r="2774" spans="1:8" x14ac:dyDescent="0.25">
      <c r="A2774" s="21" t="s">
        <v>6632</v>
      </c>
      <c r="B2774" s="25" t="s">
        <v>6634</v>
      </c>
      <c r="C2774" s="26">
        <v>1</v>
      </c>
      <c r="D2774" s="27" t="s">
        <v>201</v>
      </c>
      <c r="E2774" s="26">
        <v>353.25</v>
      </c>
      <c r="F2774" s="28" t="s">
        <v>202</v>
      </c>
      <c r="G2774" s="26">
        <f>ROUND(C2774*E2774,0)</f>
        <v>353</v>
      </c>
      <c r="H2774" t="s">
        <v>6633</v>
      </c>
    </row>
    <row r="2775" spans="1:8" x14ac:dyDescent="0.25">
      <c r="A2775" s="21" t="s">
        <v>6635</v>
      </c>
      <c r="B2775" s="25" t="s">
        <v>6637</v>
      </c>
      <c r="C2775" s="26">
        <v>1</v>
      </c>
      <c r="D2775" s="27" t="s">
        <v>201</v>
      </c>
      <c r="E2775" s="26">
        <v>379.2</v>
      </c>
      <c r="F2775" s="28" t="s">
        <v>202</v>
      </c>
      <c r="G2775" s="26">
        <f>ROUND(C2775*E2775,0)</f>
        <v>379</v>
      </c>
      <c r="H2775" t="s">
        <v>6636</v>
      </c>
    </row>
    <row r="2776" spans="1:8" ht="30" x14ac:dyDescent="0.25">
      <c r="A2776" s="21" t="s">
        <v>6638</v>
      </c>
      <c r="B2776" s="25" t="s">
        <v>6640</v>
      </c>
      <c r="C2776" s="26"/>
      <c r="D2776" s="27"/>
      <c r="E2776" s="26"/>
      <c r="F2776" s="28"/>
      <c r="G2776" s="26"/>
      <c r="H2776" t="s">
        <v>6639</v>
      </c>
    </row>
    <row r="2777" spans="1:8" x14ac:dyDescent="0.25">
      <c r="A2777" s="21" t="s">
        <v>6641</v>
      </c>
      <c r="B2777" s="25" t="s">
        <v>6634</v>
      </c>
      <c r="C2777" s="26">
        <v>1</v>
      </c>
      <c r="D2777" s="27" t="s">
        <v>201</v>
      </c>
      <c r="E2777" s="26">
        <v>353.25</v>
      </c>
      <c r="F2777" s="28" t="s">
        <v>202</v>
      </c>
      <c r="G2777" s="26">
        <f>ROUND(C2777*E2777,0)</f>
        <v>353</v>
      </c>
      <c r="H2777" t="s">
        <v>6633</v>
      </c>
    </row>
    <row r="2778" spans="1:8" x14ac:dyDescent="0.25">
      <c r="A2778" s="21" t="s">
        <v>6642</v>
      </c>
      <c r="B2778" s="25" t="s">
        <v>6637</v>
      </c>
      <c r="C2778" s="26">
        <v>1</v>
      </c>
      <c r="D2778" s="27" t="s">
        <v>201</v>
      </c>
      <c r="E2778" s="26">
        <v>379.2</v>
      </c>
      <c r="F2778" s="28" t="s">
        <v>202</v>
      </c>
      <c r="G2778" s="26">
        <f>ROUND(C2778*E2778,0)</f>
        <v>379</v>
      </c>
      <c r="H2778" t="s">
        <v>6636</v>
      </c>
    </row>
    <row r="2779" spans="1:8" ht="30" x14ac:dyDescent="0.25">
      <c r="A2779" s="21" t="s">
        <v>6643</v>
      </c>
      <c r="B2779" s="25" t="s">
        <v>6645</v>
      </c>
      <c r="C2779" s="26"/>
      <c r="D2779" s="27"/>
      <c r="E2779" s="26"/>
      <c r="F2779" s="28"/>
      <c r="G2779" s="26"/>
      <c r="H2779" t="s">
        <v>6644</v>
      </c>
    </row>
    <row r="2780" spans="1:8" x14ac:dyDescent="0.25">
      <c r="A2780" s="21" t="s">
        <v>6646</v>
      </c>
      <c r="B2780" s="25" t="s">
        <v>6648</v>
      </c>
      <c r="C2780" s="26">
        <v>1</v>
      </c>
      <c r="D2780" s="27" t="s">
        <v>201</v>
      </c>
      <c r="E2780" s="26">
        <v>622.4</v>
      </c>
      <c r="F2780" s="28" t="s">
        <v>202</v>
      </c>
      <c r="G2780" s="26">
        <f t="shared" ref="G2780:G2786" si="76">ROUND(C2780*E2780,0)</f>
        <v>622</v>
      </c>
      <c r="H2780" t="s">
        <v>6647</v>
      </c>
    </row>
    <row r="2781" spans="1:8" x14ac:dyDescent="0.25">
      <c r="A2781" s="21" t="s">
        <v>6649</v>
      </c>
      <c r="B2781" s="25" t="s">
        <v>6637</v>
      </c>
      <c r="C2781" s="26">
        <v>1</v>
      </c>
      <c r="D2781" s="27" t="s">
        <v>201</v>
      </c>
      <c r="E2781" s="26">
        <v>539.95000000000005</v>
      </c>
      <c r="F2781" s="28" t="s">
        <v>202</v>
      </c>
      <c r="G2781" s="26">
        <f t="shared" si="76"/>
        <v>540</v>
      </c>
      <c r="H2781" t="s">
        <v>105</v>
      </c>
    </row>
    <row r="2782" spans="1:8" x14ac:dyDescent="0.25">
      <c r="A2782" s="21" t="s">
        <v>6650</v>
      </c>
      <c r="B2782" s="25" t="s">
        <v>6651</v>
      </c>
      <c r="C2782" s="26">
        <v>1</v>
      </c>
      <c r="D2782" s="27" t="s">
        <v>201</v>
      </c>
      <c r="E2782" s="26">
        <v>689.6</v>
      </c>
      <c r="F2782" s="28" t="s">
        <v>202</v>
      </c>
      <c r="G2782" s="26">
        <f t="shared" si="76"/>
        <v>690</v>
      </c>
      <c r="H2782" t="s">
        <v>6651</v>
      </c>
    </row>
    <row r="2783" spans="1:8" x14ac:dyDescent="0.25">
      <c r="A2783" s="21" t="s">
        <v>6652</v>
      </c>
      <c r="B2783" s="25" t="s">
        <v>6654</v>
      </c>
      <c r="C2783" s="26">
        <v>1</v>
      </c>
      <c r="D2783" s="27" t="s">
        <v>201</v>
      </c>
      <c r="E2783" s="26">
        <v>826.1</v>
      </c>
      <c r="F2783" s="28" t="s">
        <v>202</v>
      </c>
      <c r="G2783" s="26">
        <f t="shared" si="76"/>
        <v>826</v>
      </c>
      <c r="H2783" t="s">
        <v>6653</v>
      </c>
    </row>
    <row r="2784" spans="1:8" x14ac:dyDescent="0.25">
      <c r="A2784" s="21" t="s">
        <v>6655</v>
      </c>
      <c r="B2784" s="25" t="s">
        <v>6657</v>
      </c>
      <c r="C2784" s="26">
        <v>1</v>
      </c>
      <c r="D2784" s="27" t="s">
        <v>201</v>
      </c>
      <c r="E2784" s="26">
        <v>1026.6500000000001</v>
      </c>
      <c r="F2784" s="28" t="s">
        <v>202</v>
      </c>
      <c r="G2784" s="26">
        <f t="shared" si="76"/>
        <v>1027</v>
      </c>
      <c r="H2784" t="s">
        <v>6656</v>
      </c>
    </row>
    <row r="2785" spans="1:8" x14ac:dyDescent="0.25">
      <c r="A2785" s="21" t="s">
        <v>6658</v>
      </c>
      <c r="B2785" s="25" t="s">
        <v>6660</v>
      </c>
      <c r="C2785" s="26">
        <v>1</v>
      </c>
      <c r="D2785" s="27" t="s">
        <v>201</v>
      </c>
      <c r="E2785" s="26">
        <v>1742.15</v>
      </c>
      <c r="F2785" s="28" t="s">
        <v>202</v>
      </c>
      <c r="G2785" s="26">
        <f t="shared" si="76"/>
        <v>1742</v>
      </c>
      <c r="H2785" t="s">
        <v>6659</v>
      </c>
    </row>
    <row r="2786" spans="1:8" x14ac:dyDescent="0.25">
      <c r="A2786" s="21" t="s">
        <v>6661</v>
      </c>
      <c r="B2786" s="25" t="s">
        <v>6663</v>
      </c>
      <c r="C2786" s="26">
        <v>1</v>
      </c>
      <c r="D2786" s="27" t="s">
        <v>201</v>
      </c>
      <c r="E2786" s="26">
        <v>2604.5500000000002</v>
      </c>
      <c r="F2786" s="28" t="s">
        <v>202</v>
      </c>
      <c r="G2786" s="26">
        <f t="shared" si="76"/>
        <v>2605</v>
      </c>
      <c r="H2786" t="s">
        <v>6662</v>
      </c>
    </row>
    <row r="2787" spans="1:8" ht="45" x14ac:dyDescent="0.25">
      <c r="A2787" s="21" t="s">
        <v>6664</v>
      </c>
      <c r="B2787" s="25" t="s">
        <v>6666</v>
      </c>
      <c r="C2787" s="26"/>
      <c r="D2787" s="27"/>
      <c r="E2787" s="26"/>
      <c r="F2787" s="28"/>
      <c r="G2787" s="26"/>
      <c r="H2787" t="s">
        <v>6665</v>
      </c>
    </row>
    <row r="2788" spans="1:8" x14ac:dyDescent="0.25">
      <c r="A2788" s="21" t="s">
        <v>6667</v>
      </c>
      <c r="B2788" s="25" t="s">
        <v>6634</v>
      </c>
      <c r="C2788" s="26">
        <v>1</v>
      </c>
      <c r="D2788" s="27" t="s">
        <v>201</v>
      </c>
      <c r="E2788" s="26">
        <v>406.85</v>
      </c>
      <c r="F2788" s="28" t="s">
        <v>202</v>
      </c>
      <c r="G2788" s="26">
        <f>ROUND(C2788*E2788,0)</f>
        <v>407</v>
      </c>
      <c r="H2788" t="s">
        <v>6633</v>
      </c>
    </row>
    <row r="2789" spans="1:8" x14ac:dyDescent="0.25">
      <c r="A2789" s="21" t="s">
        <v>6668</v>
      </c>
      <c r="B2789" s="25" t="s">
        <v>6637</v>
      </c>
      <c r="C2789" s="26">
        <v>1</v>
      </c>
      <c r="D2789" s="27" t="s">
        <v>201</v>
      </c>
      <c r="E2789" s="26">
        <v>462.5</v>
      </c>
      <c r="F2789" s="28" t="s">
        <v>202</v>
      </c>
      <c r="G2789" s="26">
        <f>ROUND(C2789*E2789,0)</f>
        <v>463</v>
      </c>
      <c r="H2789" t="s">
        <v>6636</v>
      </c>
    </row>
    <row r="2790" spans="1:8" x14ac:dyDescent="0.25">
      <c r="A2790" s="21" t="s">
        <v>6669</v>
      </c>
      <c r="B2790" s="25" t="s">
        <v>6648</v>
      </c>
      <c r="C2790" s="26">
        <v>1</v>
      </c>
      <c r="D2790" s="27" t="s">
        <v>201</v>
      </c>
      <c r="E2790" s="26">
        <v>464.05</v>
      </c>
      <c r="F2790" s="28" t="s">
        <v>202</v>
      </c>
      <c r="G2790" s="26">
        <f>ROUND(C2790*E2790,0)</f>
        <v>464</v>
      </c>
      <c r="H2790" t="s">
        <v>6647</v>
      </c>
    </row>
    <row r="2791" spans="1:8" ht="30" x14ac:dyDescent="0.25">
      <c r="A2791" s="21" t="s">
        <v>6670</v>
      </c>
      <c r="B2791" s="25" t="s">
        <v>6672</v>
      </c>
      <c r="C2791" s="26"/>
      <c r="D2791" s="27"/>
      <c r="E2791" s="26"/>
      <c r="F2791" s="28"/>
      <c r="G2791" s="26"/>
      <c r="H2791" t="s">
        <v>6671</v>
      </c>
    </row>
    <row r="2792" spans="1:8" x14ac:dyDescent="0.25">
      <c r="A2792" s="21" t="s">
        <v>6673</v>
      </c>
      <c r="B2792" s="25" t="s">
        <v>6648</v>
      </c>
      <c r="C2792" s="26"/>
      <c r="D2792" s="27"/>
      <c r="E2792" s="26"/>
      <c r="F2792" s="28"/>
      <c r="G2792" s="26"/>
      <c r="H2792" t="s">
        <v>6674</v>
      </c>
    </row>
    <row r="2793" spans="1:8" x14ac:dyDescent="0.25">
      <c r="A2793" s="21" t="s">
        <v>6675</v>
      </c>
      <c r="B2793" s="25" t="s">
        <v>6677</v>
      </c>
      <c r="C2793" s="26">
        <v>1</v>
      </c>
      <c r="D2793" s="27" t="s">
        <v>201</v>
      </c>
      <c r="E2793" s="26">
        <v>591.4</v>
      </c>
      <c r="F2793" s="28" t="s">
        <v>202</v>
      </c>
      <c r="G2793" s="26">
        <f>ROUND(C2793*E2793,0)</f>
        <v>591</v>
      </c>
      <c r="H2793" t="s">
        <v>6676</v>
      </c>
    </row>
    <row r="2794" spans="1:8" x14ac:dyDescent="0.25">
      <c r="A2794" s="21" t="s">
        <v>6678</v>
      </c>
      <c r="B2794" s="25" t="s">
        <v>6680</v>
      </c>
      <c r="C2794" s="26">
        <v>1</v>
      </c>
      <c r="D2794" s="27" t="s">
        <v>201</v>
      </c>
      <c r="E2794" s="26">
        <v>624.1</v>
      </c>
      <c r="F2794" s="28" t="s">
        <v>202</v>
      </c>
      <c r="G2794" s="26">
        <f>ROUND(C2794*E2794,0)</f>
        <v>624</v>
      </c>
      <c r="H2794" t="s">
        <v>6679</v>
      </c>
    </row>
    <row r="2795" spans="1:8" x14ac:dyDescent="0.25">
      <c r="A2795" s="21" t="s">
        <v>6681</v>
      </c>
      <c r="B2795" s="25" t="s">
        <v>6683</v>
      </c>
      <c r="C2795" s="26"/>
      <c r="D2795" s="27"/>
      <c r="E2795" s="26"/>
      <c r="F2795" s="28"/>
      <c r="G2795" s="26"/>
      <c r="H2795" t="s">
        <v>6682</v>
      </c>
    </row>
    <row r="2796" spans="1:8" x14ac:dyDescent="0.25">
      <c r="A2796" s="21" t="s">
        <v>6684</v>
      </c>
      <c r="B2796" s="25" t="s">
        <v>6677</v>
      </c>
      <c r="C2796" s="26">
        <v>1</v>
      </c>
      <c r="D2796" s="27" t="s">
        <v>201</v>
      </c>
      <c r="E2796" s="26">
        <v>791.9</v>
      </c>
      <c r="F2796" s="28" t="s">
        <v>202</v>
      </c>
      <c r="G2796" s="26">
        <f>ROUND(C2796*E2796,0)</f>
        <v>792</v>
      </c>
      <c r="H2796" t="s">
        <v>6676</v>
      </c>
    </row>
    <row r="2797" spans="1:8" x14ac:dyDescent="0.25">
      <c r="A2797" s="21" t="s">
        <v>6685</v>
      </c>
      <c r="B2797" s="25" t="s">
        <v>6680</v>
      </c>
      <c r="C2797" s="26">
        <v>1</v>
      </c>
      <c r="D2797" s="27" t="s">
        <v>201</v>
      </c>
      <c r="E2797" s="26">
        <v>850.25</v>
      </c>
      <c r="F2797" s="28" t="s">
        <v>202</v>
      </c>
      <c r="G2797" s="26">
        <f>ROUND(C2797*E2797,0)</f>
        <v>850</v>
      </c>
      <c r="H2797" t="s">
        <v>6679</v>
      </c>
    </row>
    <row r="2798" spans="1:8" x14ac:dyDescent="0.25">
      <c r="A2798" s="21" t="s">
        <v>6686</v>
      </c>
      <c r="B2798" s="25" t="s">
        <v>6654</v>
      </c>
      <c r="C2798" s="26"/>
      <c r="D2798" s="27"/>
      <c r="E2798" s="26"/>
      <c r="F2798" s="28"/>
      <c r="G2798" s="26"/>
      <c r="H2798" t="s">
        <v>6687</v>
      </c>
    </row>
    <row r="2799" spans="1:8" x14ac:dyDescent="0.25">
      <c r="A2799" s="21" t="s">
        <v>6688</v>
      </c>
      <c r="B2799" s="25" t="s">
        <v>6677</v>
      </c>
      <c r="C2799" s="26">
        <v>1</v>
      </c>
      <c r="D2799" s="27" t="s">
        <v>201</v>
      </c>
      <c r="E2799" s="26">
        <v>952.6</v>
      </c>
      <c r="F2799" s="28" t="s">
        <v>202</v>
      </c>
      <c r="G2799" s="26">
        <f>ROUND(C2799*E2799,0)</f>
        <v>953</v>
      </c>
      <c r="H2799" t="s">
        <v>6676</v>
      </c>
    </row>
    <row r="2800" spans="1:8" x14ac:dyDescent="0.25">
      <c r="A2800" s="21" t="s">
        <v>6689</v>
      </c>
      <c r="B2800" s="25" t="s">
        <v>6680</v>
      </c>
      <c r="C2800" s="26">
        <v>1</v>
      </c>
      <c r="D2800" s="27" t="s">
        <v>201</v>
      </c>
      <c r="E2800" s="26">
        <v>1134.7</v>
      </c>
      <c r="F2800" s="28" t="s">
        <v>202</v>
      </c>
      <c r="G2800" s="26">
        <f>ROUND(C2800*E2800,0)</f>
        <v>1135</v>
      </c>
      <c r="H2800" t="s">
        <v>6679</v>
      </c>
    </row>
    <row r="2801" spans="1:8" x14ac:dyDescent="0.25">
      <c r="A2801" s="21" t="s">
        <v>6690</v>
      </c>
      <c r="B2801" s="25" t="s">
        <v>6657</v>
      </c>
      <c r="C2801" s="26"/>
      <c r="D2801" s="27"/>
      <c r="E2801" s="26"/>
      <c r="F2801" s="28"/>
      <c r="G2801" s="26"/>
      <c r="H2801" t="s">
        <v>6691</v>
      </c>
    </row>
    <row r="2802" spans="1:8" x14ac:dyDescent="0.25">
      <c r="A2802" s="21" t="s">
        <v>6692</v>
      </c>
      <c r="B2802" s="25" t="s">
        <v>6677</v>
      </c>
      <c r="C2802" s="26">
        <v>1</v>
      </c>
      <c r="D2802" s="27" t="s">
        <v>201</v>
      </c>
      <c r="E2802" s="26">
        <v>1371.2</v>
      </c>
      <c r="F2802" s="28" t="s">
        <v>202</v>
      </c>
      <c r="G2802" s="26">
        <f>ROUND(C2802*E2802,0)</f>
        <v>1371</v>
      </c>
      <c r="H2802" t="s">
        <v>6676</v>
      </c>
    </row>
    <row r="2803" spans="1:8" x14ac:dyDescent="0.25">
      <c r="A2803" s="21" t="s">
        <v>6693</v>
      </c>
      <c r="B2803" s="25" t="s">
        <v>6680</v>
      </c>
      <c r="C2803" s="26">
        <v>1</v>
      </c>
      <c r="D2803" s="27" t="s">
        <v>201</v>
      </c>
      <c r="E2803" s="26">
        <v>1445.15</v>
      </c>
      <c r="F2803" s="28" t="s">
        <v>202</v>
      </c>
      <c r="G2803" s="26">
        <f>ROUND(C2803*E2803,0)</f>
        <v>1445</v>
      </c>
      <c r="H2803" t="s">
        <v>6679</v>
      </c>
    </row>
    <row r="2804" spans="1:8" x14ac:dyDescent="0.25">
      <c r="A2804" s="21" t="s">
        <v>6694</v>
      </c>
      <c r="B2804" s="25" t="s">
        <v>6660</v>
      </c>
      <c r="C2804" s="26"/>
      <c r="D2804" s="27"/>
      <c r="E2804" s="26"/>
      <c r="F2804" s="28"/>
      <c r="G2804" s="26"/>
      <c r="H2804" t="s">
        <v>6695</v>
      </c>
    </row>
    <row r="2805" spans="1:8" x14ac:dyDescent="0.25">
      <c r="A2805" s="21" t="s">
        <v>6696</v>
      </c>
      <c r="B2805" s="25" t="s">
        <v>6677</v>
      </c>
      <c r="C2805" s="26">
        <v>1</v>
      </c>
      <c r="D2805" s="27" t="s">
        <v>201</v>
      </c>
      <c r="E2805" s="26">
        <v>2448.0500000000002</v>
      </c>
      <c r="F2805" s="28" t="s">
        <v>202</v>
      </c>
      <c r="G2805" s="26">
        <f>ROUND(C2805*E2805,0)</f>
        <v>2448</v>
      </c>
      <c r="H2805" t="s">
        <v>6676</v>
      </c>
    </row>
    <row r="2806" spans="1:8" x14ac:dyDescent="0.25">
      <c r="A2806" s="21" t="s">
        <v>6697</v>
      </c>
      <c r="B2806" s="25" t="s">
        <v>6680</v>
      </c>
      <c r="C2806" s="26">
        <v>1</v>
      </c>
      <c r="D2806" s="27" t="s">
        <v>201</v>
      </c>
      <c r="E2806" s="26">
        <v>2291.5500000000002</v>
      </c>
      <c r="F2806" s="28" t="s">
        <v>202</v>
      </c>
      <c r="G2806" s="26">
        <f>ROUND(C2806*E2806,0)</f>
        <v>2292</v>
      </c>
      <c r="H2806" t="s">
        <v>6679</v>
      </c>
    </row>
    <row r="2807" spans="1:8" x14ac:dyDescent="0.25">
      <c r="A2807" s="21" t="s">
        <v>6698</v>
      </c>
      <c r="B2807" s="25" t="s">
        <v>6663</v>
      </c>
      <c r="C2807" s="26"/>
      <c r="D2807" s="27"/>
      <c r="E2807" s="26"/>
      <c r="F2807" s="28"/>
      <c r="G2807" s="26"/>
      <c r="H2807" t="s">
        <v>6699</v>
      </c>
    </row>
    <row r="2808" spans="1:8" x14ac:dyDescent="0.25">
      <c r="A2808" s="21" t="s">
        <v>6700</v>
      </c>
      <c r="B2808" s="25" t="s">
        <v>6677</v>
      </c>
      <c r="C2808" s="26">
        <v>1</v>
      </c>
      <c r="D2808" s="27" t="s">
        <v>201</v>
      </c>
      <c r="E2808" s="26">
        <v>3664.75</v>
      </c>
      <c r="F2808" s="28" t="s">
        <v>202</v>
      </c>
      <c r="G2808" s="26">
        <f>ROUND(C2808*E2808,0)</f>
        <v>3665</v>
      </c>
      <c r="H2808" t="s">
        <v>6676</v>
      </c>
    </row>
    <row r="2809" spans="1:8" x14ac:dyDescent="0.25">
      <c r="A2809" s="21" t="s">
        <v>6701</v>
      </c>
      <c r="B2809" s="25" t="s">
        <v>6680</v>
      </c>
      <c r="C2809" s="26">
        <v>1</v>
      </c>
      <c r="D2809" s="27" t="s">
        <v>201</v>
      </c>
      <c r="E2809" s="26">
        <v>3855.4</v>
      </c>
      <c r="F2809" s="28" t="s">
        <v>202</v>
      </c>
      <c r="G2809" s="26">
        <f>ROUND(C2809*E2809,0)</f>
        <v>3855</v>
      </c>
      <c r="H2809" t="s">
        <v>6679</v>
      </c>
    </row>
    <row r="2810" spans="1:8" ht="30" x14ac:dyDescent="0.25">
      <c r="A2810" s="21" t="s">
        <v>6702</v>
      </c>
      <c r="B2810" s="25" t="s">
        <v>6704</v>
      </c>
      <c r="C2810" s="26"/>
      <c r="D2810" s="27"/>
      <c r="E2810" s="26"/>
      <c r="F2810" s="28"/>
      <c r="G2810" s="26"/>
      <c r="H2810" t="s">
        <v>6703</v>
      </c>
    </row>
    <row r="2811" spans="1:8" x14ac:dyDescent="0.25">
      <c r="A2811" s="21" t="s">
        <v>6705</v>
      </c>
      <c r="B2811" s="25" t="s">
        <v>6634</v>
      </c>
      <c r="C2811" s="26">
        <v>1</v>
      </c>
      <c r="D2811" s="27" t="s">
        <v>201</v>
      </c>
      <c r="E2811" s="26">
        <v>329.3</v>
      </c>
      <c r="F2811" s="28" t="s">
        <v>202</v>
      </c>
      <c r="G2811" s="26">
        <f>ROUND(C2811*E2811,0)</f>
        <v>329</v>
      </c>
      <c r="H2811" t="s">
        <v>6633</v>
      </c>
    </row>
    <row r="2812" spans="1:8" x14ac:dyDescent="0.25">
      <c r="A2812" s="21" t="s">
        <v>6706</v>
      </c>
      <c r="B2812" s="25" t="s">
        <v>6637</v>
      </c>
      <c r="C2812" s="26">
        <v>1</v>
      </c>
      <c r="D2812" s="27" t="s">
        <v>201</v>
      </c>
      <c r="E2812" s="26">
        <v>380</v>
      </c>
      <c r="F2812" s="28" t="s">
        <v>202</v>
      </c>
      <c r="G2812" s="26">
        <f>ROUND(C2812*E2812,0)</f>
        <v>380</v>
      </c>
      <c r="H2812" t="s">
        <v>6636</v>
      </c>
    </row>
    <row r="2813" spans="1:8" x14ac:dyDescent="0.25">
      <c r="A2813" s="21" t="s">
        <v>6707</v>
      </c>
      <c r="B2813" s="25" t="s">
        <v>6648</v>
      </c>
      <c r="C2813" s="26">
        <v>1</v>
      </c>
      <c r="D2813" s="27" t="s">
        <v>201</v>
      </c>
      <c r="E2813" s="26">
        <v>486.8</v>
      </c>
      <c r="F2813" s="28" t="s">
        <v>202</v>
      </c>
      <c r="G2813" s="26">
        <f>ROUND(C2813*E2813,0)</f>
        <v>487</v>
      </c>
      <c r="H2813" t="s">
        <v>6647</v>
      </c>
    </row>
    <row r="2814" spans="1:8" ht="30" x14ac:dyDescent="0.25">
      <c r="A2814" s="21" t="s">
        <v>6708</v>
      </c>
      <c r="B2814" s="25" t="s">
        <v>6710</v>
      </c>
      <c r="C2814" s="26"/>
      <c r="D2814" s="27"/>
      <c r="E2814" s="26"/>
      <c r="F2814" s="28"/>
      <c r="G2814" s="26"/>
      <c r="H2814" t="s">
        <v>6709</v>
      </c>
    </row>
    <row r="2815" spans="1:8" x14ac:dyDescent="0.25">
      <c r="A2815" s="21" t="s">
        <v>6711</v>
      </c>
      <c r="B2815" s="25" t="s">
        <v>6712</v>
      </c>
      <c r="C2815" s="26"/>
      <c r="D2815" s="27"/>
      <c r="E2815" s="26"/>
      <c r="F2815" s="28"/>
      <c r="G2815" s="26"/>
      <c r="H2815" t="s">
        <v>6712</v>
      </c>
    </row>
    <row r="2816" spans="1:8" x14ac:dyDescent="0.25">
      <c r="A2816" s="21" t="s">
        <v>6713</v>
      </c>
      <c r="B2816" s="25" t="s">
        <v>6634</v>
      </c>
      <c r="C2816" s="26">
        <v>1</v>
      </c>
      <c r="D2816" s="27" t="s">
        <v>201</v>
      </c>
      <c r="E2816" s="26">
        <v>85</v>
      </c>
      <c r="F2816" s="28" t="s">
        <v>202</v>
      </c>
      <c r="G2816" s="26">
        <f>ROUND(C2816*E2816,0)</f>
        <v>85</v>
      </c>
      <c r="H2816" t="s">
        <v>6633</v>
      </c>
    </row>
    <row r="2817" spans="1:8" x14ac:dyDescent="0.25">
      <c r="A2817" s="21" t="s">
        <v>6714</v>
      </c>
      <c r="B2817" s="25" t="s">
        <v>6637</v>
      </c>
      <c r="C2817" s="26">
        <v>1</v>
      </c>
      <c r="D2817" s="27" t="s">
        <v>201</v>
      </c>
      <c r="E2817" s="26">
        <v>93.55</v>
      </c>
      <c r="F2817" s="28" t="s">
        <v>202</v>
      </c>
      <c r="G2817" s="26">
        <f>ROUND(C2817*E2817,0)</f>
        <v>94</v>
      </c>
      <c r="H2817" t="s">
        <v>6636</v>
      </c>
    </row>
    <row r="2818" spans="1:8" x14ac:dyDescent="0.25">
      <c r="A2818" s="21" t="s">
        <v>6715</v>
      </c>
      <c r="B2818" s="25" t="s">
        <v>6717</v>
      </c>
      <c r="C2818" s="26"/>
      <c r="D2818" s="27"/>
      <c r="E2818" s="26"/>
      <c r="F2818" s="28"/>
      <c r="G2818" s="26"/>
      <c r="H2818" t="s">
        <v>6716</v>
      </c>
    </row>
    <row r="2819" spans="1:8" x14ac:dyDescent="0.25">
      <c r="A2819" s="21" t="s">
        <v>6718</v>
      </c>
      <c r="B2819" s="25" t="s">
        <v>6634</v>
      </c>
      <c r="C2819" s="26">
        <v>1</v>
      </c>
      <c r="D2819" s="27" t="s">
        <v>201</v>
      </c>
      <c r="E2819" s="26">
        <v>97.75</v>
      </c>
      <c r="F2819" s="28" t="s">
        <v>202</v>
      </c>
      <c r="G2819" s="26">
        <f>ROUND(C2819*E2819,0)</f>
        <v>98</v>
      </c>
      <c r="H2819" t="s">
        <v>6633</v>
      </c>
    </row>
    <row r="2820" spans="1:8" x14ac:dyDescent="0.25">
      <c r="A2820" s="21" t="s">
        <v>6719</v>
      </c>
      <c r="B2820" s="25" t="s">
        <v>6637</v>
      </c>
      <c r="C2820" s="26">
        <v>1</v>
      </c>
      <c r="D2820" s="27" t="s">
        <v>201</v>
      </c>
      <c r="E2820" s="26">
        <v>119.05</v>
      </c>
      <c r="F2820" s="28" t="s">
        <v>202</v>
      </c>
      <c r="G2820" s="26">
        <f>ROUND(C2820*E2820,0)</f>
        <v>119</v>
      </c>
      <c r="H2820" t="s">
        <v>6636</v>
      </c>
    </row>
    <row r="2821" spans="1:8" ht="30" x14ac:dyDescent="0.25">
      <c r="A2821" s="21" t="s">
        <v>6720</v>
      </c>
      <c r="B2821" s="25" t="s">
        <v>6722</v>
      </c>
      <c r="C2821" s="26"/>
      <c r="D2821" s="27"/>
      <c r="E2821" s="26"/>
      <c r="F2821" s="28"/>
      <c r="G2821" s="26"/>
      <c r="H2821" t="s">
        <v>6721</v>
      </c>
    </row>
    <row r="2822" spans="1:8" x14ac:dyDescent="0.25">
      <c r="A2822" s="21" t="s">
        <v>6723</v>
      </c>
      <c r="B2822" s="25" t="s">
        <v>3677</v>
      </c>
      <c r="C2822" s="26">
        <v>1</v>
      </c>
      <c r="D2822" s="27" t="s">
        <v>201</v>
      </c>
      <c r="E2822" s="26">
        <v>193.95</v>
      </c>
      <c r="F2822" s="28" t="s">
        <v>202</v>
      </c>
      <c r="G2822" s="26">
        <f>ROUND(C2822*E2822,0)</f>
        <v>194</v>
      </c>
      <c r="H2822" t="s">
        <v>5989</v>
      </c>
    </row>
    <row r="2823" spans="1:8" x14ac:dyDescent="0.25">
      <c r="A2823" s="21" t="s">
        <v>6724</v>
      </c>
      <c r="B2823" s="25" t="s">
        <v>3680</v>
      </c>
      <c r="C2823" s="26">
        <v>1</v>
      </c>
      <c r="D2823" s="27" t="s">
        <v>201</v>
      </c>
      <c r="E2823" s="26">
        <v>222.35</v>
      </c>
      <c r="F2823" s="28" t="s">
        <v>202</v>
      </c>
      <c r="G2823" s="26">
        <f>ROUND(C2823*E2823,0)</f>
        <v>222</v>
      </c>
      <c r="H2823" t="s">
        <v>6725</v>
      </c>
    </row>
    <row r="2824" spans="1:8" ht="30" x14ac:dyDescent="0.25">
      <c r="A2824" s="21" t="s">
        <v>6726</v>
      </c>
      <c r="B2824" s="25" t="s">
        <v>6728</v>
      </c>
      <c r="C2824" s="26">
        <v>1</v>
      </c>
      <c r="D2824" s="27" t="s">
        <v>848</v>
      </c>
      <c r="E2824" s="26">
        <v>361.65</v>
      </c>
      <c r="F2824" s="28" t="s">
        <v>849</v>
      </c>
      <c r="G2824" s="26">
        <f>ROUND(C2824*E2824,0)</f>
        <v>362</v>
      </c>
      <c r="H2824" t="s">
        <v>6727</v>
      </c>
    </row>
    <row r="2825" spans="1:8" ht="45" x14ac:dyDescent="0.25">
      <c r="A2825" s="21" t="s">
        <v>6729</v>
      </c>
      <c r="B2825" s="25" t="s">
        <v>6731</v>
      </c>
      <c r="C2825" s="26">
        <v>1</v>
      </c>
      <c r="D2825" s="27" t="s">
        <v>848</v>
      </c>
      <c r="E2825" s="26">
        <v>661.85</v>
      </c>
      <c r="F2825" s="28" t="s">
        <v>849</v>
      </c>
      <c r="G2825" s="26">
        <f>ROUND(C2825*E2825,0)</f>
        <v>662</v>
      </c>
      <c r="H2825" t="s">
        <v>6730</v>
      </c>
    </row>
    <row r="2826" spans="1:8" ht="45" x14ac:dyDescent="0.25">
      <c r="A2826" s="21" t="s">
        <v>6732</v>
      </c>
      <c r="B2826" s="25" t="s">
        <v>6734</v>
      </c>
      <c r="C2826" s="26"/>
      <c r="D2826" s="27"/>
      <c r="E2826" s="26"/>
      <c r="F2826" s="28"/>
      <c r="G2826" s="26"/>
      <c r="H2826" t="s">
        <v>6733</v>
      </c>
    </row>
    <row r="2827" spans="1:8" x14ac:dyDescent="0.25">
      <c r="A2827" s="21" t="s">
        <v>6735</v>
      </c>
      <c r="B2827" s="25" t="s">
        <v>6737</v>
      </c>
      <c r="C2827" s="26">
        <v>1</v>
      </c>
      <c r="D2827" s="27" t="s">
        <v>848</v>
      </c>
      <c r="E2827" s="26">
        <v>6352.4</v>
      </c>
      <c r="F2827" s="28" t="s">
        <v>849</v>
      </c>
      <c r="G2827" s="26">
        <f>ROUND(C2827*E2827,0)</f>
        <v>6352</v>
      </c>
      <c r="H2827" t="s">
        <v>6736</v>
      </c>
    </row>
    <row r="2828" spans="1:8" x14ac:dyDescent="0.25">
      <c r="A2828" s="21" t="s">
        <v>6738</v>
      </c>
      <c r="B2828" s="25" t="s">
        <v>6739</v>
      </c>
      <c r="C2828" s="26">
        <v>1</v>
      </c>
      <c r="D2828" s="27" t="s">
        <v>848</v>
      </c>
      <c r="E2828" s="26">
        <v>6352.4</v>
      </c>
      <c r="F2828" s="28" t="s">
        <v>849</v>
      </c>
      <c r="G2828" s="26">
        <f>ROUND(C2828*E2828,0)</f>
        <v>6352</v>
      </c>
      <c r="H2828" t="s">
        <v>6739</v>
      </c>
    </row>
    <row r="2829" spans="1:8" ht="45" x14ac:dyDescent="0.25">
      <c r="A2829" s="21" t="s">
        <v>6740</v>
      </c>
      <c r="B2829" s="25" t="s">
        <v>6742</v>
      </c>
      <c r="C2829" s="26"/>
      <c r="D2829" s="27"/>
      <c r="E2829" s="26"/>
      <c r="F2829" s="28"/>
      <c r="G2829" s="26"/>
      <c r="H2829" t="s">
        <v>6741</v>
      </c>
    </row>
    <row r="2830" spans="1:8" x14ac:dyDescent="0.25">
      <c r="A2830" s="21" t="s">
        <v>6743</v>
      </c>
      <c r="B2830" s="25" t="s">
        <v>6737</v>
      </c>
      <c r="C2830" s="26">
        <v>1</v>
      </c>
      <c r="D2830" s="27" t="s">
        <v>848</v>
      </c>
      <c r="E2830" s="26">
        <v>8913.15</v>
      </c>
      <c r="F2830" s="28" t="s">
        <v>849</v>
      </c>
      <c r="G2830" s="26">
        <f>ROUND(C2830*E2830,0)</f>
        <v>8913</v>
      </c>
      <c r="H2830" t="s">
        <v>6736</v>
      </c>
    </row>
    <row r="2831" spans="1:8" x14ac:dyDescent="0.25">
      <c r="A2831" s="21" t="s">
        <v>6744</v>
      </c>
      <c r="B2831" s="25" t="s">
        <v>6739</v>
      </c>
      <c r="C2831" s="26">
        <v>1</v>
      </c>
      <c r="D2831" s="27" t="s">
        <v>848</v>
      </c>
      <c r="E2831" s="26">
        <v>8486.35</v>
      </c>
      <c r="F2831" s="28" t="s">
        <v>849</v>
      </c>
      <c r="G2831" s="26">
        <f>ROUND(C2831*E2831,0)</f>
        <v>8486</v>
      </c>
      <c r="H2831" t="s">
        <v>6739</v>
      </c>
    </row>
    <row r="2832" spans="1:8" ht="30" x14ac:dyDescent="0.25">
      <c r="A2832" s="21" t="s">
        <v>6745</v>
      </c>
      <c r="B2832" s="25" t="s">
        <v>6747</v>
      </c>
      <c r="C2832" s="26"/>
      <c r="D2832" s="27"/>
      <c r="E2832" s="26"/>
      <c r="F2832" s="28"/>
      <c r="G2832" s="26"/>
      <c r="H2832" t="s">
        <v>6746</v>
      </c>
    </row>
    <row r="2833" spans="1:8" ht="45" x14ac:dyDescent="0.25">
      <c r="A2833" s="21" t="s">
        <v>6748</v>
      </c>
      <c r="B2833" s="25" t="s">
        <v>6749</v>
      </c>
      <c r="C2833" s="26">
        <v>1</v>
      </c>
      <c r="D2833" s="27" t="s">
        <v>110</v>
      </c>
      <c r="E2833" s="26">
        <v>1423.1</v>
      </c>
      <c r="F2833" s="28" t="s">
        <v>618</v>
      </c>
      <c r="G2833" s="26">
        <f t="shared" ref="G2833:G2843" si="77">ROUND(C2833*E2833,0)</f>
        <v>1423</v>
      </c>
      <c r="H2833" t="s">
        <v>3685</v>
      </c>
    </row>
    <row r="2834" spans="1:8" ht="45" x14ac:dyDescent="0.25">
      <c r="A2834" s="21" t="s">
        <v>6750</v>
      </c>
      <c r="B2834" s="25" t="s">
        <v>6752</v>
      </c>
      <c r="C2834" s="26">
        <v>1</v>
      </c>
      <c r="D2834" s="27" t="s">
        <v>110</v>
      </c>
      <c r="E2834" s="26">
        <v>1729.35</v>
      </c>
      <c r="F2834" s="28" t="s">
        <v>618</v>
      </c>
      <c r="G2834" s="26">
        <f t="shared" si="77"/>
        <v>1729</v>
      </c>
      <c r="H2834" t="s">
        <v>6751</v>
      </c>
    </row>
    <row r="2835" spans="1:8" ht="45" x14ac:dyDescent="0.25">
      <c r="A2835" s="21" t="s">
        <v>6753</v>
      </c>
      <c r="B2835" s="25" t="s">
        <v>6754</v>
      </c>
      <c r="C2835" s="26">
        <v>1</v>
      </c>
      <c r="D2835" s="27" t="s">
        <v>110</v>
      </c>
      <c r="E2835" s="26">
        <v>2037</v>
      </c>
      <c r="F2835" s="28" t="s">
        <v>618</v>
      </c>
      <c r="G2835" s="26">
        <f t="shared" si="77"/>
        <v>2037</v>
      </c>
      <c r="H2835" t="s">
        <v>5055</v>
      </c>
    </row>
    <row r="2836" spans="1:8" ht="45" x14ac:dyDescent="0.25">
      <c r="A2836" s="21" t="s">
        <v>6755</v>
      </c>
      <c r="B2836" s="25" t="s">
        <v>6757</v>
      </c>
      <c r="C2836" s="26">
        <v>1</v>
      </c>
      <c r="D2836" s="27" t="s">
        <v>110</v>
      </c>
      <c r="E2836" s="26">
        <v>3406.85</v>
      </c>
      <c r="F2836" s="28" t="s">
        <v>618</v>
      </c>
      <c r="G2836" s="26">
        <f t="shared" si="77"/>
        <v>3407</v>
      </c>
      <c r="H2836" t="s">
        <v>6756</v>
      </c>
    </row>
    <row r="2837" spans="1:8" ht="45" x14ac:dyDescent="0.25">
      <c r="A2837" s="21" t="s">
        <v>6758</v>
      </c>
      <c r="B2837" s="25" t="s">
        <v>6760</v>
      </c>
      <c r="C2837" s="26">
        <v>1</v>
      </c>
      <c r="D2837" s="27" t="s">
        <v>110</v>
      </c>
      <c r="E2837" s="26">
        <v>4639.8</v>
      </c>
      <c r="F2837" s="28" t="s">
        <v>618</v>
      </c>
      <c r="G2837" s="26">
        <f t="shared" si="77"/>
        <v>4640</v>
      </c>
      <c r="H2837" t="s">
        <v>6759</v>
      </c>
    </row>
    <row r="2838" spans="1:8" ht="45" x14ac:dyDescent="0.25">
      <c r="A2838" s="21" t="s">
        <v>6761</v>
      </c>
      <c r="B2838" s="25" t="s">
        <v>6763</v>
      </c>
      <c r="C2838" s="26">
        <v>1</v>
      </c>
      <c r="D2838" s="27" t="s">
        <v>110</v>
      </c>
      <c r="E2838" s="26">
        <v>6128.65</v>
      </c>
      <c r="F2838" s="28" t="s">
        <v>618</v>
      </c>
      <c r="G2838" s="26">
        <f t="shared" si="77"/>
        <v>6129</v>
      </c>
      <c r="H2838" t="s">
        <v>6762</v>
      </c>
    </row>
    <row r="2839" spans="1:8" ht="45" x14ac:dyDescent="0.25">
      <c r="A2839" s="21" t="s">
        <v>6764</v>
      </c>
      <c r="B2839" s="25" t="s">
        <v>6766</v>
      </c>
      <c r="C2839" s="26">
        <v>1</v>
      </c>
      <c r="D2839" s="27" t="s">
        <v>110</v>
      </c>
      <c r="E2839" s="26">
        <v>7343.8</v>
      </c>
      <c r="F2839" s="28" t="s">
        <v>618</v>
      </c>
      <c r="G2839" s="26">
        <f t="shared" si="77"/>
        <v>7344</v>
      </c>
      <c r="H2839" t="s">
        <v>6765</v>
      </c>
    </row>
    <row r="2840" spans="1:8" ht="45" x14ac:dyDescent="0.25">
      <c r="A2840" s="21" t="s">
        <v>6767</v>
      </c>
      <c r="B2840" s="25" t="s">
        <v>6769</v>
      </c>
      <c r="C2840" s="26">
        <v>1</v>
      </c>
      <c r="D2840" s="27" t="s">
        <v>110</v>
      </c>
      <c r="E2840" s="26">
        <v>9701</v>
      </c>
      <c r="F2840" s="28" t="s">
        <v>618</v>
      </c>
      <c r="G2840" s="26">
        <f t="shared" si="77"/>
        <v>9701</v>
      </c>
      <c r="H2840" t="s">
        <v>6768</v>
      </c>
    </row>
    <row r="2841" spans="1:8" ht="45" x14ac:dyDescent="0.25">
      <c r="A2841" s="21" t="s">
        <v>6770</v>
      </c>
      <c r="B2841" s="25" t="s">
        <v>6772</v>
      </c>
      <c r="C2841" s="26">
        <v>1</v>
      </c>
      <c r="D2841" s="27" t="s">
        <v>110</v>
      </c>
      <c r="E2841" s="26">
        <v>11714.85</v>
      </c>
      <c r="F2841" s="28" t="s">
        <v>618</v>
      </c>
      <c r="G2841" s="26">
        <f t="shared" si="77"/>
        <v>11715</v>
      </c>
      <c r="H2841" t="s">
        <v>6771</v>
      </c>
    </row>
    <row r="2842" spans="1:8" ht="45" x14ac:dyDescent="0.25">
      <c r="A2842" s="21" t="s">
        <v>6773</v>
      </c>
      <c r="B2842" s="25" t="s">
        <v>6775</v>
      </c>
      <c r="C2842" s="26">
        <v>1</v>
      </c>
      <c r="D2842" s="27" t="s">
        <v>110</v>
      </c>
      <c r="E2842" s="26">
        <v>13728.75</v>
      </c>
      <c r="F2842" s="28" t="s">
        <v>618</v>
      </c>
      <c r="G2842" s="26">
        <f t="shared" si="77"/>
        <v>13729</v>
      </c>
      <c r="H2842" t="s">
        <v>6774</v>
      </c>
    </row>
    <row r="2843" spans="1:8" ht="45" x14ac:dyDescent="0.25">
      <c r="A2843" s="21" t="s">
        <v>6776</v>
      </c>
      <c r="B2843" s="25" t="s">
        <v>6778</v>
      </c>
      <c r="C2843" s="26">
        <v>1</v>
      </c>
      <c r="D2843" s="27" t="s">
        <v>110</v>
      </c>
      <c r="E2843" s="26">
        <v>18636.45</v>
      </c>
      <c r="F2843" s="28" t="s">
        <v>618</v>
      </c>
      <c r="G2843" s="26">
        <f t="shared" si="77"/>
        <v>18636</v>
      </c>
      <c r="H2843" t="s">
        <v>6777</v>
      </c>
    </row>
    <row r="2844" spans="1:8" ht="45" x14ac:dyDescent="0.25">
      <c r="A2844" s="21" t="s">
        <v>6779</v>
      </c>
      <c r="B2844" s="25" t="s">
        <v>6781</v>
      </c>
      <c r="C2844" s="26"/>
      <c r="D2844" s="27"/>
      <c r="E2844" s="26"/>
      <c r="F2844" s="28"/>
      <c r="G2844" s="26"/>
      <c r="H2844" t="s">
        <v>6780</v>
      </c>
    </row>
    <row r="2845" spans="1:8" x14ac:dyDescent="0.25">
      <c r="A2845" s="21" t="s">
        <v>6782</v>
      </c>
      <c r="B2845" s="25" t="s">
        <v>6317</v>
      </c>
      <c r="C2845" s="26">
        <v>1</v>
      </c>
      <c r="D2845" s="27" t="s">
        <v>201</v>
      </c>
      <c r="E2845" s="26">
        <v>496.4</v>
      </c>
      <c r="F2845" s="28" t="s">
        <v>202</v>
      </c>
      <c r="G2845" s="26">
        <f t="shared" ref="G2845:G2856" si="78">ROUND(C2845*E2845,0)</f>
        <v>496</v>
      </c>
      <c r="H2845" t="s">
        <v>6325</v>
      </c>
    </row>
    <row r="2846" spans="1:8" x14ac:dyDescent="0.25">
      <c r="A2846" s="21" t="s">
        <v>6783</v>
      </c>
      <c r="B2846" s="25" t="s">
        <v>6785</v>
      </c>
      <c r="C2846" s="26">
        <v>1</v>
      </c>
      <c r="D2846" s="27" t="s">
        <v>201</v>
      </c>
      <c r="E2846" s="26">
        <v>737.5</v>
      </c>
      <c r="F2846" s="28" t="s">
        <v>202</v>
      </c>
      <c r="G2846" s="26">
        <f t="shared" si="78"/>
        <v>738</v>
      </c>
      <c r="H2846" t="s">
        <v>6784</v>
      </c>
    </row>
    <row r="2847" spans="1:8" x14ac:dyDescent="0.25">
      <c r="A2847" s="21" t="s">
        <v>6786</v>
      </c>
      <c r="B2847" s="25" t="s">
        <v>6788</v>
      </c>
      <c r="C2847" s="26">
        <v>1</v>
      </c>
      <c r="D2847" s="27" t="s">
        <v>201</v>
      </c>
      <c r="E2847" s="26">
        <v>744.85</v>
      </c>
      <c r="F2847" s="28" t="s">
        <v>202</v>
      </c>
      <c r="G2847" s="26">
        <f t="shared" si="78"/>
        <v>745</v>
      </c>
      <c r="H2847" t="s">
        <v>6787</v>
      </c>
    </row>
    <row r="2848" spans="1:8" x14ac:dyDescent="0.25">
      <c r="A2848" s="21" t="s">
        <v>6789</v>
      </c>
      <c r="B2848" s="25" t="s">
        <v>6790</v>
      </c>
      <c r="C2848" s="26">
        <v>1</v>
      </c>
      <c r="D2848" s="27" t="s">
        <v>201</v>
      </c>
      <c r="E2848" s="26">
        <v>990.2</v>
      </c>
      <c r="F2848" s="28" t="s">
        <v>202</v>
      </c>
      <c r="G2848" s="26">
        <f t="shared" si="78"/>
        <v>990</v>
      </c>
      <c r="H2848" t="s">
        <v>6790</v>
      </c>
    </row>
    <row r="2849" spans="1:8" x14ac:dyDescent="0.25">
      <c r="A2849" s="21" t="s">
        <v>6791</v>
      </c>
      <c r="B2849" s="25" t="s">
        <v>6793</v>
      </c>
      <c r="C2849" s="26">
        <v>1</v>
      </c>
      <c r="D2849" s="27" t="s">
        <v>201</v>
      </c>
      <c r="E2849" s="26">
        <v>1237.8</v>
      </c>
      <c r="F2849" s="28" t="s">
        <v>202</v>
      </c>
      <c r="G2849" s="26">
        <f t="shared" si="78"/>
        <v>1238</v>
      </c>
      <c r="H2849" t="s">
        <v>6792</v>
      </c>
    </row>
    <row r="2850" spans="1:8" x14ac:dyDescent="0.25">
      <c r="A2850" s="21" t="s">
        <v>6794</v>
      </c>
      <c r="B2850" s="25" t="s">
        <v>6796</v>
      </c>
      <c r="C2850" s="26">
        <v>1</v>
      </c>
      <c r="D2850" s="27" t="s">
        <v>201</v>
      </c>
      <c r="E2850" s="26">
        <v>1488.8</v>
      </c>
      <c r="F2850" s="28" t="s">
        <v>202</v>
      </c>
      <c r="G2850" s="26">
        <f t="shared" si="78"/>
        <v>1489</v>
      </c>
      <c r="H2850" t="s">
        <v>6795</v>
      </c>
    </row>
    <row r="2851" spans="1:8" x14ac:dyDescent="0.25">
      <c r="A2851" s="21" t="s">
        <v>6797</v>
      </c>
      <c r="B2851" s="25" t="s">
        <v>6799</v>
      </c>
      <c r="C2851" s="26">
        <v>1</v>
      </c>
      <c r="D2851" s="27" t="s">
        <v>201</v>
      </c>
      <c r="E2851" s="26">
        <v>1513.6</v>
      </c>
      <c r="F2851" s="28" t="s">
        <v>202</v>
      </c>
      <c r="G2851" s="26">
        <f t="shared" si="78"/>
        <v>1514</v>
      </c>
      <c r="H2851" t="s">
        <v>6798</v>
      </c>
    </row>
    <row r="2852" spans="1:8" x14ac:dyDescent="0.25">
      <c r="A2852" s="21" t="s">
        <v>6800</v>
      </c>
      <c r="B2852" s="25" t="s">
        <v>6802</v>
      </c>
      <c r="C2852" s="26">
        <v>1</v>
      </c>
      <c r="D2852" s="27" t="s">
        <v>201</v>
      </c>
      <c r="E2852" s="26">
        <v>1993.75</v>
      </c>
      <c r="F2852" s="28" t="s">
        <v>202</v>
      </c>
      <c r="G2852" s="26">
        <f t="shared" si="78"/>
        <v>1994</v>
      </c>
      <c r="H2852" t="s">
        <v>6801</v>
      </c>
    </row>
    <row r="2853" spans="1:8" x14ac:dyDescent="0.25">
      <c r="A2853" s="21" t="s">
        <v>6803</v>
      </c>
      <c r="B2853" s="25" t="s">
        <v>6805</v>
      </c>
      <c r="C2853" s="26">
        <v>1</v>
      </c>
      <c r="D2853" s="27" t="s">
        <v>201</v>
      </c>
      <c r="E2853" s="26">
        <v>2238.4499999999998</v>
      </c>
      <c r="F2853" s="28" t="s">
        <v>202</v>
      </c>
      <c r="G2853" s="26">
        <f t="shared" si="78"/>
        <v>2238</v>
      </c>
      <c r="H2853" t="s">
        <v>6804</v>
      </c>
    </row>
    <row r="2854" spans="1:8" x14ac:dyDescent="0.25">
      <c r="A2854" s="21" t="s">
        <v>6806</v>
      </c>
      <c r="B2854" s="25" t="s">
        <v>6808</v>
      </c>
      <c r="C2854" s="26">
        <v>1</v>
      </c>
      <c r="D2854" s="27" t="s">
        <v>201</v>
      </c>
      <c r="E2854" s="26">
        <v>2366.4499999999998</v>
      </c>
      <c r="F2854" s="28" t="s">
        <v>202</v>
      </c>
      <c r="G2854" s="26">
        <f t="shared" si="78"/>
        <v>2366</v>
      </c>
      <c r="H2854" t="s">
        <v>6807</v>
      </c>
    </row>
    <row r="2855" spans="1:8" x14ac:dyDescent="0.25">
      <c r="A2855" s="21" t="s">
        <v>6809</v>
      </c>
      <c r="B2855" s="25" t="s">
        <v>6811</v>
      </c>
      <c r="C2855" s="26">
        <v>1</v>
      </c>
      <c r="D2855" s="27" t="s">
        <v>201</v>
      </c>
      <c r="E2855" s="26">
        <v>3211.4</v>
      </c>
      <c r="F2855" s="28" t="s">
        <v>202</v>
      </c>
      <c r="G2855" s="26">
        <f t="shared" si="78"/>
        <v>3211</v>
      </c>
      <c r="H2855" t="s">
        <v>6810</v>
      </c>
    </row>
    <row r="2856" spans="1:8" x14ac:dyDescent="0.25">
      <c r="A2856" s="21" t="s">
        <v>6812</v>
      </c>
      <c r="B2856" s="25" t="s">
        <v>6814</v>
      </c>
      <c r="C2856" s="26">
        <v>1</v>
      </c>
      <c r="D2856" s="27" t="s">
        <v>848</v>
      </c>
      <c r="E2856" s="26">
        <v>29875.4</v>
      </c>
      <c r="F2856" s="28" t="s">
        <v>849</v>
      </c>
      <c r="G2856" s="26">
        <f t="shared" si="78"/>
        <v>29875</v>
      </c>
      <c r="H2856" t="s">
        <v>6813</v>
      </c>
    </row>
    <row r="2857" spans="1:8" ht="45" x14ac:dyDescent="0.25">
      <c r="A2857" s="21" t="s">
        <v>6815</v>
      </c>
      <c r="B2857" s="25" t="s">
        <v>6817</v>
      </c>
      <c r="C2857" s="26"/>
      <c r="D2857" s="27"/>
      <c r="E2857" s="26"/>
      <c r="F2857" s="28"/>
      <c r="G2857" s="26"/>
      <c r="H2857" t="s">
        <v>6816</v>
      </c>
    </row>
    <row r="2858" spans="1:8" x14ac:dyDescent="0.25">
      <c r="A2858" s="21" t="s">
        <v>6818</v>
      </c>
      <c r="B2858" s="25" t="s">
        <v>6820</v>
      </c>
      <c r="C2858" s="26">
        <v>1</v>
      </c>
      <c r="D2858" s="27" t="s">
        <v>201</v>
      </c>
      <c r="E2858" s="26">
        <v>215.1</v>
      </c>
      <c r="F2858" s="28" t="s">
        <v>202</v>
      </c>
      <c r="G2858" s="26">
        <f t="shared" ref="G2858:G2869" si="79">ROUND(C2858*E2858,0)</f>
        <v>215</v>
      </c>
      <c r="H2858" t="s">
        <v>6819</v>
      </c>
    </row>
    <row r="2859" spans="1:8" x14ac:dyDescent="0.25">
      <c r="A2859" s="21" t="s">
        <v>6821</v>
      </c>
      <c r="B2859" s="25" t="s">
        <v>6317</v>
      </c>
      <c r="C2859" s="26">
        <v>1</v>
      </c>
      <c r="D2859" s="27" t="s">
        <v>201</v>
      </c>
      <c r="E2859" s="26">
        <v>332</v>
      </c>
      <c r="F2859" s="28" t="s">
        <v>202</v>
      </c>
      <c r="G2859" s="26">
        <f t="shared" si="79"/>
        <v>332</v>
      </c>
      <c r="H2859" t="s">
        <v>6325</v>
      </c>
    </row>
    <row r="2860" spans="1:8" x14ac:dyDescent="0.25">
      <c r="A2860" s="21" t="s">
        <v>6822</v>
      </c>
      <c r="B2860" s="25" t="s">
        <v>6785</v>
      </c>
      <c r="C2860" s="26">
        <v>1</v>
      </c>
      <c r="D2860" s="27" t="s">
        <v>201</v>
      </c>
      <c r="E2860" s="26">
        <v>351.9</v>
      </c>
      <c r="F2860" s="28" t="s">
        <v>202</v>
      </c>
      <c r="G2860" s="26">
        <f t="shared" si="79"/>
        <v>352</v>
      </c>
      <c r="H2860" t="s">
        <v>6784</v>
      </c>
    </row>
    <row r="2861" spans="1:8" x14ac:dyDescent="0.25">
      <c r="A2861" s="21" t="s">
        <v>6823</v>
      </c>
      <c r="B2861" s="25" t="s">
        <v>6788</v>
      </c>
      <c r="C2861" s="26">
        <v>1</v>
      </c>
      <c r="D2861" s="27" t="s">
        <v>201</v>
      </c>
      <c r="E2861" s="26">
        <v>387.4</v>
      </c>
      <c r="F2861" s="28" t="s">
        <v>202</v>
      </c>
      <c r="G2861" s="26">
        <f t="shared" si="79"/>
        <v>387</v>
      </c>
      <c r="H2861" t="s">
        <v>6787</v>
      </c>
    </row>
    <row r="2862" spans="1:8" x14ac:dyDescent="0.25">
      <c r="A2862" s="21" t="s">
        <v>6824</v>
      </c>
      <c r="B2862" s="25" t="s">
        <v>6790</v>
      </c>
      <c r="C2862" s="26">
        <v>1</v>
      </c>
      <c r="D2862" s="27" t="s">
        <v>201</v>
      </c>
      <c r="E2862" s="26">
        <v>428.65</v>
      </c>
      <c r="F2862" s="28" t="s">
        <v>202</v>
      </c>
      <c r="G2862" s="26">
        <f t="shared" si="79"/>
        <v>429</v>
      </c>
      <c r="H2862" t="s">
        <v>6825</v>
      </c>
    </row>
    <row r="2863" spans="1:8" x14ac:dyDescent="0.25">
      <c r="A2863" s="21" t="s">
        <v>6826</v>
      </c>
      <c r="B2863" s="25" t="s">
        <v>6793</v>
      </c>
      <c r="C2863" s="26">
        <v>1</v>
      </c>
      <c r="D2863" s="27" t="s">
        <v>201</v>
      </c>
      <c r="E2863" s="26">
        <v>596.65</v>
      </c>
      <c r="F2863" s="28" t="s">
        <v>202</v>
      </c>
      <c r="G2863" s="26">
        <f t="shared" si="79"/>
        <v>597</v>
      </c>
      <c r="H2863" t="s">
        <v>6792</v>
      </c>
    </row>
    <row r="2864" spans="1:8" x14ac:dyDescent="0.25">
      <c r="A2864" s="21" t="s">
        <v>6827</v>
      </c>
      <c r="B2864" s="25" t="s">
        <v>6796</v>
      </c>
      <c r="C2864" s="26">
        <v>1</v>
      </c>
      <c r="D2864" s="27" t="s">
        <v>201</v>
      </c>
      <c r="E2864" s="26">
        <v>599.5</v>
      </c>
      <c r="F2864" s="28" t="s">
        <v>202</v>
      </c>
      <c r="G2864" s="26">
        <f t="shared" si="79"/>
        <v>600</v>
      </c>
      <c r="H2864" t="s">
        <v>6795</v>
      </c>
    </row>
    <row r="2865" spans="1:8" x14ac:dyDescent="0.25">
      <c r="A2865" s="21" t="s">
        <v>6828</v>
      </c>
      <c r="B2865" s="25" t="s">
        <v>6799</v>
      </c>
      <c r="C2865" s="26">
        <v>1</v>
      </c>
      <c r="D2865" s="27" t="s">
        <v>201</v>
      </c>
      <c r="E2865" s="26">
        <v>762.9</v>
      </c>
      <c r="F2865" s="28" t="s">
        <v>202</v>
      </c>
      <c r="G2865" s="26">
        <f t="shared" si="79"/>
        <v>763</v>
      </c>
      <c r="H2865" t="s">
        <v>6798</v>
      </c>
    </row>
    <row r="2866" spans="1:8" x14ac:dyDescent="0.25">
      <c r="A2866" s="21" t="s">
        <v>6829</v>
      </c>
      <c r="B2866" s="25" t="s">
        <v>6802</v>
      </c>
      <c r="C2866" s="26">
        <v>1</v>
      </c>
      <c r="D2866" s="27" t="s">
        <v>201</v>
      </c>
      <c r="E2866" s="26">
        <v>1066.8</v>
      </c>
      <c r="F2866" s="28" t="s">
        <v>202</v>
      </c>
      <c r="G2866" s="26">
        <f t="shared" si="79"/>
        <v>1067</v>
      </c>
      <c r="H2866" t="s">
        <v>6801</v>
      </c>
    </row>
    <row r="2867" spans="1:8" x14ac:dyDescent="0.25">
      <c r="A2867" s="21" t="s">
        <v>6830</v>
      </c>
      <c r="B2867" s="25" t="s">
        <v>6805</v>
      </c>
      <c r="C2867" s="26">
        <v>1</v>
      </c>
      <c r="D2867" s="27" t="s">
        <v>201</v>
      </c>
      <c r="E2867" s="26">
        <v>1305.5999999999999</v>
      </c>
      <c r="F2867" s="28" t="s">
        <v>202</v>
      </c>
      <c r="G2867" s="26">
        <f t="shared" si="79"/>
        <v>1306</v>
      </c>
      <c r="H2867" t="s">
        <v>6804</v>
      </c>
    </row>
    <row r="2868" spans="1:8" x14ac:dyDescent="0.25">
      <c r="A2868" s="21" t="s">
        <v>6831</v>
      </c>
      <c r="B2868" s="25" t="s">
        <v>6808</v>
      </c>
      <c r="C2868" s="26">
        <v>1</v>
      </c>
      <c r="D2868" s="27" t="s">
        <v>201</v>
      </c>
      <c r="E2868" s="26">
        <v>1437.8</v>
      </c>
      <c r="F2868" s="28" t="s">
        <v>202</v>
      </c>
      <c r="G2868" s="26">
        <f t="shared" si="79"/>
        <v>1438</v>
      </c>
      <c r="H2868" t="s">
        <v>6807</v>
      </c>
    </row>
    <row r="2869" spans="1:8" x14ac:dyDescent="0.25">
      <c r="A2869" s="21" t="s">
        <v>6832</v>
      </c>
      <c r="B2869" s="25" t="s">
        <v>6811</v>
      </c>
      <c r="C2869" s="26">
        <v>1</v>
      </c>
      <c r="D2869" s="27" t="s">
        <v>201</v>
      </c>
      <c r="E2869" s="26">
        <v>1704.1</v>
      </c>
      <c r="F2869" s="28" t="s">
        <v>202</v>
      </c>
      <c r="G2869" s="26">
        <f t="shared" si="79"/>
        <v>1704</v>
      </c>
      <c r="H2869" t="s">
        <v>6810</v>
      </c>
    </row>
    <row r="2870" spans="1:8" ht="60" x14ac:dyDescent="0.25">
      <c r="A2870" s="21" t="s">
        <v>6833</v>
      </c>
      <c r="B2870" s="25" t="s">
        <v>6835</v>
      </c>
      <c r="C2870" s="26"/>
      <c r="D2870" s="27"/>
      <c r="E2870" s="26"/>
      <c r="F2870" s="28"/>
      <c r="G2870" s="26"/>
      <c r="H2870" t="s">
        <v>6834</v>
      </c>
    </row>
    <row r="2871" spans="1:8" x14ac:dyDescent="0.25">
      <c r="A2871" s="21" t="s">
        <v>6836</v>
      </c>
      <c r="B2871" s="25" t="s">
        <v>3677</v>
      </c>
      <c r="C2871" s="26"/>
      <c r="D2871" s="27"/>
      <c r="E2871" s="26"/>
      <c r="F2871" s="28"/>
      <c r="G2871" s="26"/>
      <c r="H2871" t="s">
        <v>6837</v>
      </c>
    </row>
    <row r="2872" spans="1:8" x14ac:dyDescent="0.25">
      <c r="A2872" s="21" t="s">
        <v>6838</v>
      </c>
      <c r="B2872" s="25" t="s">
        <v>6840</v>
      </c>
      <c r="C2872" s="26">
        <v>1</v>
      </c>
      <c r="D2872" s="27" t="s">
        <v>201</v>
      </c>
      <c r="E2872" s="26">
        <v>4791.2</v>
      </c>
      <c r="F2872" s="28" t="s">
        <v>202</v>
      </c>
      <c r="G2872" s="26">
        <f>ROUND(C2872*E2872,0)</f>
        <v>4791</v>
      </c>
      <c r="H2872" t="s">
        <v>6839</v>
      </c>
    </row>
    <row r="2873" spans="1:8" x14ac:dyDescent="0.25">
      <c r="A2873" s="21" t="s">
        <v>6841</v>
      </c>
      <c r="B2873" s="25" t="s">
        <v>6843</v>
      </c>
      <c r="C2873" s="26">
        <v>1</v>
      </c>
      <c r="D2873" s="27" t="s">
        <v>201</v>
      </c>
      <c r="E2873" s="26">
        <v>4985.8500000000004</v>
      </c>
      <c r="F2873" s="28" t="s">
        <v>202</v>
      </c>
      <c r="G2873" s="26">
        <f>ROUND(C2873*E2873,0)</f>
        <v>4986</v>
      </c>
      <c r="H2873" t="s">
        <v>6842</v>
      </c>
    </row>
    <row r="2874" spans="1:8" x14ac:dyDescent="0.25">
      <c r="A2874" s="21" t="s">
        <v>6844</v>
      </c>
      <c r="B2874" s="25" t="s">
        <v>6846</v>
      </c>
      <c r="C2874" s="26"/>
      <c r="D2874" s="27"/>
      <c r="E2874" s="26"/>
      <c r="F2874" s="28"/>
      <c r="G2874" s="26"/>
      <c r="H2874" t="s">
        <v>6845</v>
      </c>
    </row>
    <row r="2875" spans="1:8" x14ac:dyDescent="0.25">
      <c r="A2875" s="21" t="s">
        <v>6847</v>
      </c>
      <c r="B2875" s="25" t="s">
        <v>6840</v>
      </c>
      <c r="C2875" s="26">
        <v>1</v>
      </c>
      <c r="D2875" s="27" t="s">
        <v>201</v>
      </c>
      <c r="E2875" s="26">
        <v>5160.8</v>
      </c>
      <c r="F2875" s="28" t="s">
        <v>202</v>
      </c>
      <c r="G2875" s="26">
        <f>ROUND(C2875*E2875,0)</f>
        <v>5161</v>
      </c>
      <c r="H2875" t="s">
        <v>6839</v>
      </c>
    </row>
    <row r="2876" spans="1:8" x14ac:dyDescent="0.25">
      <c r="A2876" s="21" t="s">
        <v>6848</v>
      </c>
      <c r="B2876" s="25" t="s">
        <v>6843</v>
      </c>
      <c r="C2876" s="26">
        <v>1</v>
      </c>
      <c r="D2876" s="27" t="s">
        <v>201</v>
      </c>
      <c r="E2876" s="26">
        <v>5943</v>
      </c>
      <c r="F2876" s="28" t="s">
        <v>202</v>
      </c>
      <c r="G2876" s="26">
        <f>ROUND(C2876*E2876,0)</f>
        <v>5943</v>
      </c>
      <c r="H2876" t="s">
        <v>6842</v>
      </c>
    </row>
    <row r="2877" spans="1:8" x14ac:dyDescent="0.25">
      <c r="A2877" s="21" t="s">
        <v>6849</v>
      </c>
      <c r="B2877" s="25" t="s">
        <v>3680</v>
      </c>
      <c r="C2877" s="26"/>
      <c r="D2877" s="27"/>
      <c r="E2877" s="26"/>
      <c r="F2877" s="28"/>
      <c r="G2877" s="26"/>
      <c r="H2877" t="s">
        <v>6850</v>
      </c>
    </row>
    <row r="2878" spans="1:8" x14ac:dyDescent="0.25">
      <c r="A2878" s="21" t="s">
        <v>6851</v>
      </c>
      <c r="B2878" s="25" t="s">
        <v>6840</v>
      </c>
      <c r="C2878" s="26">
        <v>1</v>
      </c>
      <c r="D2878" s="27" t="s">
        <v>201</v>
      </c>
      <c r="E2878" s="26">
        <v>6966.55</v>
      </c>
      <c r="F2878" s="28" t="s">
        <v>202</v>
      </c>
      <c r="G2878" s="26">
        <f>ROUND(C2878*E2878,0)</f>
        <v>6967</v>
      </c>
      <c r="H2878" t="s">
        <v>6839</v>
      </c>
    </row>
    <row r="2879" spans="1:8" x14ac:dyDescent="0.25">
      <c r="A2879" s="21" t="s">
        <v>6852</v>
      </c>
      <c r="B2879" s="25" t="s">
        <v>6843</v>
      </c>
      <c r="C2879" s="26">
        <v>1</v>
      </c>
      <c r="D2879" s="27" t="s">
        <v>201</v>
      </c>
      <c r="E2879" s="26">
        <v>7312.4</v>
      </c>
      <c r="F2879" s="28" t="s">
        <v>202</v>
      </c>
      <c r="G2879" s="26">
        <f>ROUND(C2879*E2879,0)</f>
        <v>7312</v>
      </c>
      <c r="H2879" t="s">
        <v>6842</v>
      </c>
    </row>
    <row r="2880" spans="1:8" x14ac:dyDescent="0.25">
      <c r="A2880" s="21" t="s">
        <v>6853</v>
      </c>
      <c r="B2880" s="25" t="s">
        <v>6855</v>
      </c>
      <c r="C2880" s="26"/>
      <c r="D2880" s="27"/>
      <c r="E2880" s="26"/>
      <c r="F2880" s="28"/>
      <c r="G2880" s="26"/>
      <c r="H2880" t="s">
        <v>6854</v>
      </c>
    </row>
    <row r="2881" spans="1:8" x14ac:dyDescent="0.25">
      <c r="A2881" s="21" t="s">
        <v>6856</v>
      </c>
      <c r="B2881" s="25" t="s">
        <v>6840</v>
      </c>
      <c r="C2881" s="26">
        <v>1</v>
      </c>
      <c r="D2881" s="27" t="s">
        <v>201</v>
      </c>
      <c r="E2881" s="26">
        <v>13554.7</v>
      </c>
      <c r="F2881" s="28" t="s">
        <v>202</v>
      </c>
      <c r="G2881" s="26">
        <f>ROUND(C2881*E2881,0)</f>
        <v>13555</v>
      </c>
      <c r="H2881" t="s">
        <v>6839</v>
      </c>
    </row>
    <row r="2882" spans="1:8" x14ac:dyDescent="0.25">
      <c r="A2882" s="21" t="s">
        <v>6857</v>
      </c>
      <c r="B2882" s="25" t="s">
        <v>6843</v>
      </c>
      <c r="C2882" s="26">
        <v>1</v>
      </c>
      <c r="D2882" s="27" t="s">
        <v>201</v>
      </c>
      <c r="E2882" s="26">
        <v>14622.95</v>
      </c>
      <c r="F2882" s="28" t="s">
        <v>202</v>
      </c>
      <c r="G2882" s="26">
        <f>ROUND(C2882*E2882,0)</f>
        <v>14623</v>
      </c>
      <c r="H2882" t="s">
        <v>6842</v>
      </c>
    </row>
    <row r="2883" spans="1:8" x14ac:dyDescent="0.25">
      <c r="A2883" s="21" t="s">
        <v>6858</v>
      </c>
      <c r="B2883" s="25" t="s">
        <v>6860</v>
      </c>
      <c r="C2883" s="26"/>
      <c r="D2883" s="27"/>
      <c r="E2883" s="26"/>
      <c r="F2883" s="28"/>
      <c r="G2883" s="26"/>
      <c r="H2883" t="s">
        <v>6859</v>
      </c>
    </row>
    <row r="2884" spans="1:8" x14ac:dyDescent="0.25">
      <c r="A2884" s="21" t="s">
        <v>6861</v>
      </c>
      <c r="B2884" s="25" t="s">
        <v>6840</v>
      </c>
      <c r="C2884" s="26">
        <v>1</v>
      </c>
      <c r="D2884" s="27" t="s">
        <v>201</v>
      </c>
      <c r="E2884" s="26">
        <v>19566.55</v>
      </c>
      <c r="F2884" s="28" t="s">
        <v>202</v>
      </c>
      <c r="G2884" s="26">
        <f>ROUND(C2884*E2884,0)</f>
        <v>19567</v>
      </c>
      <c r="H2884" t="s">
        <v>6839</v>
      </c>
    </row>
    <row r="2885" spans="1:8" x14ac:dyDescent="0.25">
      <c r="A2885" s="21" t="s">
        <v>6862</v>
      </c>
      <c r="B2885" s="25" t="s">
        <v>6843</v>
      </c>
      <c r="C2885" s="26">
        <v>1</v>
      </c>
      <c r="D2885" s="27" t="s">
        <v>201</v>
      </c>
      <c r="E2885" s="26">
        <v>24623.5</v>
      </c>
      <c r="F2885" s="28" t="s">
        <v>202</v>
      </c>
      <c r="G2885" s="26">
        <f>ROUND(C2885*E2885,0)</f>
        <v>24624</v>
      </c>
      <c r="H2885" t="s">
        <v>6842</v>
      </c>
    </row>
    <row r="2886" spans="1:8" x14ac:dyDescent="0.25">
      <c r="A2886" s="21" t="s">
        <v>6863</v>
      </c>
      <c r="B2886" s="25" t="s">
        <v>6865</v>
      </c>
      <c r="C2886" s="26"/>
      <c r="D2886" s="27"/>
      <c r="E2886" s="26"/>
      <c r="F2886" s="28"/>
      <c r="G2886" s="26"/>
      <c r="H2886" t="s">
        <v>6864</v>
      </c>
    </row>
    <row r="2887" spans="1:8" x14ac:dyDescent="0.25">
      <c r="A2887" s="21" t="s">
        <v>6866</v>
      </c>
      <c r="B2887" s="25" t="s">
        <v>6840</v>
      </c>
      <c r="C2887" s="26">
        <v>1</v>
      </c>
      <c r="D2887" s="27" t="s">
        <v>201</v>
      </c>
      <c r="E2887" s="26">
        <v>27059.3</v>
      </c>
      <c r="F2887" s="28" t="s">
        <v>202</v>
      </c>
      <c r="G2887" s="26">
        <f>ROUND(C2887*E2887,0)</f>
        <v>27059</v>
      </c>
      <c r="H2887" t="s">
        <v>6839</v>
      </c>
    </row>
    <row r="2888" spans="1:8" x14ac:dyDescent="0.25">
      <c r="A2888" s="21" t="s">
        <v>6867</v>
      </c>
      <c r="B2888" s="25" t="s">
        <v>6843</v>
      </c>
      <c r="C2888" s="26">
        <v>1</v>
      </c>
      <c r="D2888" s="27" t="s">
        <v>201</v>
      </c>
      <c r="E2888" s="26">
        <v>30203</v>
      </c>
      <c r="F2888" s="28" t="s">
        <v>202</v>
      </c>
      <c r="G2888" s="26">
        <f>ROUND(C2888*E2888,0)</f>
        <v>30203</v>
      </c>
      <c r="H2888" t="s">
        <v>6842</v>
      </c>
    </row>
    <row r="2889" spans="1:8" ht="210" x14ac:dyDescent="0.25">
      <c r="A2889" s="21" t="s">
        <v>6868</v>
      </c>
      <c r="B2889" s="25" t="s">
        <v>6869</v>
      </c>
      <c r="C2889" s="26"/>
      <c r="D2889" s="27"/>
      <c r="E2889" s="26"/>
      <c r="F2889" s="28"/>
      <c r="G2889" s="26"/>
      <c r="H2889" t="s">
        <v>6869</v>
      </c>
    </row>
    <row r="2890" spans="1:8" ht="30" x14ac:dyDescent="0.25">
      <c r="A2890" s="21" t="s">
        <v>6870</v>
      </c>
      <c r="B2890" s="25" t="s">
        <v>1259</v>
      </c>
      <c r="C2890" s="26">
        <v>1</v>
      </c>
      <c r="D2890" s="27" t="s">
        <v>201</v>
      </c>
      <c r="E2890" s="26">
        <v>1992.6</v>
      </c>
      <c r="F2890" s="28" t="s">
        <v>202</v>
      </c>
      <c r="G2890" s="26">
        <f>ROUND(C2890*E2890,0)</f>
        <v>1993</v>
      </c>
      <c r="H2890" t="s">
        <v>1264</v>
      </c>
    </row>
    <row r="2891" spans="1:8" ht="210" x14ac:dyDescent="0.25">
      <c r="A2891" s="21" t="s">
        <v>6871</v>
      </c>
      <c r="B2891" s="25" t="s">
        <v>6872</v>
      </c>
      <c r="C2891" s="26"/>
      <c r="D2891" s="27"/>
      <c r="E2891" s="26"/>
      <c r="F2891" s="28"/>
      <c r="G2891" s="26"/>
      <c r="H2891" t="s">
        <v>6872</v>
      </c>
    </row>
    <row r="2892" spans="1:8" ht="30" x14ac:dyDescent="0.25">
      <c r="A2892" s="21" t="s">
        <v>6873</v>
      </c>
      <c r="B2892" s="25" t="s">
        <v>1259</v>
      </c>
      <c r="C2892" s="26">
        <v>1</v>
      </c>
      <c r="D2892" s="27" t="s">
        <v>201</v>
      </c>
      <c r="E2892" s="26">
        <v>10862.4</v>
      </c>
      <c r="F2892" s="28" t="s">
        <v>202</v>
      </c>
      <c r="G2892" s="26">
        <f>ROUND(C2892*E2892,0)</f>
        <v>10862</v>
      </c>
      <c r="H2892" t="s">
        <v>1264</v>
      </c>
    </row>
    <row r="2893" spans="1:8" ht="210" x14ac:dyDescent="0.25">
      <c r="A2893" s="21" t="s">
        <v>6874</v>
      </c>
      <c r="B2893" s="25" t="s">
        <v>6875</v>
      </c>
      <c r="C2893" s="26"/>
      <c r="D2893" s="27"/>
      <c r="E2893" s="26"/>
      <c r="F2893" s="28"/>
      <c r="G2893" s="26"/>
      <c r="H2893" t="s">
        <v>6875</v>
      </c>
    </row>
    <row r="2894" spans="1:8" ht="30" x14ac:dyDescent="0.25">
      <c r="A2894" s="21" t="s">
        <v>6876</v>
      </c>
      <c r="B2894" s="25" t="s">
        <v>1259</v>
      </c>
      <c r="C2894" s="26">
        <v>1</v>
      </c>
      <c r="D2894" s="27" t="s">
        <v>201</v>
      </c>
      <c r="E2894" s="26">
        <v>18896.7</v>
      </c>
      <c r="F2894" s="28" t="s">
        <v>202</v>
      </c>
      <c r="G2894" s="26">
        <f>ROUND(C2894*E2894,0)</f>
        <v>18897</v>
      </c>
      <c r="H2894" t="s">
        <v>105</v>
      </c>
    </row>
    <row r="2895" spans="1:8" ht="210" x14ac:dyDescent="0.25">
      <c r="A2895" s="21" t="s">
        <v>6877</v>
      </c>
      <c r="B2895" s="25" t="s">
        <v>6878</v>
      </c>
      <c r="C2895" s="26"/>
      <c r="D2895" s="27"/>
      <c r="E2895" s="26"/>
      <c r="F2895" s="28"/>
      <c r="G2895" s="26"/>
      <c r="H2895" t="s">
        <v>6878</v>
      </c>
    </row>
    <row r="2896" spans="1:8" ht="30" x14ac:dyDescent="0.25">
      <c r="A2896" s="21" t="s">
        <v>6879</v>
      </c>
      <c r="B2896" s="25" t="s">
        <v>1259</v>
      </c>
      <c r="C2896" s="26">
        <v>1</v>
      </c>
      <c r="D2896" s="27" t="s">
        <v>201</v>
      </c>
      <c r="E2896" s="26">
        <v>26163.4</v>
      </c>
      <c r="F2896" s="28" t="s">
        <v>202</v>
      </c>
      <c r="G2896" s="26">
        <f>ROUND(C2896*E2896,0)</f>
        <v>26163</v>
      </c>
      <c r="H2896" t="s">
        <v>105</v>
      </c>
    </row>
    <row r="2897" spans="1:8" ht="195" x14ac:dyDescent="0.25">
      <c r="A2897" s="21" t="s">
        <v>6880</v>
      </c>
      <c r="B2897" s="25" t="s">
        <v>6881</v>
      </c>
      <c r="C2897" s="26"/>
      <c r="D2897" s="27"/>
      <c r="E2897" s="26"/>
      <c r="F2897" s="28"/>
      <c r="G2897" s="26"/>
      <c r="H2897" t="s">
        <v>6881</v>
      </c>
    </row>
    <row r="2898" spans="1:8" ht="30" x14ac:dyDescent="0.25">
      <c r="A2898" s="21" t="s">
        <v>6882</v>
      </c>
      <c r="B2898" s="25" t="s">
        <v>1259</v>
      </c>
      <c r="C2898" s="26">
        <v>1</v>
      </c>
      <c r="D2898" s="27" t="s">
        <v>201</v>
      </c>
      <c r="E2898" s="26">
        <v>10354.950000000001</v>
      </c>
      <c r="F2898" s="28" t="s">
        <v>202</v>
      </c>
      <c r="G2898" s="26">
        <f>ROUND(C2898*E2898,0)</f>
        <v>10355</v>
      </c>
      <c r="H2898" t="s">
        <v>105</v>
      </c>
    </row>
    <row r="2899" spans="1:8" ht="210" x14ac:dyDescent="0.25">
      <c r="A2899" s="21" t="s">
        <v>6883</v>
      </c>
      <c r="B2899" s="25" t="s">
        <v>6884</v>
      </c>
      <c r="C2899" s="26"/>
      <c r="D2899" s="27"/>
      <c r="E2899" s="26"/>
      <c r="F2899" s="28"/>
      <c r="G2899" s="26"/>
      <c r="H2899" t="s">
        <v>6884</v>
      </c>
    </row>
    <row r="2900" spans="1:8" ht="30" x14ac:dyDescent="0.25">
      <c r="A2900" s="21" t="s">
        <v>6885</v>
      </c>
      <c r="B2900" s="25" t="s">
        <v>1259</v>
      </c>
      <c r="C2900" s="26">
        <v>1</v>
      </c>
      <c r="D2900" s="27" t="s">
        <v>201</v>
      </c>
      <c r="E2900" s="26">
        <v>9698.5499999999993</v>
      </c>
      <c r="F2900" s="28" t="s">
        <v>202</v>
      </c>
      <c r="G2900" s="26">
        <f>ROUND(C2900*E2900,0)</f>
        <v>9699</v>
      </c>
      <c r="H2900" t="s">
        <v>1264</v>
      </c>
    </row>
    <row r="2901" spans="1:8" ht="60" x14ac:dyDescent="0.25">
      <c r="A2901" s="21" t="s">
        <v>6886</v>
      </c>
      <c r="B2901" s="25" t="s">
        <v>6888</v>
      </c>
      <c r="C2901" s="26"/>
      <c r="D2901" s="27"/>
      <c r="E2901" s="26"/>
      <c r="F2901" s="28"/>
      <c r="G2901" s="26"/>
      <c r="H2901" t="s">
        <v>6887</v>
      </c>
    </row>
    <row r="2902" spans="1:8" ht="45" x14ac:dyDescent="0.25">
      <c r="A2902" s="21" t="s">
        <v>6889</v>
      </c>
      <c r="B2902" s="25" t="s">
        <v>6891</v>
      </c>
      <c r="C2902" s="26">
        <v>1</v>
      </c>
      <c r="D2902" s="27" t="s">
        <v>110</v>
      </c>
      <c r="E2902" s="26">
        <v>19.399999999999999</v>
      </c>
      <c r="F2902" s="28" t="s">
        <v>618</v>
      </c>
      <c r="G2902" s="26">
        <f t="shared" ref="G2902:G2907" si="80">ROUND(C2902*E2902,0)</f>
        <v>19</v>
      </c>
      <c r="H2902" t="s">
        <v>6890</v>
      </c>
    </row>
    <row r="2903" spans="1:8" ht="45" x14ac:dyDescent="0.25">
      <c r="A2903" s="21" t="s">
        <v>6892</v>
      </c>
      <c r="B2903" s="25" t="s">
        <v>6894</v>
      </c>
      <c r="C2903" s="26">
        <v>1</v>
      </c>
      <c r="D2903" s="27" t="s">
        <v>110</v>
      </c>
      <c r="E2903" s="26">
        <v>23.25</v>
      </c>
      <c r="F2903" s="28" t="s">
        <v>618</v>
      </c>
      <c r="G2903" s="26">
        <f t="shared" si="80"/>
        <v>23</v>
      </c>
      <c r="H2903" t="s">
        <v>6893</v>
      </c>
    </row>
    <row r="2904" spans="1:8" ht="45" x14ac:dyDescent="0.25">
      <c r="A2904" s="21" t="s">
        <v>6895</v>
      </c>
      <c r="B2904" s="25" t="s">
        <v>6897</v>
      </c>
      <c r="C2904" s="26">
        <v>1</v>
      </c>
      <c r="D2904" s="27" t="s">
        <v>110</v>
      </c>
      <c r="E2904" s="26">
        <v>30.25</v>
      </c>
      <c r="F2904" s="28" t="s">
        <v>618</v>
      </c>
      <c r="G2904" s="26">
        <f t="shared" si="80"/>
        <v>30</v>
      </c>
      <c r="H2904" t="s">
        <v>6896</v>
      </c>
    </row>
    <row r="2905" spans="1:8" ht="45" x14ac:dyDescent="0.25">
      <c r="A2905" s="21" t="s">
        <v>6898</v>
      </c>
      <c r="B2905" s="25" t="s">
        <v>6900</v>
      </c>
      <c r="C2905" s="26">
        <v>1</v>
      </c>
      <c r="D2905" s="27" t="s">
        <v>110</v>
      </c>
      <c r="E2905" s="26">
        <v>36.35</v>
      </c>
      <c r="F2905" s="28" t="s">
        <v>618</v>
      </c>
      <c r="G2905" s="26">
        <f t="shared" si="80"/>
        <v>36</v>
      </c>
      <c r="H2905" t="s">
        <v>6899</v>
      </c>
    </row>
    <row r="2906" spans="1:8" ht="45" x14ac:dyDescent="0.25">
      <c r="A2906" s="21" t="s">
        <v>6901</v>
      </c>
      <c r="B2906" s="25" t="s">
        <v>6903</v>
      </c>
      <c r="C2906" s="26">
        <v>1</v>
      </c>
      <c r="D2906" s="27" t="s">
        <v>110</v>
      </c>
      <c r="E2906" s="26">
        <v>42.65</v>
      </c>
      <c r="F2906" s="28" t="s">
        <v>618</v>
      </c>
      <c r="G2906" s="26">
        <f t="shared" si="80"/>
        <v>43</v>
      </c>
      <c r="H2906" t="s">
        <v>6902</v>
      </c>
    </row>
    <row r="2907" spans="1:8" ht="45" x14ac:dyDescent="0.25">
      <c r="A2907" s="21" t="s">
        <v>6904</v>
      </c>
      <c r="B2907" s="25" t="s">
        <v>6906</v>
      </c>
      <c r="C2907" s="26">
        <v>1</v>
      </c>
      <c r="D2907" s="27" t="s">
        <v>110</v>
      </c>
      <c r="E2907" s="26">
        <v>51</v>
      </c>
      <c r="F2907" s="28" t="s">
        <v>618</v>
      </c>
      <c r="G2907" s="26">
        <f t="shared" si="80"/>
        <v>51</v>
      </c>
      <c r="H2907" t="s">
        <v>6905</v>
      </c>
    </row>
    <row r="2908" spans="1:8" ht="45" x14ac:dyDescent="0.25">
      <c r="A2908" s="21" t="s">
        <v>6907</v>
      </c>
      <c r="B2908" s="25" t="s">
        <v>6909</v>
      </c>
      <c r="C2908" s="26"/>
      <c r="D2908" s="27"/>
      <c r="E2908" s="26"/>
      <c r="F2908" s="28"/>
      <c r="G2908" s="26"/>
      <c r="H2908" t="s">
        <v>6908</v>
      </c>
    </row>
    <row r="2909" spans="1:8" ht="45" x14ac:dyDescent="0.25">
      <c r="A2909" s="21" t="s">
        <v>6910</v>
      </c>
      <c r="B2909" s="25" t="s">
        <v>6891</v>
      </c>
      <c r="C2909" s="26">
        <v>1</v>
      </c>
      <c r="D2909" s="27" t="s">
        <v>110</v>
      </c>
      <c r="E2909" s="26">
        <v>9.5</v>
      </c>
      <c r="F2909" s="28" t="s">
        <v>618</v>
      </c>
      <c r="G2909" s="26">
        <f t="shared" ref="G2909:G2916" si="81">ROUND(C2909*E2909,0)</f>
        <v>10</v>
      </c>
      <c r="H2909" t="s">
        <v>6890</v>
      </c>
    </row>
    <row r="2910" spans="1:8" ht="45" x14ac:dyDescent="0.25">
      <c r="A2910" s="21" t="s">
        <v>6911</v>
      </c>
      <c r="B2910" s="25" t="s">
        <v>6894</v>
      </c>
      <c r="C2910" s="26">
        <v>1</v>
      </c>
      <c r="D2910" s="27" t="s">
        <v>110</v>
      </c>
      <c r="E2910" s="26">
        <v>11.3</v>
      </c>
      <c r="F2910" s="28" t="s">
        <v>618</v>
      </c>
      <c r="G2910" s="26">
        <f t="shared" si="81"/>
        <v>11</v>
      </c>
      <c r="H2910" t="s">
        <v>6893</v>
      </c>
    </row>
    <row r="2911" spans="1:8" ht="45" x14ac:dyDescent="0.25">
      <c r="A2911" s="21" t="s">
        <v>6912</v>
      </c>
      <c r="B2911" s="25" t="s">
        <v>6913</v>
      </c>
      <c r="C2911" s="26">
        <v>1</v>
      </c>
      <c r="D2911" s="27" t="s">
        <v>110</v>
      </c>
      <c r="E2911" s="26">
        <v>14.4</v>
      </c>
      <c r="F2911" s="28" t="s">
        <v>618</v>
      </c>
      <c r="G2911" s="26">
        <f t="shared" si="81"/>
        <v>14</v>
      </c>
      <c r="H2911" t="s">
        <v>6896</v>
      </c>
    </row>
    <row r="2912" spans="1:8" ht="45" x14ac:dyDescent="0.25">
      <c r="A2912" s="21" t="s">
        <v>6914</v>
      </c>
      <c r="B2912" s="25" t="s">
        <v>6915</v>
      </c>
      <c r="C2912" s="26">
        <v>1</v>
      </c>
      <c r="D2912" s="27" t="s">
        <v>110</v>
      </c>
      <c r="E2912" s="26">
        <v>17.25</v>
      </c>
      <c r="F2912" s="28" t="s">
        <v>618</v>
      </c>
      <c r="G2912" s="26">
        <f t="shared" si="81"/>
        <v>17</v>
      </c>
      <c r="H2912" t="s">
        <v>6899</v>
      </c>
    </row>
    <row r="2913" spans="1:8" ht="45" x14ac:dyDescent="0.25">
      <c r="A2913" s="21" t="s">
        <v>6916</v>
      </c>
      <c r="B2913" s="25" t="s">
        <v>6917</v>
      </c>
      <c r="C2913" s="26">
        <v>1</v>
      </c>
      <c r="D2913" s="27" t="s">
        <v>110</v>
      </c>
      <c r="E2913" s="26">
        <v>20</v>
      </c>
      <c r="F2913" s="28" t="s">
        <v>618</v>
      </c>
      <c r="G2913" s="26">
        <f t="shared" si="81"/>
        <v>20</v>
      </c>
      <c r="H2913" t="s">
        <v>6902</v>
      </c>
    </row>
    <row r="2914" spans="1:8" ht="45" x14ac:dyDescent="0.25">
      <c r="A2914" s="21" t="s">
        <v>6918</v>
      </c>
      <c r="B2914" s="25" t="s">
        <v>6919</v>
      </c>
      <c r="C2914" s="26">
        <v>1</v>
      </c>
      <c r="D2914" s="27" t="s">
        <v>110</v>
      </c>
      <c r="E2914" s="26">
        <v>23.85</v>
      </c>
      <c r="F2914" s="28" t="s">
        <v>618</v>
      </c>
      <c r="G2914" s="26">
        <f t="shared" si="81"/>
        <v>24</v>
      </c>
      <c r="H2914" t="s">
        <v>6905</v>
      </c>
    </row>
    <row r="2915" spans="1:8" ht="45" x14ac:dyDescent="0.25">
      <c r="A2915" s="21" t="s">
        <v>6920</v>
      </c>
      <c r="B2915" s="25" t="s">
        <v>6921</v>
      </c>
      <c r="C2915" s="26">
        <v>1</v>
      </c>
      <c r="D2915" s="27" t="s">
        <v>110</v>
      </c>
      <c r="E2915" s="26">
        <v>37.85</v>
      </c>
      <c r="F2915" s="28" t="s">
        <v>618</v>
      </c>
      <c r="G2915" s="26">
        <f t="shared" si="81"/>
        <v>38</v>
      </c>
      <c r="H2915" t="s">
        <v>105</v>
      </c>
    </row>
    <row r="2916" spans="1:8" ht="45" x14ac:dyDescent="0.25">
      <c r="A2916" s="21" t="s">
        <v>6922</v>
      </c>
      <c r="B2916" s="25" t="s">
        <v>6820</v>
      </c>
      <c r="C2916" s="26">
        <v>1</v>
      </c>
      <c r="D2916" s="27" t="s">
        <v>110</v>
      </c>
      <c r="E2916" s="26">
        <v>44</v>
      </c>
      <c r="F2916" s="28" t="s">
        <v>618</v>
      </c>
      <c r="G2916" s="26">
        <f t="shared" si="81"/>
        <v>44</v>
      </c>
      <c r="H2916" t="s">
        <v>105</v>
      </c>
    </row>
    <row r="2917" spans="1:8" ht="45" x14ac:dyDescent="0.25">
      <c r="A2917" s="21" t="s">
        <v>6923</v>
      </c>
      <c r="B2917" s="25" t="s">
        <v>6925</v>
      </c>
      <c r="C2917" s="26"/>
      <c r="D2917" s="27"/>
      <c r="E2917" s="26"/>
      <c r="F2917" s="28"/>
      <c r="G2917" s="26"/>
      <c r="H2917" t="s">
        <v>6924</v>
      </c>
    </row>
    <row r="2918" spans="1:8" ht="45" x14ac:dyDescent="0.25">
      <c r="A2918" s="21" t="s">
        <v>6926</v>
      </c>
      <c r="B2918" s="25" t="s">
        <v>6927</v>
      </c>
      <c r="C2918" s="26">
        <v>1</v>
      </c>
      <c r="D2918" s="27" t="s">
        <v>110</v>
      </c>
      <c r="E2918" s="26">
        <v>12.05</v>
      </c>
      <c r="F2918" s="28" t="s">
        <v>618</v>
      </c>
      <c r="G2918" s="26">
        <f t="shared" ref="G2918:G2925" si="82">ROUND(C2918*E2918,0)</f>
        <v>12</v>
      </c>
      <c r="H2918" t="s">
        <v>6890</v>
      </c>
    </row>
    <row r="2919" spans="1:8" ht="45" x14ac:dyDescent="0.25">
      <c r="A2919" s="21" t="s">
        <v>6928</v>
      </c>
      <c r="B2919" s="25" t="s">
        <v>6929</v>
      </c>
      <c r="C2919" s="26">
        <v>1</v>
      </c>
      <c r="D2919" s="27" t="s">
        <v>110</v>
      </c>
      <c r="E2919" s="26">
        <v>14.45</v>
      </c>
      <c r="F2919" s="28" t="s">
        <v>618</v>
      </c>
      <c r="G2919" s="26">
        <f t="shared" si="82"/>
        <v>14</v>
      </c>
      <c r="H2919" t="s">
        <v>6893</v>
      </c>
    </row>
    <row r="2920" spans="1:8" ht="45" x14ac:dyDescent="0.25">
      <c r="A2920" s="21" t="s">
        <v>6930</v>
      </c>
      <c r="B2920" s="25" t="s">
        <v>6913</v>
      </c>
      <c r="C2920" s="26">
        <v>1</v>
      </c>
      <c r="D2920" s="27" t="s">
        <v>110</v>
      </c>
      <c r="E2920" s="26">
        <v>18.350000000000001</v>
      </c>
      <c r="F2920" s="28" t="s">
        <v>618</v>
      </c>
      <c r="G2920" s="26">
        <f t="shared" si="82"/>
        <v>18</v>
      </c>
      <c r="H2920" t="s">
        <v>6896</v>
      </c>
    </row>
    <row r="2921" spans="1:8" ht="45" x14ac:dyDescent="0.25">
      <c r="A2921" s="21" t="s">
        <v>6931</v>
      </c>
      <c r="B2921" s="25" t="s">
        <v>6915</v>
      </c>
      <c r="C2921" s="26">
        <v>1</v>
      </c>
      <c r="D2921" s="27" t="s">
        <v>110</v>
      </c>
      <c r="E2921" s="26">
        <v>22.2</v>
      </c>
      <c r="F2921" s="28" t="s">
        <v>618</v>
      </c>
      <c r="G2921" s="26">
        <f t="shared" si="82"/>
        <v>22</v>
      </c>
      <c r="H2921" t="s">
        <v>6899</v>
      </c>
    </row>
    <row r="2922" spans="1:8" ht="45" x14ac:dyDescent="0.25">
      <c r="A2922" s="21" t="s">
        <v>6932</v>
      </c>
      <c r="B2922" s="25" t="s">
        <v>6917</v>
      </c>
      <c r="C2922" s="26">
        <v>1</v>
      </c>
      <c r="D2922" s="27" t="s">
        <v>110</v>
      </c>
      <c r="E2922" s="26">
        <v>25.25</v>
      </c>
      <c r="F2922" s="28" t="s">
        <v>618</v>
      </c>
      <c r="G2922" s="26">
        <f t="shared" si="82"/>
        <v>25</v>
      </c>
      <c r="H2922" t="s">
        <v>6902</v>
      </c>
    </row>
    <row r="2923" spans="1:8" ht="45" x14ac:dyDescent="0.25">
      <c r="A2923" s="21" t="s">
        <v>6933</v>
      </c>
      <c r="B2923" s="25" t="s">
        <v>6919</v>
      </c>
      <c r="C2923" s="26">
        <v>1</v>
      </c>
      <c r="D2923" s="27" t="s">
        <v>110</v>
      </c>
      <c r="E2923" s="26">
        <v>30.5</v>
      </c>
      <c r="F2923" s="28" t="s">
        <v>618</v>
      </c>
      <c r="G2923" s="26">
        <f t="shared" si="82"/>
        <v>31</v>
      </c>
      <c r="H2923" t="s">
        <v>6905</v>
      </c>
    </row>
    <row r="2924" spans="1:8" ht="45" x14ac:dyDescent="0.25">
      <c r="A2924" s="21" t="s">
        <v>6934</v>
      </c>
      <c r="B2924" s="25" t="s">
        <v>6921</v>
      </c>
      <c r="C2924" s="26">
        <v>1</v>
      </c>
      <c r="D2924" s="27" t="s">
        <v>110</v>
      </c>
      <c r="E2924" s="26">
        <v>37.85</v>
      </c>
      <c r="F2924" s="28" t="s">
        <v>618</v>
      </c>
      <c r="G2924" s="26">
        <f t="shared" si="82"/>
        <v>38</v>
      </c>
      <c r="H2924" t="s">
        <v>6935</v>
      </c>
    </row>
    <row r="2925" spans="1:8" ht="45" x14ac:dyDescent="0.25">
      <c r="A2925" s="21" t="s">
        <v>6936</v>
      </c>
      <c r="B2925" s="25" t="s">
        <v>6820</v>
      </c>
      <c r="C2925" s="26">
        <v>1</v>
      </c>
      <c r="D2925" s="27" t="s">
        <v>110</v>
      </c>
      <c r="E2925" s="26">
        <v>44</v>
      </c>
      <c r="F2925" s="28" t="s">
        <v>618</v>
      </c>
      <c r="G2925" s="26">
        <f t="shared" si="82"/>
        <v>44</v>
      </c>
      <c r="H2925" t="s">
        <v>6937</v>
      </c>
    </row>
    <row r="2926" spans="1:8" ht="45" x14ac:dyDescent="0.25">
      <c r="A2926" s="21" t="s">
        <v>6938</v>
      </c>
      <c r="B2926" s="25" t="s">
        <v>6940</v>
      </c>
      <c r="C2926" s="26"/>
      <c r="D2926" s="27"/>
      <c r="E2926" s="26"/>
      <c r="F2926" s="28"/>
      <c r="G2926" s="26"/>
      <c r="H2926" t="s">
        <v>6939</v>
      </c>
    </row>
    <row r="2927" spans="1:8" ht="45" x14ac:dyDescent="0.25">
      <c r="A2927" s="21" t="s">
        <v>6941</v>
      </c>
      <c r="B2927" s="25" t="s">
        <v>6927</v>
      </c>
      <c r="C2927" s="26">
        <v>1</v>
      </c>
      <c r="D2927" s="27" t="s">
        <v>110</v>
      </c>
      <c r="E2927" s="26">
        <v>154.44999999999999</v>
      </c>
      <c r="F2927" s="28" t="s">
        <v>618</v>
      </c>
      <c r="G2927" s="26">
        <f t="shared" ref="G2927:G2936" si="83">ROUND(C2927*E2927,0)</f>
        <v>154</v>
      </c>
      <c r="H2927" t="s">
        <v>6890</v>
      </c>
    </row>
    <row r="2928" spans="1:8" ht="45" x14ac:dyDescent="0.25">
      <c r="A2928" s="21" t="s">
        <v>6942</v>
      </c>
      <c r="B2928" s="25" t="s">
        <v>6929</v>
      </c>
      <c r="C2928" s="26">
        <v>1</v>
      </c>
      <c r="D2928" s="27" t="s">
        <v>110</v>
      </c>
      <c r="E2928" s="26">
        <v>156.55000000000001</v>
      </c>
      <c r="F2928" s="28" t="s">
        <v>618</v>
      </c>
      <c r="G2928" s="26">
        <f t="shared" si="83"/>
        <v>157</v>
      </c>
      <c r="H2928" t="s">
        <v>6893</v>
      </c>
    </row>
    <row r="2929" spans="1:8" ht="45" x14ac:dyDescent="0.25">
      <c r="A2929" s="21" t="s">
        <v>6943</v>
      </c>
      <c r="B2929" s="25" t="s">
        <v>6913</v>
      </c>
      <c r="C2929" s="26">
        <v>1</v>
      </c>
      <c r="D2929" s="27" t="s">
        <v>110</v>
      </c>
      <c r="E2929" s="26">
        <v>160.69999999999999</v>
      </c>
      <c r="F2929" s="28" t="s">
        <v>618</v>
      </c>
      <c r="G2929" s="26">
        <f t="shared" si="83"/>
        <v>161</v>
      </c>
      <c r="H2929" t="s">
        <v>6896</v>
      </c>
    </row>
    <row r="2930" spans="1:8" ht="45" x14ac:dyDescent="0.25">
      <c r="A2930" s="21" t="s">
        <v>6944</v>
      </c>
      <c r="B2930" s="25" t="s">
        <v>6915</v>
      </c>
      <c r="C2930" s="26">
        <v>1</v>
      </c>
      <c r="D2930" s="27" t="s">
        <v>110</v>
      </c>
      <c r="E2930" s="26">
        <v>164.9</v>
      </c>
      <c r="F2930" s="28" t="s">
        <v>618</v>
      </c>
      <c r="G2930" s="26">
        <f t="shared" si="83"/>
        <v>165</v>
      </c>
      <c r="H2930" t="s">
        <v>6899</v>
      </c>
    </row>
    <row r="2931" spans="1:8" ht="45" x14ac:dyDescent="0.25">
      <c r="A2931" s="21" t="s">
        <v>6945</v>
      </c>
      <c r="B2931" s="25" t="s">
        <v>6917</v>
      </c>
      <c r="C2931" s="26">
        <v>1</v>
      </c>
      <c r="D2931" s="27" t="s">
        <v>110</v>
      </c>
      <c r="E2931" s="26">
        <v>167</v>
      </c>
      <c r="F2931" s="28" t="s">
        <v>618</v>
      </c>
      <c r="G2931" s="26">
        <f t="shared" si="83"/>
        <v>167</v>
      </c>
      <c r="H2931" t="s">
        <v>6902</v>
      </c>
    </row>
    <row r="2932" spans="1:8" ht="45" x14ac:dyDescent="0.25">
      <c r="A2932" s="21" t="s">
        <v>6946</v>
      </c>
      <c r="B2932" s="25" t="s">
        <v>6919</v>
      </c>
      <c r="C2932" s="26">
        <v>1</v>
      </c>
      <c r="D2932" s="27" t="s">
        <v>110</v>
      </c>
      <c r="E2932" s="26">
        <v>173.25</v>
      </c>
      <c r="F2932" s="28" t="s">
        <v>618</v>
      </c>
      <c r="G2932" s="26">
        <f t="shared" si="83"/>
        <v>173</v>
      </c>
      <c r="H2932" t="s">
        <v>6905</v>
      </c>
    </row>
    <row r="2933" spans="1:8" ht="45" x14ac:dyDescent="0.25">
      <c r="A2933" s="21" t="s">
        <v>6947</v>
      </c>
      <c r="B2933" s="25" t="s">
        <v>6921</v>
      </c>
      <c r="C2933" s="26">
        <v>1</v>
      </c>
      <c r="D2933" s="27" t="s">
        <v>110</v>
      </c>
      <c r="E2933" s="26">
        <v>273.45</v>
      </c>
      <c r="F2933" s="28" t="s">
        <v>618</v>
      </c>
      <c r="G2933" s="26">
        <f t="shared" si="83"/>
        <v>273</v>
      </c>
      <c r="H2933" t="s">
        <v>6935</v>
      </c>
    </row>
    <row r="2934" spans="1:8" ht="45" x14ac:dyDescent="0.25">
      <c r="A2934" s="21" t="s">
        <v>6948</v>
      </c>
      <c r="B2934" s="25" t="s">
        <v>6820</v>
      </c>
      <c r="C2934" s="26">
        <v>1</v>
      </c>
      <c r="D2934" s="27" t="s">
        <v>110</v>
      </c>
      <c r="E2934" s="26">
        <v>281.8</v>
      </c>
      <c r="F2934" s="28" t="s">
        <v>618</v>
      </c>
      <c r="G2934" s="26">
        <f t="shared" si="83"/>
        <v>282</v>
      </c>
      <c r="H2934" t="s">
        <v>6937</v>
      </c>
    </row>
    <row r="2935" spans="1:8" ht="45" x14ac:dyDescent="0.25">
      <c r="A2935" s="21" t="s">
        <v>6949</v>
      </c>
      <c r="B2935" s="25" t="s">
        <v>6317</v>
      </c>
      <c r="C2935" s="26">
        <v>1</v>
      </c>
      <c r="D2935" s="27" t="s">
        <v>110</v>
      </c>
      <c r="E2935" s="26">
        <v>298.5</v>
      </c>
      <c r="F2935" s="28" t="s">
        <v>618</v>
      </c>
      <c r="G2935" s="26">
        <f t="shared" si="83"/>
        <v>299</v>
      </c>
      <c r="H2935" t="s">
        <v>6316</v>
      </c>
    </row>
    <row r="2936" spans="1:8" ht="45" x14ac:dyDescent="0.25">
      <c r="A2936" s="21" t="s">
        <v>6950</v>
      </c>
      <c r="B2936" s="25" t="s">
        <v>6788</v>
      </c>
      <c r="C2936" s="26">
        <v>1</v>
      </c>
      <c r="D2936" s="27" t="s">
        <v>110</v>
      </c>
      <c r="E2936" s="26">
        <v>444.6</v>
      </c>
      <c r="F2936" s="28" t="s">
        <v>618</v>
      </c>
      <c r="G2936" s="26">
        <f t="shared" si="83"/>
        <v>445</v>
      </c>
      <c r="H2936" t="s">
        <v>6951</v>
      </c>
    </row>
    <row r="2937" spans="1:8" ht="75" x14ac:dyDescent="0.25">
      <c r="A2937" s="21" t="s">
        <v>6952</v>
      </c>
      <c r="B2937" s="25" t="s">
        <v>6954</v>
      </c>
      <c r="C2937" s="26"/>
      <c r="D2937" s="27"/>
      <c r="E2937" s="26"/>
      <c r="F2937" s="28"/>
      <c r="G2937" s="26"/>
      <c r="H2937" t="s">
        <v>6953</v>
      </c>
    </row>
    <row r="2938" spans="1:8" ht="45" x14ac:dyDescent="0.25">
      <c r="A2938" s="21" t="s">
        <v>6955</v>
      </c>
      <c r="B2938" s="25" t="s">
        <v>6957</v>
      </c>
      <c r="C2938" s="26">
        <v>1</v>
      </c>
      <c r="D2938" s="27" t="s">
        <v>110</v>
      </c>
      <c r="E2938" s="26">
        <v>747.9</v>
      </c>
      <c r="F2938" s="28" t="s">
        <v>618</v>
      </c>
      <c r="G2938" s="26">
        <f t="shared" ref="G2938:G2943" si="84">ROUND(C2938*E2938,0)</f>
        <v>748</v>
      </c>
      <c r="H2938" t="s">
        <v>6956</v>
      </c>
    </row>
    <row r="2939" spans="1:8" ht="45" x14ac:dyDescent="0.25">
      <c r="A2939" s="21" t="s">
        <v>6958</v>
      </c>
      <c r="B2939" s="25" t="s">
        <v>6960</v>
      </c>
      <c r="C2939" s="26">
        <v>1</v>
      </c>
      <c r="D2939" s="27" t="s">
        <v>110</v>
      </c>
      <c r="E2939" s="26">
        <v>884.85</v>
      </c>
      <c r="F2939" s="28" t="s">
        <v>618</v>
      </c>
      <c r="G2939" s="26">
        <f t="shared" si="84"/>
        <v>885</v>
      </c>
      <c r="H2939" t="s">
        <v>6959</v>
      </c>
    </row>
    <row r="2940" spans="1:8" ht="45" x14ac:dyDescent="0.25">
      <c r="A2940" s="21" t="s">
        <v>6961</v>
      </c>
      <c r="B2940" s="25" t="s">
        <v>6963</v>
      </c>
      <c r="C2940" s="26">
        <v>1</v>
      </c>
      <c r="D2940" s="27" t="s">
        <v>110</v>
      </c>
      <c r="E2940" s="26">
        <v>1025.95</v>
      </c>
      <c r="F2940" s="28" t="s">
        <v>618</v>
      </c>
      <c r="G2940" s="26">
        <f t="shared" si="84"/>
        <v>1026</v>
      </c>
      <c r="H2940" t="s">
        <v>6962</v>
      </c>
    </row>
    <row r="2941" spans="1:8" ht="45" x14ac:dyDescent="0.25">
      <c r="A2941" s="21" t="s">
        <v>6964</v>
      </c>
      <c r="B2941" s="25" t="s">
        <v>6966</v>
      </c>
      <c r="C2941" s="26">
        <v>1</v>
      </c>
      <c r="D2941" s="27" t="s">
        <v>110</v>
      </c>
      <c r="E2941" s="26">
        <v>960.3</v>
      </c>
      <c r="F2941" s="28" t="s">
        <v>618</v>
      </c>
      <c r="G2941" s="26">
        <f t="shared" si="84"/>
        <v>960</v>
      </c>
      <c r="H2941" t="s">
        <v>6965</v>
      </c>
    </row>
    <row r="2942" spans="1:8" ht="45" x14ac:dyDescent="0.25">
      <c r="A2942" s="21" t="s">
        <v>6967</v>
      </c>
      <c r="B2942" s="25" t="s">
        <v>6969</v>
      </c>
      <c r="C2942" s="26">
        <v>1</v>
      </c>
      <c r="D2942" s="27" t="s">
        <v>110</v>
      </c>
      <c r="E2942" s="26">
        <v>546</v>
      </c>
      <c r="F2942" s="28" t="s">
        <v>618</v>
      </c>
      <c r="G2942" s="26">
        <f t="shared" si="84"/>
        <v>546</v>
      </c>
      <c r="H2942" t="s">
        <v>6968</v>
      </c>
    </row>
    <row r="2943" spans="1:8" ht="45" x14ac:dyDescent="0.25">
      <c r="A2943" s="21" t="s">
        <v>6970</v>
      </c>
      <c r="B2943" s="25" t="s">
        <v>6972</v>
      </c>
      <c r="C2943" s="26">
        <v>1</v>
      </c>
      <c r="D2943" s="27" t="s">
        <v>201</v>
      </c>
      <c r="E2943" s="26">
        <v>1321.65</v>
      </c>
      <c r="F2943" s="28" t="s">
        <v>202</v>
      </c>
      <c r="G2943" s="26">
        <f t="shared" si="84"/>
        <v>1322</v>
      </c>
      <c r="H2943" t="s">
        <v>6971</v>
      </c>
    </row>
    <row r="2944" spans="1:8" ht="45" x14ac:dyDescent="0.25">
      <c r="A2944" s="21" t="s">
        <v>6973</v>
      </c>
      <c r="B2944" s="25" t="s">
        <v>6975</v>
      </c>
      <c r="C2944" s="26"/>
      <c r="D2944" s="27"/>
      <c r="E2944" s="26"/>
      <c r="F2944" s="28"/>
      <c r="G2944" s="26"/>
      <c r="H2944" t="s">
        <v>6974</v>
      </c>
    </row>
    <row r="2945" spans="1:8" x14ac:dyDescent="0.25">
      <c r="A2945" s="21" t="s">
        <v>6976</v>
      </c>
      <c r="B2945" s="25" t="s">
        <v>6634</v>
      </c>
      <c r="C2945" s="26">
        <v>1</v>
      </c>
      <c r="D2945" s="27" t="s">
        <v>201</v>
      </c>
      <c r="E2945" s="26">
        <v>318.35000000000002</v>
      </c>
      <c r="F2945" s="28" t="s">
        <v>202</v>
      </c>
      <c r="G2945" s="26">
        <f t="shared" ref="G2945:G2952" si="85">ROUND(C2945*E2945,0)</f>
        <v>318</v>
      </c>
      <c r="H2945" t="s">
        <v>6633</v>
      </c>
    </row>
    <row r="2946" spans="1:8" x14ac:dyDescent="0.25">
      <c r="A2946" s="21" t="s">
        <v>6977</v>
      </c>
      <c r="B2946" s="25" t="s">
        <v>6637</v>
      </c>
      <c r="C2946" s="26">
        <v>1</v>
      </c>
      <c r="D2946" s="27" t="s">
        <v>201</v>
      </c>
      <c r="E2946" s="26">
        <v>346.8</v>
      </c>
      <c r="F2946" s="28" t="s">
        <v>202</v>
      </c>
      <c r="G2946" s="26">
        <f t="shared" si="85"/>
        <v>347</v>
      </c>
      <c r="H2946" t="s">
        <v>6636</v>
      </c>
    </row>
    <row r="2947" spans="1:8" x14ac:dyDescent="0.25">
      <c r="A2947" s="21" t="s">
        <v>6978</v>
      </c>
      <c r="B2947" s="25" t="s">
        <v>6648</v>
      </c>
      <c r="C2947" s="26">
        <v>1</v>
      </c>
      <c r="D2947" s="27" t="s">
        <v>201</v>
      </c>
      <c r="E2947" s="26">
        <v>439.25</v>
      </c>
      <c r="F2947" s="28" t="s">
        <v>202</v>
      </c>
      <c r="G2947" s="26">
        <f t="shared" si="85"/>
        <v>439</v>
      </c>
      <c r="H2947" t="s">
        <v>6647</v>
      </c>
    </row>
    <row r="2948" spans="1:8" x14ac:dyDescent="0.25">
      <c r="A2948" s="21" t="s">
        <v>6979</v>
      </c>
      <c r="B2948" s="25" t="s">
        <v>6980</v>
      </c>
      <c r="C2948" s="26">
        <v>1</v>
      </c>
      <c r="D2948" s="27" t="s">
        <v>201</v>
      </c>
      <c r="E2948" s="26">
        <v>489.05</v>
      </c>
      <c r="F2948" s="28" t="s">
        <v>202</v>
      </c>
      <c r="G2948" s="26">
        <f t="shared" si="85"/>
        <v>489</v>
      </c>
      <c r="H2948" t="s">
        <v>6651</v>
      </c>
    </row>
    <row r="2949" spans="1:8" x14ac:dyDescent="0.25">
      <c r="A2949" s="21" t="s">
        <v>6981</v>
      </c>
      <c r="B2949" s="25" t="s">
        <v>6654</v>
      </c>
      <c r="C2949" s="26">
        <v>1</v>
      </c>
      <c r="D2949" s="27" t="s">
        <v>201</v>
      </c>
      <c r="E2949" s="26">
        <v>631.29999999999995</v>
      </c>
      <c r="F2949" s="28" t="s">
        <v>202</v>
      </c>
      <c r="G2949" s="26">
        <f t="shared" si="85"/>
        <v>631</v>
      </c>
      <c r="H2949" t="s">
        <v>6653</v>
      </c>
    </row>
    <row r="2950" spans="1:8" x14ac:dyDescent="0.25">
      <c r="A2950" s="21" t="s">
        <v>6982</v>
      </c>
      <c r="B2950" s="25" t="s">
        <v>6983</v>
      </c>
      <c r="C2950" s="26">
        <v>1</v>
      </c>
      <c r="D2950" s="27" t="s">
        <v>201</v>
      </c>
      <c r="E2950" s="26">
        <v>823.8</v>
      </c>
      <c r="F2950" s="28" t="s">
        <v>202</v>
      </c>
      <c r="G2950" s="26">
        <f t="shared" si="85"/>
        <v>824</v>
      </c>
      <c r="H2950" t="s">
        <v>6656</v>
      </c>
    </row>
    <row r="2951" spans="1:8" x14ac:dyDescent="0.25">
      <c r="A2951" s="21" t="s">
        <v>6984</v>
      </c>
      <c r="B2951" s="25" t="s">
        <v>6985</v>
      </c>
      <c r="C2951" s="26">
        <v>1</v>
      </c>
      <c r="D2951" s="27" t="s">
        <v>201</v>
      </c>
      <c r="E2951" s="26">
        <v>1136.8</v>
      </c>
      <c r="F2951" s="28" t="s">
        <v>202</v>
      </c>
      <c r="G2951" s="26">
        <f t="shared" si="85"/>
        <v>1137</v>
      </c>
      <c r="H2951" t="s">
        <v>6659</v>
      </c>
    </row>
    <row r="2952" spans="1:8" x14ac:dyDescent="0.25">
      <c r="A2952" s="21" t="s">
        <v>6986</v>
      </c>
      <c r="B2952" s="25" t="s">
        <v>6663</v>
      </c>
      <c r="C2952" s="26">
        <v>1</v>
      </c>
      <c r="D2952" s="27" t="s">
        <v>201</v>
      </c>
      <c r="E2952" s="26">
        <v>1207.95</v>
      </c>
      <c r="F2952" s="28" t="s">
        <v>202</v>
      </c>
      <c r="G2952" s="26">
        <f t="shared" si="85"/>
        <v>1208</v>
      </c>
      <c r="H2952" t="s">
        <v>6662</v>
      </c>
    </row>
    <row r="2953" spans="1:8" ht="75" x14ac:dyDescent="0.25">
      <c r="A2953" s="21" t="s">
        <v>6987</v>
      </c>
      <c r="B2953" s="25" t="s">
        <v>6989</v>
      </c>
      <c r="C2953" s="26"/>
      <c r="D2953" s="27"/>
      <c r="E2953" s="26"/>
      <c r="F2953" s="28"/>
      <c r="G2953" s="26"/>
      <c r="H2953" t="s">
        <v>6988</v>
      </c>
    </row>
    <row r="2954" spans="1:8" x14ac:dyDescent="0.25">
      <c r="A2954" s="21" t="s">
        <v>6990</v>
      </c>
      <c r="B2954" s="25" t="s">
        <v>6633</v>
      </c>
      <c r="C2954" s="26">
        <v>1</v>
      </c>
      <c r="D2954" s="27" t="s">
        <v>201</v>
      </c>
      <c r="E2954" s="26">
        <v>829.45</v>
      </c>
      <c r="F2954" s="28" t="s">
        <v>202</v>
      </c>
      <c r="G2954" s="26">
        <f t="shared" ref="G2954:G2963" si="86">ROUND(C2954*E2954,0)</f>
        <v>829</v>
      </c>
      <c r="H2954" t="s">
        <v>6633</v>
      </c>
    </row>
    <row r="2955" spans="1:8" x14ac:dyDescent="0.25">
      <c r="A2955" s="21" t="s">
        <v>6991</v>
      </c>
      <c r="B2955" s="25" t="s">
        <v>6636</v>
      </c>
      <c r="C2955" s="26">
        <v>1</v>
      </c>
      <c r="D2955" s="27" t="s">
        <v>201</v>
      </c>
      <c r="E2955" s="26">
        <v>857.85</v>
      </c>
      <c r="F2955" s="28" t="s">
        <v>202</v>
      </c>
      <c r="G2955" s="26">
        <f t="shared" si="86"/>
        <v>858</v>
      </c>
      <c r="H2955" t="s">
        <v>6636</v>
      </c>
    </row>
    <row r="2956" spans="1:8" x14ac:dyDescent="0.25">
      <c r="A2956" s="21" t="s">
        <v>6992</v>
      </c>
      <c r="B2956" s="25" t="s">
        <v>6647</v>
      </c>
      <c r="C2956" s="26">
        <v>1</v>
      </c>
      <c r="D2956" s="27" t="s">
        <v>201</v>
      </c>
      <c r="E2956" s="26">
        <v>950.35</v>
      </c>
      <c r="F2956" s="28" t="s">
        <v>202</v>
      </c>
      <c r="G2956" s="26">
        <f t="shared" si="86"/>
        <v>950</v>
      </c>
      <c r="H2956" t="s">
        <v>6647</v>
      </c>
    </row>
    <row r="2957" spans="1:8" x14ac:dyDescent="0.25">
      <c r="A2957" s="21" t="s">
        <v>6993</v>
      </c>
      <c r="B2957" s="25" t="s">
        <v>6651</v>
      </c>
      <c r="C2957" s="26">
        <v>1</v>
      </c>
      <c r="D2957" s="27" t="s">
        <v>201</v>
      </c>
      <c r="E2957" s="26">
        <v>1000.15</v>
      </c>
      <c r="F2957" s="28" t="s">
        <v>202</v>
      </c>
      <c r="G2957" s="26">
        <f t="shared" si="86"/>
        <v>1000</v>
      </c>
      <c r="H2957" t="s">
        <v>6651</v>
      </c>
    </row>
    <row r="2958" spans="1:8" x14ac:dyDescent="0.25">
      <c r="A2958" s="21" t="s">
        <v>6994</v>
      </c>
      <c r="B2958" s="25" t="s">
        <v>6653</v>
      </c>
      <c r="C2958" s="26">
        <v>1</v>
      </c>
      <c r="D2958" s="27" t="s">
        <v>201</v>
      </c>
      <c r="E2958" s="26">
        <v>1142.4000000000001</v>
      </c>
      <c r="F2958" s="28" t="s">
        <v>202</v>
      </c>
      <c r="G2958" s="26">
        <f t="shared" si="86"/>
        <v>1142</v>
      </c>
      <c r="H2958" t="s">
        <v>6653</v>
      </c>
    </row>
    <row r="2959" spans="1:8" x14ac:dyDescent="0.25">
      <c r="A2959" s="21" t="s">
        <v>6995</v>
      </c>
      <c r="B2959" s="25" t="s">
        <v>6656</v>
      </c>
      <c r="C2959" s="26">
        <v>1</v>
      </c>
      <c r="D2959" s="27" t="s">
        <v>201</v>
      </c>
      <c r="E2959" s="26">
        <v>1520.8</v>
      </c>
      <c r="F2959" s="28" t="s">
        <v>202</v>
      </c>
      <c r="G2959" s="26">
        <f t="shared" si="86"/>
        <v>1521</v>
      </c>
      <c r="H2959" t="s">
        <v>6656</v>
      </c>
    </row>
    <row r="2960" spans="1:8" x14ac:dyDescent="0.25">
      <c r="A2960" s="21" t="s">
        <v>6996</v>
      </c>
      <c r="B2960" s="25" t="s">
        <v>6659</v>
      </c>
      <c r="C2960" s="26">
        <v>1</v>
      </c>
      <c r="D2960" s="27" t="s">
        <v>201</v>
      </c>
      <c r="E2960" s="26">
        <v>1833.75</v>
      </c>
      <c r="F2960" s="28" t="s">
        <v>202</v>
      </c>
      <c r="G2960" s="26">
        <f t="shared" si="86"/>
        <v>1834</v>
      </c>
      <c r="H2960" t="s">
        <v>6659</v>
      </c>
    </row>
    <row r="2961" spans="1:8" x14ac:dyDescent="0.25">
      <c r="A2961" s="21" t="s">
        <v>6997</v>
      </c>
      <c r="B2961" s="25" t="s">
        <v>6662</v>
      </c>
      <c r="C2961" s="26">
        <v>1</v>
      </c>
      <c r="D2961" s="27" t="s">
        <v>201</v>
      </c>
      <c r="E2961" s="26">
        <v>1904.9</v>
      </c>
      <c r="F2961" s="28" t="s">
        <v>202</v>
      </c>
      <c r="G2961" s="26">
        <f t="shared" si="86"/>
        <v>1905</v>
      </c>
      <c r="H2961" t="s">
        <v>6662</v>
      </c>
    </row>
    <row r="2962" spans="1:8" ht="90" x14ac:dyDescent="0.25">
      <c r="A2962" s="21" t="s">
        <v>6998</v>
      </c>
      <c r="B2962" s="25" t="s">
        <v>7000</v>
      </c>
      <c r="C2962" s="26">
        <v>1</v>
      </c>
      <c r="D2962" s="27" t="s">
        <v>230</v>
      </c>
      <c r="E2962" s="26">
        <v>11</v>
      </c>
      <c r="F2962" s="28" t="s">
        <v>231</v>
      </c>
      <c r="G2962" s="26">
        <f t="shared" si="86"/>
        <v>11</v>
      </c>
      <c r="H2962" t="s">
        <v>6999</v>
      </c>
    </row>
    <row r="2963" spans="1:8" ht="105" x14ac:dyDescent="0.25">
      <c r="A2963" s="21" t="s">
        <v>7001</v>
      </c>
      <c r="B2963" s="25" t="s">
        <v>7002</v>
      </c>
      <c r="C2963" s="26">
        <v>1</v>
      </c>
      <c r="D2963" s="27" t="s">
        <v>230</v>
      </c>
      <c r="E2963" s="26">
        <v>11</v>
      </c>
      <c r="F2963" s="28" t="s">
        <v>231</v>
      </c>
      <c r="G2963" s="26">
        <f t="shared" si="86"/>
        <v>11</v>
      </c>
      <c r="H2963" t="s">
        <v>105</v>
      </c>
    </row>
    <row r="2964" spans="1:8" ht="30" x14ac:dyDescent="0.25">
      <c r="A2964" s="21" t="s">
        <v>7003</v>
      </c>
      <c r="B2964" s="25" t="s">
        <v>7005</v>
      </c>
      <c r="C2964" s="26"/>
      <c r="D2964" s="27"/>
      <c r="E2964" s="26"/>
      <c r="F2964" s="28"/>
      <c r="G2964" s="26"/>
      <c r="H2964" t="s">
        <v>7004</v>
      </c>
    </row>
    <row r="2965" spans="1:8" x14ac:dyDescent="0.25">
      <c r="A2965" s="21" t="s">
        <v>7006</v>
      </c>
      <c r="B2965" s="25" t="s">
        <v>6633</v>
      </c>
      <c r="C2965" s="26">
        <v>1</v>
      </c>
      <c r="D2965" s="27" t="s">
        <v>201</v>
      </c>
      <c r="E2965" s="26">
        <v>506.8</v>
      </c>
      <c r="F2965" s="28" t="s">
        <v>202</v>
      </c>
      <c r="G2965" s="26">
        <f>ROUND(C2965*E2965,0)</f>
        <v>507</v>
      </c>
      <c r="H2965" t="s">
        <v>6633</v>
      </c>
    </row>
    <row r="2966" spans="1:8" ht="45" x14ac:dyDescent="0.25">
      <c r="A2966" s="21" t="s">
        <v>7007</v>
      </c>
      <c r="B2966" s="25" t="s">
        <v>7009</v>
      </c>
      <c r="C2966" s="26"/>
      <c r="D2966" s="27"/>
      <c r="E2966" s="26"/>
      <c r="F2966" s="28"/>
      <c r="G2966" s="26"/>
      <c r="H2966" t="s">
        <v>7008</v>
      </c>
    </row>
    <row r="2967" spans="1:8" x14ac:dyDescent="0.25">
      <c r="A2967" s="21" t="s">
        <v>7010</v>
      </c>
      <c r="B2967" s="25" t="s">
        <v>6633</v>
      </c>
      <c r="C2967" s="26">
        <v>1</v>
      </c>
      <c r="D2967" s="27" t="s">
        <v>201</v>
      </c>
      <c r="E2967" s="26">
        <v>820.7</v>
      </c>
      <c r="F2967" s="28" t="s">
        <v>202</v>
      </c>
      <c r="G2967" s="26">
        <f>ROUND(C2967*E2967,0)</f>
        <v>821</v>
      </c>
      <c r="H2967" t="s">
        <v>6633</v>
      </c>
    </row>
    <row r="2968" spans="1:8" ht="45" x14ac:dyDescent="0.25">
      <c r="A2968" s="21" t="s">
        <v>7011</v>
      </c>
      <c r="B2968" s="25" t="s">
        <v>7013</v>
      </c>
      <c r="C2968" s="26"/>
      <c r="D2968" s="27"/>
      <c r="E2968" s="26"/>
      <c r="F2968" s="28"/>
      <c r="G2968" s="26"/>
      <c r="H2968" t="s">
        <v>7012</v>
      </c>
    </row>
    <row r="2969" spans="1:8" x14ac:dyDescent="0.25">
      <c r="A2969" s="21" t="s">
        <v>7014</v>
      </c>
      <c r="B2969" s="25" t="s">
        <v>6634</v>
      </c>
      <c r="C2969" s="26">
        <v>1</v>
      </c>
      <c r="D2969" s="27" t="s">
        <v>201</v>
      </c>
      <c r="E2969" s="26">
        <v>798.95</v>
      </c>
      <c r="F2969" s="28" t="s">
        <v>202</v>
      </c>
      <c r="G2969" s="26">
        <f>ROUND(C2969*E2969,0)</f>
        <v>799</v>
      </c>
      <c r="H2969" t="s">
        <v>6633</v>
      </c>
    </row>
    <row r="2970" spans="1:8" ht="45" x14ac:dyDescent="0.25">
      <c r="A2970" s="21" t="s">
        <v>7015</v>
      </c>
      <c r="B2970" s="25" t="s">
        <v>7017</v>
      </c>
      <c r="C2970" s="26"/>
      <c r="D2970" s="27"/>
      <c r="E2970" s="26"/>
      <c r="F2970" s="28"/>
      <c r="G2970" s="26"/>
      <c r="H2970" t="s">
        <v>7016</v>
      </c>
    </row>
    <row r="2971" spans="1:8" x14ac:dyDescent="0.25">
      <c r="A2971" s="21" t="s">
        <v>7018</v>
      </c>
      <c r="B2971" s="25" t="s">
        <v>6633</v>
      </c>
      <c r="C2971" s="26">
        <v>1</v>
      </c>
      <c r="D2971" s="27" t="s">
        <v>201</v>
      </c>
      <c r="E2971" s="26">
        <v>670.45</v>
      </c>
      <c r="F2971" s="28" t="s">
        <v>202</v>
      </c>
      <c r="G2971" s="26">
        <f>ROUND(C2971*E2971,0)</f>
        <v>670</v>
      </c>
      <c r="H2971" t="s">
        <v>6633</v>
      </c>
    </row>
    <row r="2972" spans="1:8" ht="45" x14ac:dyDescent="0.25">
      <c r="A2972" s="21" t="s">
        <v>7019</v>
      </c>
      <c r="B2972" s="25" t="s">
        <v>7021</v>
      </c>
      <c r="C2972" s="26"/>
      <c r="D2972" s="27"/>
      <c r="E2972" s="26"/>
      <c r="F2972" s="28"/>
      <c r="G2972" s="26"/>
      <c r="H2972" t="s">
        <v>7020</v>
      </c>
    </row>
    <row r="2973" spans="1:8" x14ac:dyDescent="0.25">
      <c r="A2973" s="21" t="s">
        <v>7022</v>
      </c>
      <c r="B2973" s="25" t="s">
        <v>7023</v>
      </c>
      <c r="C2973" s="26">
        <v>1</v>
      </c>
      <c r="D2973" s="27" t="s">
        <v>201</v>
      </c>
      <c r="E2973" s="26">
        <v>574.29999999999995</v>
      </c>
      <c r="F2973" s="28" t="s">
        <v>202</v>
      </c>
      <c r="G2973" s="26">
        <f>ROUND(C2973*E2973,0)</f>
        <v>574</v>
      </c>
      <c r="H2973" t="s">
        <v>6633</v>
      </c>
    </row>
    <row r="2974" spans="1:8" ht="45" x14ac:dyDescent="0.25">
      <c r="A2974" s="21" t="s">
        <v>7024</v>
      </c>
      <c r="B2974" s="25" t="s">
        <v>7025</v>
      </c>
      <c r="C2974" s="26">
        <v>1</v>
      </c>
      <c r="D2974" s="27" t="s">
        <v>201</v>
      </c>
      <c r="E2974" s="26">
        <v>74.8</v>
      </c>
      <c r="F2974" s="28" t="s">
        <v>202</v>
      </c>
      <c r="G2974" s="26">
        <f>ROUND(C2974*E2974,0)</f>
        <v>75</v>
      </c>
      <c r="H2974" t="s">
        <v>105</v>
      </c>
    </row>
    <row r="2975" spans="1:8" ht="30" x14ac:dyDescent="0.25">
      <c r="A2975" s="21" t="s">
        <v>7026</v>
      </c>
      <c r="B2975" s="25" t="s">
        <v>7028</v>
      </c>
      <c r="C2975" s="26"/>
      <c r="D2975" s="27"/>
      <c r="E2975" s="26"/>
      <c r="F2975" s="28"/>
      <c r="G2975" s="26"/>
      <c r="H2975" t="s">
        <v>7027</v>
      </c>
    </row>
    <row r="2976" spans="1:8" ht="30" x14ac:dyDescent="0.25">
      <c r="A2976" s="21" t="s">
        <v>7029</v>
      </c>
      <c r="B2976" s="25" t="s">
        <v>7031</v>
      </c>
      <c r="C2976" s="26">
        <v>1</v>
      </c>
      <c r="D2976" s="27" t="s">
        <v>201</v>
      </c>
      <c r="E2976" s="26">
        <v>125.6</v>
      </c>
      <c r="F2976" s="28" t="s">
        <v>202</v>
      </c>
      <c r="G2976" s="26">
        <f>ROUND(C2976*E2976,0)</f>
        <v>126</v>
      </c>
      <c r="H2976" t="s">
        <v>7030</v>
      </c>
    </row>
    <row r="2977" spans="1:8" ht="30" x14ac:dyDescent="0.25">
      <c r="A2977" s="21" t="s">
        <v>7032</v>
      </c>
      <c r="B2977" s="25" t="s">
        <v>7034</v>
      </c>
      <c r="C2977" s="26">
        <v>1</v>
      </c>
      <c r="D2977" s="27" t="s">
        <v>201</v>
      </c>
      <c r="E2977" s="26">
        <v>161.19999999999999</v>
      </c>
      <c r="F2977" s="28" t="s">
        <v>202</v>
      </c>
      <c r="G2977" s="26">
        <f>ROUND(C2977*E2977,0)</f>
        <v>161</v>
      </c>
      <c r="H2977" t="s">
        <v>7033</v>
      </c>
    </row>
    <row r="2978" spans="1:8" ht="30" x14ac:dyDescent="0.25">
      <c r="A2978" s="21" t="s">
        <v>7035</v>
      </c>
      <c r="B2978" s="25" t="s">
        <v>7037</v>
      </c>
      <c r="C2978" s="26">
        <v>1</v>
      </c>
      <c r="D2978" s="27" t="s">
        <v>201</v>
      </c>
      <c r="E2978" s="26">
        <v>176.85</v>
      </c>
      <c r="F2978" s="28" t="s">
        <v>202</v>
      </c>
      <c r="G2978" s="26">
        <f>ROUND(C2978*E2978,0)</f>
        <v>177</v>
      </c>
      <c r="H2978" t="s">
        <v>7036</v>
      </c>
    </row>
    <row r="2979" spans="1:8" ht="30" x14ac:dyDescent="0.25">
      <c r="A2979" s="21" t="s">
        <v>7038</v>
      </c>
      <c r="B2979" s="25" t="s">
        <v>7040</v>
      </c>
      <c r="C2979" s="26">
        <v>1</v>
      </c>
      <c r="D2979" s="27" t="s">
        <v>201</v>
      </c>
      <c r="E2979" s="26">
        <v>196.75</v>
      </c>
      <c r="F2979" s="28" t="s">
        <v>202</v>
      </c>
      <c r="G2979" s="26">
        <f>ROUND(C2979*E2979,0)</f>
        <v>197</v>
      </c>
      <c r="H2979" t="s">
        <v>7039</v>
      </c>
    </row>
    <row r="2980" spans="1:8" ht="30" x14ac:dyDescent="0.25">
      <c r="A2980" s="21" t="s">
        <v>7041</v>
      </c>
      <c r="B2980" s="25" t="s">
        <v>7043</v>
      </c>
      <c r="C2980" s="26"/>
      <c r="D2980" s="27"/>
      <c r="E2980" s="26"/>
      <c r="F2980" s="28"/>
      <c r="G2980" s="26"/>
      <c r="H2980" t="s">
        <v>7042</v>
      </c>
    </row>
    <row r="2981" spans="1:8" ht="30" x14ac:dyDescent="0.25">
      <c r="A2981" s="21" t="s">
        <v>7044</v>
      </c>
      <c r="B2981" s="25" t="s">
        <v>7046</v>
      </c>
      <c r="C2981" s="26">
        <v>1</v>
      </c>
      <c r="D2981" s="27" t="s">
        <v>201</v>
      </c>
      <c r="E2981" s="26">
        <v>118.5</v>
      </c>
      <c r="F2981" s="28" t="s">
        <v>202</v>
      </c>
      <c r="G2981" s="26">
        <f>ROUND(C2981*E2981,0)</f>
        <v>119</v>
      </c>
      <c r="H2981" t="s">
        <v>7045</v>
      </c>
    </row>
    <row r="2982" spans="1:8" ht="30" x14ac:dyDescent="0.25">
      <c r="A2982" s="21" t="s">
        <v>7047</v>
      </c>
      <c r="B2982" s="25" t="s">
        <v>7049</v>
      </c>
      <c r="C2982" s="26">
        <v>1</v>
      </c>
      <c r="D2982" s="27" t="s">
        <v>201</v>
      </c>
      <c r="E2982" s="26">
        <v>129.9</v>
      </c>
      <c r="F2982" s="28" t="s">
        <v>202</v>
      </c>
      <c r="G2982" s="26">
        <f>ROUND(C2982*E2982,0)</f>
        <v>130</v>
      </c>
      <c r="H2982" t="s">
        <v>7048</v>
      </c>
    </row>
    <row r="2983" spans="1:8" ht="30" x14ac:dyDescent="0.25">
      <c r="A2983" s="21" t="s">
        <v>7050</v>
      </c>
      <c r="B2983" s="25" t="s">
        <v>7052</v>
      </c>
      <c r="C2983" s="26">
        <v>1</v>
      </c>
      <c r="D2983" s="27" t="s">
        <v>201</v>
      </c>
      <c r="E2983" s="26">
        <v>218.1</v>
      </c>
      <c r="F2983" s="28" t="s">
        <v>202</v>
      </c>
      <c r="G2983" s="26">
        <f>ROUND(C2983*E2983,0)</f>
        <v>218</v>
      </c>
      <c r="H2983" t="s">
        <v>7051</v>
      </c>
    </row>
    <row r="2984" spans="1:8" ht="30" x14ac:dyDescent="0.25">
      <c r="A2984" s="21" t="s">
        <v>7053</v>
      </c>
      <c r="B2984" s="25" t="s">
        <v>7055</v>
      </c>
      <c r="C2984" s="26"/>
      <c r="D2984" s="27"/>
      <c r="E2984" s="26"/>
      <c r="F2984" s="28"/>
      <c r="G2984" s="26"/>
      <c r="H2984" t="s">
        <v>7054</v>
      </c>
    </row>
    <row r="2985" spans="1:8" ht="30" x14ac:dyDescent="0.25">
      <c r="A2985" s="21" t="s">
        <v>7056</v>
      </c>
      <c r="B2985" s="25" t="s">
        <v>7058</v>
      </c>
      <c r="C2985" s="26">
        <v>1</v>
      </c>
      <c r="D2985" s="27" t="s">
        <v>201</v>
      </c>
      <c r="E2985" s="26">
        <v>208.45</v>
      </c>
      <c r="F2985" s="28" t="s">
        <v>202</v>
      </c>
      <c r="G2985" s="26">
        <f>ROUND(C2985*E2985,0)</f>
        <v>208</v>
      </c>
      <c r="H2985" t="s">
        <v>7057</v>
      </c>
    </row>
    <row r="2986" spans="1:8" ht="30" x14ac:dyDescent="0.25">
      <c r="A2986" s="21" t="s">
        <v>7059</v>
      </c>
      <c r="B2986" s="25" t="s">
        <v>7061</v>
      </c>
      <c r="C2986" s="26">
        <v>1</v>
      </c>
      <c r="D2986" s="27" t="s">
        <v>201</v>
      </c>
      <c r="E2986" s="26">
        <v>224.1</v>
      </c>
      <c r="F2986" s="28" t="s">
        <v>202</v>
      </c>
      <c r="G2986" s="26">
        <f>ROUND(C2986*E2986,0)</f>
        <v>224</v>
      </c>
      <c r="H2986" t="s">
        <v>7060</v>
      </c>
    </row>
    <row r="2987" spans="1:8" ht="30" x14ac:dyDescent="0.25">
      <c r="A2987" s="21" t="s">
        <v>7062</v>
      </c>
      <c r="B2987" s="25" t="s">
        <v>7064</v>
      </c>
      <c r="C2987" s="26"/>
      <c r="D2987" s="27"/>
      <c r="E2987" s="26"/>
      <c r="F2987" s="28"/>
      <c r="G2987" s="26"/>
      <c r="H2987" t="s">
        <v>7063</v>
      </c>
    </row>
    <row r="2988" spans="1:8" ht="30" x14ac:dyDescent="0.25">
      <c r="A2988" s="21" t="s">
        <v>7065</v>
      </c>
      <c r="B2988" s="25" t="s">
        <v>7067</v>
      </c>
      <c r="C2988" s="26">
        <v>1</v>
      </c>
      <c r="D2988" s="27" t="s">
        <v>201</v>
      </c>
      <c r="E2988" s="26">
        <v>112.8</v>
      </c>
      <c r="F2988" s="28" t="s">
        <v>202</v>
      </c>
      <c r="G2988" s="26">
        <f>ROUND(C2988*E2988,0)</f>
        <v>113</v>
      </c>
      <c r="H2988" t="s">
        <v>7066</v>
      </c>
    </row>
    <row r="2989" spans="1:8" ht="30" x14ac:dyDescent="0.25">
      <c r="A2989" s="21" t="s">
        <v>7068</v>
      </c>
      <c r="B2989" s="25" t="s">
        <v>7070</v>
      </c>
      <c r="C2989" s="26">
        <v>1</v>
      </c>
      <c r="D2989" s="27" t="s">
        <v>201</v>
      </c>
      <c r="E2989" s="26">
        <v>95.75</v>
      </c>
      <c r="F2989" s="28" t="s">
        <v>202</v>
      </c>
      <c r="G2989" s="26">
        <f>ROUND(C2989*E2989,0)</f>
        <v>96</v>
      </c>
      <c r="H2989" t="s">
        <v>7069</v>
      </c>
    </row>
    <row r="2990" spans="1:8" ht="30" x14ac:dyDescent="0.25">
      <c r="A2990" s="21" t="s">
        <v>7071</v>
      </c>
      <c r="B2990" s="25" t="s">
        <v>7073</v>
      </c>
      <c r="C2990" s="26"/>
      <c r="D2990" s="27"/>
      <c r="E2990" s="26"/>
      <c r="F2990" s="28"/>
      <c r="G2990" s="26"/>
      <c r="H2990" t="s">
        <v>7072</v>
      </c>
    </row>
    <row r="2991" spans="1:8" x14ac:dyDescent="0.25">
      <c r="A2991" s="21" t="s">
        <v>7074</v>
      </c>
      <c r="B2991" s="25" t="s">
        <v>7076</v>
      </c>
      <c r="C2991" s="26"/>
      <c r="D2991" s="27"/>
      <c r="E2991" s="26"/>
      <c r="F2991" s="28"/>
      <c r="G2991" s="26"/>
      <c r="H2991" t="s">
        <v>7075</v>
      </c>
    </row>
    <row r="2992" spans="1:8" x14ac:dyDescent="0.25">
      <c r="A2992" s="21" t="s">
        <v>7077</v>
      </c>
      <c r="B2992" s="25" t="s">
        <v>7078</v>
      </c>
      <c r="C2992" s="26">
        <v>1</v>
      </c>
      <c r="D2992" s="27" t="s">
        <v>201</v>
      </c>
      <c r="E2992" s="26">
        <v>37.6</v>
      </c>
      <c r="F2992" s="28" t="s">
        <v>202</v>
      </c>
      <c r="G2992" s="26">
        <f>ROUND(C2992*E2992,0)</f>
        <v>38</v>
      </c>
      <c r="H2992" t="s">
        <v>5989</v>
      </c>
    </row>
    <row r="2993" spans="1:8" x14ac:dyDescent="0.25">
      <c r="A2993" s="21" t="s">
        <v>7079</v>
      </c>
      <c r="B2993" s="25" t="s">
        <v>7081</v>
      </c>
      <c r="C2993" s="26">
        <v>1</v>
      </c>
      <c r="D2993" s="27" t="s">
        <v>201</v>
      </c>
      <c r="E2993" s="26">
        <v>51.85</v>
      </c>
      <c r="F2993" s="28" t="s">
        <v>202</v>
      </c>
      <c r="G2993" s="26">
        <f>ROUND(C2993*E2993,0)</f>
        <v>52</v>
      </c>
      <c r="H2993" t="s">
        <v>7080</v>
      </c>
    </row>
    <row r="2994" spans="1:8" x14ac:dyDescent="0.25">
      <c r="A2994" s="21" t="s">
        <v>7082</v>
      </c>
      <c r="B2994" s="25" t="s">
        <v>7084</v>
      </c>
      <c r="C2994" s="26"/>
      <c r="D2994" s="27"/>
      <c r="E2994" s="26"/>
      <c r="F2994" s="28"/>
      <c r="G2994" s="26"/>
      <c r="H2994" t="s">
        <v>7083</v>
      </c>
    </row>
    <row r="2995" spans="1:8" ht="30" x14ac:dyDescent="0.25">
      <c r="A2995" s="21" t="s">
        <v>7085</v>
      </c>
      <c r="B2995" s="25" t="s">
        <v>7087</v>
      </c>
      <c r="C2995" s="26">
        <v>1</v>
      </c>
      <c r="D2995" s="27" t="s">
        <v>201</v>
      </c>
      <c r="E2995" s="26">
        <v>196.95</v>
      </c>
      <c r="F2995" s="28" t="s">
        <v>202</v>
      </c>
      <c r="G2995" s="26">
        <f>ROUND(C2995*E2995,0)</f>
        <v>197</v>
      </c>
      <c r="H2995" t="s">
        <v>7086</v>
      </c>
    </row>
    <row r="2996" spans="1:8" ht="60" x14ac:dyDescent="0.25">
      <c r="A2996" s="21" t="s">
        <v>7088</v>
      </c>
      <c r="B2996" s="25" t="s">
        <v>7090</v>
      </c>
      <c r="C2996" s="26"/>
      <c r="D2996" s="27"/>
      <c r="E2996" s="26"/>
      <c r="F2996" s="28"/>
      <c r="G2996" s="26"/>
      <c r="H2996" t="s">
        <v>7089</v>
      </c>
    </row>
    <row r="2997" spans="1:8" x14ac:dyDescent="0.25">
      <c r="A2997" s="21" t="s">
        <v>7091</v>
      </c>
      <c r="B2997" s="25" t="s">
        <v>7092</v>
      </c>
      <c r="C2997" s="26">
        <v>1</v>
      </c>
      <c r="D2997" s="27" t="s">
        <v>201</v>
      </c>
      <c r="E2997" s="26">
        <v>5748.8</v>
      </c>
      <c r="F2997" s="28" t="s">
        <v>202</v>
      </c>
      <c r="G2997" s="26">
        <f>ROUND(C2997*E2997,0)</f>
        <v>5749</v>
      </c>
      <c r="H2997" t="s">
        <v>6302</v>
      </c>
    </row>
    <row r="2998" spans="1:8" x14ac:dyDescent="0.25">
      <c r="A2998" s="21" t="s">
        <v>7093</v>
      </c>
      <c r="B2998" s="25" t="s">
        <v>7095</v>
      </c>
      <c r="C2998" s="26">
        <v>1</v>
      </c>
      <c r="D2998" s="27" t="s">
        <v>201</v>
      </c>
      <c r="E2998" s="26">
        <v>6993.6</v>
      </c>
      <c r="F2998" s="28" t="s">
        <v>202</v>
      </c>
      <c r="G2998" s="26">
        <f>ROUND(C2998*E2998,0)</f>
        <v>6994</v>
      </c>
      <c r="H2998" t="s">
        <v>7094</v>
      </c>
    </row>
    <row r="2999" spans="1:8" x14ac:dyDescent="0.25">
      <c r="A2999" s="21" t="s">
        <v>7096</v>
      </c>
      <c r="B2999" s="25" t="s">
        <v>6023</v>
      </c>
      <c r="C2999" s="26">
        <v>1</v>
      </c>
      <c r="D2999" s="27" t="s">
        <v>201</v>
      </c>
      <c r="E2999" s="26">
        <v>8893</v>
      </c>
      <c r="F2999" s="28" t="s">
        <v>202</v>
      </c>
      <c r="G2999" s="26">
        <f>ROUND(C2999*E2999,0)</f>
        <v>8893</v>
      </c>
      <c r="H2999" t="s">
        <v>5989</v>
      </c>
    </row>
    <row r="3000" spans="1:8" ht="75" x14ac:dyDescent="0.25">
      <c r="A3000" s="21" t="s">
        <v>7097</v>
      </c>
      <c r="B3000" s="25" t="s">
        <v>7099</v>
      </c>
      <c r="C3000" s="26"/>
      <c r="D3000" s="27"/>
      <c r="E3000" s="26"/>
      <c r="F3000" s="28"/>
      <c r="G3000" s="26"/>
      <c r="H3000" t="s">
        <v>7098</v>
      </c>
    </row>
    <row r="3001" spans="1:8" x14ac:dyDescent="0.25">
      <c r="A3001" s="21" t="s">
        <v>7100</v>
      </c>
      <c r="B3001" s="25" t="s">
        <v>7102</v>
      </c>
      <c r="C3001" s="26">
        <v>1</v>
      </c>
      <c r="D3001" s="27" t="s">
        <v>201</v>
      </c>
      <c r="E3001" s="26">
        <v>3627.65</v>
      </c>
      <c r="F3001" s="28" t="s">
        <v>202</v>
      </c>
      <c r="G3001" s="26">
        <f>ROUND(C3001*E3001,0)</f>
        <v>3628</v>
      </c>
      <c r="H3001" t="s">
        <v>7101</v>
      </c>
    </row>
    <row r="3002" spans="1:8" x14ac:dyDescent="0.25">
      <c r="A3002" s="21" t="s">
        <v>7103</v>
      </c>
      <c r="B3002" s="25" t="s">
        <v>7105</v>
      </c>
      <c r="C3002" s="26">
        <v>1</v>
      </c>
      <c r="D3002" s="27" t="s">
        <v>201</v>
      </c>
      <c r="E3002" s="26">
        <v>5468.35</v>
      </c>
      <c r="F3002" s="28" t="s">
        <v>202</v>
      </c>
      <c r="G3002" s="26">
        <f>ROUND(C3002*E3002,0)</f>
        <v>5468</v>
      </c>
      <c r="H3002" t="s">
        <v>7104</v>
      </c>
    </row>
    <row r="3003" spans="1:8" x14ac:dyDescent="0.25">
      <c r="A3003" s="21" t="s">
        <v>7106</v>
      </c>
      <c r="B3003" s="25" t="s">
        <v>7108</v>
      </c>
      <c r="C3003" s="26">
        <v>1</v>
      </c>
      <c r="D3003" s="27" t="s">
        <v>201</v>
      </c>
      <c r="E3003" s="26">
        <v>8408.7999999999993</v>
      </c>
      <c r="F3003" s="28" t="s">
        <v>202</v>
      </c>
      <c r="G3003" s="26">
        <f>ROUND(C3003*E3003,0)</f>
        <v>8409</v>
      </c>
      <c r="H3003" t="s">
        <v>7107</v>
      </c>
    </row>
    <row r="3004" spans="1:8" x14ac:dyDescent="0.25">
      <c r="A3004" s="21" t="s">
        <v>7109</v>
      </c>
      <c r="B3004" s="25" t="s">
        <v>7111</v>
      </c>
      <c r="C3004" s="26">
        <v>1</v>
      </c>
      <c r="D3004" s="27" t="s">
        <v>201</v>
      </c>
      <c r="E3004" s="26">
        <v>9043.2999999999993</v>
      </c>
      <c r="F3004" s="28" t="s">
        <v>202</v>
      </c>
      <c r="G3004" s="26">
        <f>ROUND(C3004*E3004,0)</f>
        <v>9043</v>
      </c>
      <c r="H3004" t="s">
        <v>7110</v>
      </c>
    </row>
    <row r="3005" spans="1:8" ht="45" x14ac:dyDescent="0.25">
      <c r="A3005" s="21" t="s">
        <v>7112</v>
      </c>
      <c r="B3005" s="25" t="s">
        <v>7114</v>
      </c>
      <c r="C3005" s="26"/>
      <c r="D3005" s="27"/>
      <c r="E3005" s="26"/>
      <c r="F3005" s="28"/>
      <c r="G3005" s="26"/>
      <c r="H3005" t="s">
        <v>7113</v>
      </c>
    </row>
    <row r="3006" spans="1:8" x14ac:dyDescent="0.25">
      <c r="A3006" s="21" t="s">
        <v>7115</v>
      </c>
      <c r="B3006" s="25" t="s">
        <v>7095</v>
      </c>
      <c r="C3006" s="26">
        <v>1</v>
      </c>
      <c r="D3006" s="27" t="s">
        <v>201</v>
      </c>
      <c r="E3006" s="26">
        <v>4623.5</v>
      </c>
      <c r="F3006" s="28" t="s">
        <v>202</v>
      </c>
      <c r="G3006" s="26">
        <f>ROUND(C3006*E3006,0)</f>
        <v>4624</v>
      </c>
      <c r="H3006" t="s">
        <v>7094</v>
      </c>
    </row>
    <row r="3007" spans="1:8" x14ac:dyDescent="0.25">
      <c r="A3007" s="21" t="s">
        <v>7116</v>
      </c>
      <c r="B3007" s="25" t="s">
        <v>5989</v>
      </c>
      <c r="C3007" s="26">
        <v>1</v>
      </c>
      <c r="D3007" s="27" t="s">
        <v>201</v>
      </c>
      <c r="E3007" s="26">
        <v>7460</v>
      </c>
      <c r="F3007" s="28" t="s">
        <v>202</v>
      </c>
      <c r="G3007" s="26">
        <f>ROUND(C3007*E3007,0)</f>
        <v>7460</v>
      </c>
      <c r="H3007" t="s">
        <v>5989</v>
      </c>
    </row>
    <row r="3008" spans="1:8" x14ac:dyDescent="0.25">
      <c r="A3008" s="21" t="s">
        <v>7117</v>
      </c>
      <c r="B3008" s="25" t="s">
        <v>7118</v>
      </c>
      <c r="C3008" s="26">
        <v>1</v>
      </c>
      <c r="D3008" s="27" t="s">
        <v>201</v>
      </c>
      <c r="E3008" s="26">
        <v>9433.1</v>
      </c>
      <c r="F3008" s="28" t="s">
        <v>202</v>
      </c>
      <c r="G3008" s="26">
        <f>ROUND(C3008*E3008,0)</f>
        <v>9433</v>
      </c>
      <c r="H3008" t="s">
        <v>6725</v>
      </c>
    </row>
    <row r="3009" spans="1:8" x14ac:dyDescent="0.25">
      <c r="A3009" s="21" t="s">
        <v>7119</v>
      </c>
      <c r="B3009" s="25" t="s">
        <v>7121</v>
      </c>
      <c r="C3009" s="26">
        <v>1</v>
      </c>
      <c r="D3009" s="27" t="s">
        <v>201</v>
      </c>
      <c r="E3009" s="26">
        <v>12927.1</v>
      </c>
      <c r="F3009" s="28" t="s">
        <v>202</v>
      </c>
      <c r="G3009" s="26">
        <f>ROUND(C3009*E3009,0)</f>
        <v>12927</v>
      </c>
      <c r="H3009" t="s">
        <v>7120</v>
      </c>
    </row>
    <row r="3010" spans="1:8" ht="60" x14ac:dyDescent="0.25">
      <c r="A3010" s="21" t="s">
        <v>7122</v>
      </c>
      <c r="B3010" s="25" t="s">
        <v>7124</v>
      </c>
      <c r="C3010" s="26"/>
      <c r="D3010" s="27"/>
      <c r="E3010" s="26"/>
      <c r="F3010" s="28"/>
      <c r="G3010" s="26"/>
      <c r="H3010" t="s">
        <v>7123</v>
      </c>
    </row>
    <row r="3011" spans="1:8" ht="30" x14ac:dyDescent="0.25">
      <c r="A3011" s="21" t="s">
        <v>7125</v>
      </c>
      <c r="B3011" s="25" t="s">
        <v>7127</v>
      </c>
      <c r="C3011" s="26">
        <v>1</v>
      </c>
      <c r="D3011" s="27" t="s">
        <v>201</v>
      </c>
      <c r="E3011" s="26">
        <v>182.1</v>
      </c>
      <c r="F3011" s="28" t="s">
        <v>202</v>
      </c>
      <c r="G3011" s="26">
        <f t="shared" ref="G3011:G3018" si="87">ROUND(C3011*E3011,0)</f>
        <v>182</v>
      </c>
      <c r="H3011" t="s">
        <v>7126</v>
      </c>
    </row>
    <row r="3012" spans="1:8" ht="30" x14ac:dyDescent="0.25">
      <c r="A3012" s="21" t="s">
        <v>7128</v>
      </c>
      <c r="B3012" s="25" t="s">
        <v>7130</v>
      </c>
      <c r="C3012" s="26">
        <v>1</v>
      </c>
      <c r="D3012" s="27" t="s">
        <v>201</v>
      </c>
      <c r="E3012" s="26">
        <v>257.60000000000002</v>
      </c>
      <c r="F3012" s="28" t="s">
        <v>202</v>
      </c>
      <c r="G3012" s="26">
        <f t="shared" si="87"/>
        <v>258</v>
      </c>
      <c r="H3012" t="s">
        <v>7129</v>
      </c>
    </row>
    <row r="3013" spans="1:8" ht="30" x14ac:dyDescent="0.25">
      <c r="A3013" s="21" t="s">
        <v>7131</v>
      </c>
      <c r="B3013" s="25" t="s">
        <v>7133</v>
      </c>
      <c r="C3013" s="26">
        <v>1</v>
      </c>
      <c r="D3013" s="27" t="s">
        <v>201</v>
      </c>
      <c r="E3013" s="26">
        <v>523.79999999999995</v>
      </c>
      <c r="F3013" s="28" t="s">
        <v>202</v>
      </c>
      <c r="G3013" s="26">
        <f t="shared" si="87"/>
        <v>524</v>
      </c>
      <c r="H3013" t="s">
        <v>7132</v>
      </c>
    </row>
    <row r="3014" spans="1:8" ht="30" x14ac:dyDescent="0.25">
      <c r="A3014" s="21" t="s">
        <v>7134</v>
      </c>
      <c r="B3014" s="25" t="s">
        <v>7136</v>
      </c>
      <c r="C3014" s="26">
        <v>1</v>
      </c>
      <c r="D3014" s="27" t="s">
        <v>201</v>
      </c>
      <c r="E3014" s="26">
        <v>737.2</v>
      </c>
      <c r="F3014" s="28" t="s">
        <v>202</v>
      </c>
      <c r="G3014" s="26">
        <f t="shared" si="87"/>
        <v>737</v>
      </c>
      <c r="H3014" t="s">
        <v>7135</v>
      </c>
    </row>
    <row r="3015" spans="1:8" ht="30" x14ac:dyDescent="0.25">
      <c r="A3015" s="21" t="s">
        <v>7137</v>
      </c>
      <c r="B3015" s="25" t="s">
        <v>7139</v>
      </c>
      <c r="C3015" s="26">
        <v>1</v>
      </c>
      <c r="D3015" s="27" t="s">
        <v>201</v>
      </c>
      <c r="E3015" s="26">
        <v>1375.95</v>
      </c>
      <c r="F3015" s="28" t="s">
        <v>202</v>
      </c>
      <c r="G3015" s="26">
        <f t="shared" si="87"/>
        <v>1376</v>
      </c>
      <c r="H3015" t="s">
        <v>7138</v>
      </c>
    </row>
    <row r="3016" spans="1:8" ht="30" x14ac:dyDescent="0.25">
      <c r="A3016" s="21" t="s">
        <v>7140</v>
      </c>
      <c r="B3016" s="25" t="s">
        <v>7142</v>
      </c>
      <c r="C3016" s="26">
        <v>1</v>
      </c>
      <c r="D3016" s="27" t="s">
        <v>201</v>
      </c>
      <c r="E3016" s="26">
        <v>156.9</v>
      </c>
      <c r="F3016" s="28" t="s">
        <v>202</v>
      </c>
      <c r="G3016" s="26">
        <f t="shared" si="87"/>
        <v>157</v>
      </c>
      <c r="H3016" t="s">
        <v>7141</v>
      </c>
    </row>
    <row r="3017" spans="1:8" ht="45" x14ac:dyDescent="0.25">
      <c r="A3017" s="21" t="s">
        <v>7143</v>
      </c>
      <c r="B3017" s="25" t="s">
        <v>7145</v>
      </c>
      <c r="C3017" s="26">
        <v>1</v>
      </c>
      <c r="D3017" s="27" t="s">
        <v>201</v>
      </c>
      <c r="E3017" s="26">
        <v>121.4</v>
      </c>
      <c r="F3017" s="28" t="s">
        <v>202</v>
      </c>
      <c r="G3017" s="26">
        <f t="shared" si="87"/>
        <v>121</v>
      </c>
      <c r="H3017" t="s">
        <v>7144</v>
      </c>
    </row>
    <row r="3018" spans="1:8" ht="60" x14ac:dyDescent="0.25">
      <c r="A3018" s="21" t="s">
        <v>7146</v>
      </c>
      <c r="B3018" s="25" t="s">
        <v>7148</v>
      </c>
      <c r="C3018" s="26">
        <v>1</v>
      </c>
      <c r="D3018" s="27" t="s">
        <v>201</v>
      </c>
      <c r="E3018" s="26">
        <v>111.45</v>
      </c>
      <c r="F3018" s="28" t="s">
        <v>202</v>
      </c>
      <c r="G3018" s="26">
        <f t="shared" si="87"/>
        <v>111</v>
      </c>
      <c r="H3018" t="s">
        <v>7147</v>
      </c>
    </row>
    <row r="3019" spans="1:8" ht="45" x14ac:dyDescent="0.25">
      <c r="A3019" s="21" t="s">
        <v>7149</v>
      </c>
      <c r="B3019" s="25" t="s">
        <v>7151</v>
      </c>
      <c r="C3019" s="26"/>
      <c r="D3019" s="27"/>
      <c r="E3019" s="26"/>
      <c r="F3019" s="28"/>
      <c r="G3019" s="26"/>
      <c r="H3019" t="s">
        <v>7150</v>
      </c>
    </row>
    <row r="3020" spans="1:8" x14ac:dyDescent="0.25">
      <c r="A3020" s="21" t="s">
        <v>7152</v>
      </c>
      <c r="B3020" s="25" t="s">
        <v>7154</v>
      </c>
      <c r="C3020" s="26">
        <v>1</v>
      </c>
      <c r="D3020" s="27" t="s">
        <v>848</v>
      </c>
      <c r="E3020" s="26">
        <v>8628.6</v>
      </c>
      <c r="F3020" s="28" t="s">
        <v>849</v>
      </c>
      <c r="G3020" s="26">
        <f>ROUND(C3020*E3020,0)</f>
        <v>8629</v>
      </c>
      <c r="H3020" t="s">
        <v>7153</v>
      </c>
    </row>
    <row r="3021" spans="1:8" x14ac:dyDescent="0.25">
      <c r="A3021" s="21" t="s">
        <v>7155</v>
      </c>
      <c r="B3021" s="25" t="s">
        <v>7157</v>
      </c>
      <c r="C3021" s="26">
        <v>1</v>
      </c>
      <c r="D3021" s="27" t="s">
        <v>848</v>
      </c>
      <c r="E3021" s="26">
        <v>10157.950000000001</v>
      </c>
      <c r="F3021" s="28" t="s">
        <v>849</v>
      </c>
      <c r="G3021" s="26">
        <f>ROUND(C3021*E3021,0)</f>
        <v>10158</v>
      </c>
      <c r="H3021" t="s">
        <v>7156</v>
      </c>
    </row>
    <row r="3022" spans="1:8" ht="30" x14ac:dyDescent="0.25">
      <c r="A3022" s="21" t="s">
        <v>7158</v>
      </c>
      <c r="B3022" s="25" t="s">
        <v>7160</v>
      </c>
      <c r="C3022" s="26"/>
      <c r="D3022" s="27"/>
      <c r="E3022" s="26"/>
      <c r="F3022" s="28"/>
      <c r="G3022" s="26"/>
      <c r="H3022" t="s">
        <v>7159</v>
      </c>
    </row>
    <row r="3023" spans="1:8" x14ac:dyDescent="0.25">
      <c r="A3023" s="21" t="s">
        <v>7161</v>
      </c>
      <c r="B3023" s="25" t="s">
        <v>7154</v>
      </c>
      <c r="C3023" s="26">
        <v>1</v>
      </c>
      <c r="D3023" s="27" t="s">
        <v>848</v>
      </c>
      <c r="E3023" s="26">
        <v>13764.35</v>
      </c>
      <c r="F3023" s="28" t="s">
        <v>849</v>
      </c>
      <c r="G3023" s="26">
        <f>ROUND(C3023*E3023,0)</f>
        <v>13764</v>
      </c>
      <c r="H3023" t="s">
        <v>7153</v>
      </c>
    </row>
    <row r="3024" spans="1:8" x14ac:dyDescent="0.25">
      <c r="A3024" s="21" t="s">
        <v>7162</v>
      </c>
      <c r="B3024" s="25" t="s">
        <v>7157</v>
      </c>
      <c r="C3024" s="26">
        <v>1</v>
      </c>
      <c r="D3024" s="27" t="s">
        <v>848</v>
      </c>
      <c r="E3024" s="26">
        <v>14532.55</v>
      </c>
      <c r="F3024" s="28" t="s">
        <v>849</v>
      </c>
      <c r="G3024" s="26">
        <f>ROUND(C3024*E3024,0)</f>
        <v>14533</v>
      </c>
      <c r="H3024" t="s">
        <v>7156</v>
      </c>
    </row>
    <row r="3025" spans="1:8" ht="30" x14ac:dyDescent="0.25">
      <c r="A3025" s="21" t="s">
        <v>7163</v>
      </c>
      <c r="B3025" s="25" t="s">
        <v>7165</v>
      </c>
      <c r="C3025" s="26"/>
      <c r="D3025" s="27"/>
      <c r="E3025" s="26"/>
      <c r="F3025" s="28"/>
      <c r="G3025" s="26"/>
      <c r="H3025" t="s">
        <v>7164</v>
      </c>
    </row>
    <row r="3026" spans="1:8" x14ac:dyDescent="0.25">
      <c r="A3026" s="21" t="s">
        <v>7166</v>
      </c>
      <c r="B3026" s="25" t="s">
        <v>7168</v>
      </c>
      <c r="C3026" s="26">
        <v>1</v>
      </c>
      <c r="D3026" s="27" t="s">
        <v>848</v>
      </c>
      <c r="E3026" s="26">
        <v>20009.7</v>
      </c>
      <c r="F3026" s="28" t="s">
        <v>849</v>
      </c>
      <c r="G3026" s="26">
        <f>ROUND(C3026*E3026,0)</f>
        <v>20010</v>
      </c>
      <c r="H3026" t="s">
        <v>7167</v>
      </c>
    </row>
    <row r="3027" spans="1:8" x14ac:dyDescent="0.25">
      <c r="A3027" s="21" t="s">
        <v>7169</v>
      </c>
      <c r="B3027" s="25" t="s">
        <v>7171</v>
      </c>
      <c r="C3027" s="26">
        <v>1</v>
      </c>
      <c r="D3027" s="27" t="s">
        <v>848</v>
      </c>
      <c r="E3027" s="26">
        <v>26696.1</v>
      </c>
      <c r="F3027" s="28" t="s">
        <v>849</v>
      </c>
      <c r="G3027" s="26">
        <f>ROUND(C3027*E3027,0)</f>
        <v>26696</v>
      </c>
      <c r="H3027" t="s">
        <v>7170</v>
      </c>
    </row>
    <row r="3028" spans="1:8" ht="75" x14ac:dyDescent="0.25">
      <c r="A3028" s="21" t="s">
        <v>7172</v>
      </c>
      <c r="B3028" s="25" t="s">
        <v>7174</v>
      </c>
      <c r="C3028" s="26"/>
      <c r="D3028" s="27"/>
      <c r="E3028" s="26"/>
      <c r="F3028" s="28"/>
      <c r="G3028" s="26"/>
      <c r="H3028" t="s">
        <v>7173</v>
      </c>
    </row>
    <row r="3029" spans="1:8" x14ac:dyDescent="0.25">
      <c r="A3029" s="21" t="s">
        <v>7175</v>
      </c>
      <c r="B3029" s="25" t="s">
        <v>7168</v>
      </c>
      <c r="C3029" s="26">
        <v>1</v>
      </c>
      <c r="D3029" s="27" t="s">
        <v>848</v>
      </c>
      <c r="E3029" s="26">
        <v>30394.95</v>
      </c>
      <c r="F3029" s="28" t="s">
        <v>849</v>
      </c>
      <c r="G3029" s="26">
        <f>ROUND(C3029*E3029,0)</f>
        <v>30395</v>
      </c>
      <c r="H3029" t="s">
        <v>7168</v>
      </c>
    </row>
    <row r="3030" spans="1:8" x14ac:dyDescent="0.25">
      <c r="A3030" s="21" t="s">
        <v>7176</v>
      </c>
      <c r="B3030" s="25" t="s">
        <v>7171</v>
      </c>
      <c r="C3030" s="26">
        <v>1</v>
      </c>
      <c r="D3030" s="27" t="s">
        <v>848</v>
      </c>
      <c r="E3030" s="26">
        <v>39073.050000000003</v>
      </c>
      <c r="F3030" s="28" t="s">
        <v>849</v>
      </c>
      <c r="G3030" s="26">
        <f>ROUND(C3030*E3030,0)</f>
        <v>39073</v>
      </c>
      <c r="H3030" t="s">
        <v>7171</v>
      </c>
    </row>
    <row r="3031" spans="1:8" ht="30" x14ac:dyDescent="0.25">
      <c r="A3031" s="21" t="s">
        <v>7177</v>
      </c>
      <c r="B3031" s="25" t="s">
        <v>7179</v>
      </c>
      <c r="C3031" s="26"/>
      <c r="D3031" s="27"/>
      <c r="E3031" s="26"/>
      <c r="F3031" s="28"/>
      <c r="G3031" s="26"/>
      <c r="H3031" t="s">
        <v>7178</v>
      </c>
    </row>
    <row r="3032" spans="1:8" x14ac:dyDescent="0.25">
      <c r="A3032" s="21" t="s">
        <v>7180</v>
      </c>
      <c r="B3032" s="25" t="s">
        <v>7168</v>
      </c>
      <c r="C3032" s="26">
        <v>1</v>
      </c>
      <c r="D3032" s="27" t="s">
        <v>848</v>
      </c>
      <c r="E3032" s="26">
        <v>21290.1</v>
      </c>
      <c r="F3032" s="28" t="s">
        <v>849</v>
      </c>
      <c r="G3032" s="26">
        <f>ROUND(C3032*E3032,0)</f>
        <v>21290</v>
      </c>
      <c r="H3032" t="s">
        <v>7167</v>
      </c>
    </row>
    <row r="3033" spans="1:8" x14ac:dyDescent="0.25">
      <c r="A3033" s="21" t="s">
        <v>7181</v>
      </c>
      <c r="B3033" s="25" t="s">
        <v>7171</v>
      </c>
      <c r="C3033" s="26">
        <v>1</v>
      </c>
      <c r="D3033" s="27" t="s">
        <v>848</v>
      </c>
      <c r="E3033" s="26">
        <v>28403.25</v>
      </c>
      <c r="F3033" s="28" t="s">
        <v>849</v>
      </c>
      <c r="G3033" s="26">
        <f>ROUND(C3033*E3033,0)</f>
        <v>28403</v>
      </c>
      <c r="H3033" t="s">
        <v>7170</v>
      </c>
    </row>
    <row r="3034" spans="1:8" ht="45" x14ac:dyDescent="0.25">
      <c r="A3034" s="21" t="s">
        <v>7182</v>
      </c>
      <c r="B3034" s="25" t="s">
        <v>7184</v>
      </c>
      <c r="C3034" s="26"/>
      <c r="D3034" s="27"/>
      <c r="E3034" s="26"/>
      <c r="F3034" s="28"/>
      <c r="G3034" s="26"/>
      <c r="H3034" t="s">
        <v>7183</v>
      </c>
    </row>
    <row r="3035" spans="1:8" x14ac:dyDescent="0.25">
      <c r="A3035" s="21" t="s">
        <v>7185</v>
      </c>
      <c r="B3035" s="25" t="s">
        <v>7187</v>
      </c>
      <c r="C3035" s="26">
        <v>1</v>
      </c>
      <c r="D3035" s="27" t="s">
        <v>7188</v>
      </c>
      <c r="E3035" s="26">
        <v>119.45</v>
      </c>
      <c r="F3035" s="28" t="s">
        <v>7189</v>
      </c>
      <c r="G3035" s="26">
        <f t="shared" ref="G3035:G3049" si="88">ROUND(C3035*E3035,0)</f>
        <v>119</v>
      </c>
      <c r="H3035" t="s">
        <v>7186</v>
      </c>
    </row>
    <row r="3036" spans="1:8" x14ac:dyDescent="0.25">
      <c r="A3036" s="21" t="s">
        <v>7190</v>
      </c>
      <c r="B3036" s="25" t="s">
        <v>7192</v>
      </c>
      <c r="C3036" s="26">
        <v>1</v>
      </c>
      <c r="D3036" s="27" t="s">
        <v>7188</v>
      </c>
      <c r="E3036" s="26">
        <v>192.85</v>
      </c>
      <c r="F3036" s="28" t="s">
        <v>7189</v>
      </c>
      <c r="G3036" s="26">
        <f t="shared" si="88"/>
        <v>193</v>
      </c>
      <c r="H3036" t="s">
        <v>7191</v>
      </c>
    </row>
    <row r="3037" spans="1:8" x14ac:dyDescent="0.25">
      <c r="A3037" s="21" t="s">
        <v>7193</v>
      </c>
      <c r="B3037" s="25" t="s">
        <v>7195</v>
      </c>
      <c r="C3037" s="26">
        <v>1</v>
      </c>
      <c r="D3037" s="27" t="s">
        <v>7188</v>
      </c>
      <c r="E3037" s="26">
        <v>280.85000000000002</v>
      </c>
      <c r="F3037" s="28" t="s">
        <v>7189</v>
      </c>
      <c r="G3037" s="26">
        <f t="shared" si="88"/>
        <v>281</v>
      </c>
      <c r="H3037" t="s">
        <v>7194</v>
      </c>
    </row>
    <row r="3038" spans="1:8" x14ac:dyDescent="0.25">
      <c r="A3038" s="21" t="s">
        <v>7196</v>
      </c>
      <c r="B3038" s="25" t="s">
        <v>7198</v>
      </c>
      <c r="C3038" s="26">
        <v>1</v>
      </c>
      <c r="D3038" s="27" t="s">
        <v>7188</v>
      </c>
      <c r="E3038" s="26">
        <v>340.35</v>
      </c>
      <c r="F3038" s="28" t="s">
        <v>7189</v>
      </c>
      <c r="G3038" s="26">
        <f t="shared" si="88"/>
        <v>340</v>
      </c>
      <c r="H3038" t="s">
        <v>7197</v>
      </c>
    </row>
    <row r="3039" spans="1:8" x14ac:dyDescent="0.25">
      <c r="A3039" s="21" t="s">
        <v>7199</v>
      </c>
      <c r="B3039" s="25" t="s">
        <v>7201</v>
      </c>
      <c r="C3039" s="26">
        <v>1</v>
      </c>
      <c r="D3039" s="27" t="s">
        <v>7188</v>
      </c>
      <c r="E3039" s="26">
        <v>435.45</v>
      </c>
      <c r="F3039" s="28" t="s">
        <v>7189</v>
      </c>
      <c r="G3039" s="26">
        <f t="shared" si="88"/>
        <v>435</v>
      </c>
      <c r="H3039" t="s">
        <v>7200</v>
      </c>
    </row>
    <row r="3040" spans="1:8" x14ac:dyDescent="0.25">
      <c r="A3040" s="21" t="s">
        <v>7202</v>
      </c>
      <c r="B3040" s="25" t="s">
        <v>7204</v>
      </c>
      <c r="C3040" s="26">
        <v>1</v>
      </c>
      <c r="D3040" s="27" t="s">
        <v>7188</v>
      </c>
      <c r="E3040" s="26">
        <v>495</v>
      </c>
      <c r="F3040" s="28" t="s">
        <v>7189</v>
      </c>
      <c r="G3040" s="26">
        <f t="shared" si="88"/>
        <v>495</v>
      </c>
      <c r="H3040" t="s">
        <v>7203</v>
      </c>
    </row>
    <row r="3041" spans="1:8" x14ac:dyDescent="0.25">
      <c r="A3041" s="21" t="s">
        <v>7205</v>
      </c>
      <c r="B3041" s="25" t="s">
        <v>7207</v>
      </c>
      <c r="C3041" s="26">
        <v>1</v>
      </c>
      <c r="D3041" s="27" t="s">
        <v>7188</v>
      </c>
      <c r="E3041" s="26">
        <v>696.8</v>
      </c>
      <c r="F3041" s="28" t="s">
        <v>7189</v>
      </c>
      <c r="G3041" s="26">
        <f t="shared" si="88"/>
        <v>697</v>
      </c>
      <c r="H3041" t="s">
        <v>7206</v>
      </c>
    </row>
    <row r="3042" spans="1:8" x14ac:dyDescent="0.25">
      <c r="A3042" s="21" t="s">
        <v>7208</v>
      </c>
      <c r="B3042" s="25" t="s">
        <v>7210</v>
      </c>
      <c r="C3042" s="26">
        <v>1</v>
      </c>
      <c r="D3042" s="27" t="s">
        <v>7188</v>
      </c>
      <c r="E3042" s="26">
        <v>820.35</v>
      </c>
      <c r="F3042" s="28" t="s">
        <v>7189</v>
      </c>
      <c r="G3042" s="26">
        <f t="shared" si="88"/>
        <v>820</v>
      </c>
      <c r="H3042" t="s">
        <v>7209</v>
      </c>
    </row>
    <row r="3043" spans="1:8" x14ac:dyDescent="0.25">
      <c r="A3043" s="21" t="s">
        <v>7211</v>
      </c>
      <c r="B3043" s="25" t="s">
        <v>7213</v>
      </c>
      <c r="C3043" s="26">
        <v>1</v>
      </c>
      <c r="D3043" s="27" t="s">
        <v>7188</v>
      </c>
      <c r="E3043" s="26">
        <v>871.45</v>
      </c>
      <c r="F3043" s="28" t="s">
        <v>7189</v>
      </c>
      <c r="G3043" s="26">
        <f t="shared" si="88"/>
        <v>871</v>
      </c>
      <c r="H3043" t="s">
        <v>7212</v>
      </c>
    </row>
    <row r="3044" spans="1:8" x14ac:dyDescent="0.25">
      <c r="A3044" s="21" t="s">
        <v>7214</v>
      </c>
      <c r="B3044" s="25" t="s">
        <v>7216</v>
      </c>
      <c r="C3044" s="26">
        <v>1</v>
      </c>
      <c r="D3044" s="27" t="s">
        <v>7188</v>
      </c>
      <c r="E3044" s="26">
        <v>1207.9000000000001</v>
      </c>
      <c r="F3044" s="28" t="s">
        <v>7189</v>
      </c>
      <c r="G3044" s="26">
        <f t="shared" si="88"/>
        <v>1208</v>
      </c>
      <c r="H3044" t="s">
        <v>7215</v>
      </c>
    </row>
    <row r="3045" spans="1:8" x14ac:dyDescent="0.25">
      <c r="A3045" s="21" t="s">
        <v>7217</v>
      </c>
      <c r="B3045" s="25" t="s">
        <v>7219</v>
      </c>
      <c r="C3045" s="26">
        <v>1</v>
      </c>
      <c r="D3045" s="27" t="s">
        <v>7188</v>
      </c>
      <c r="E3045" s="26">
        <v>1572.7</v>
      </c>
      <c r="F3045" s="28" t="s">
        <v>7189</v>
      </c>
      <c r="G3045" s="26">
        <f t="shared" si="88"/>
        <v>1573</v>
      </c>
      <c r="H3045" t="s">
        <v>7218</v>
      </c>
    </row>
    <row r="3046" spans="1:8" x14ac:dyDescent="0.25">
      <c r="A3046" s="21" t="s">
        <v>7220</v>
      </c>
      <c r="B3046" s="25" t="s">
        <v>7222</v>
      </c>
      <c r="C3046" s="26">
        <v>1</v>
      </c>
      <c r="D3046" s="27" t="s">
        <v>7188</v>
      </c>
      <c r="E3046" s="26">
        <v>1693.65</v>
      </c>
      <c r="F3046" s="28" t="s">
        <v>7189</v>
      </c>
      <c r="G3046" s="26">
        <f t="shared" si="88"/>
        <v>1694</v>
      </c>
      <c r="H3046" t="s">
        <v>7221</v>
      </c>
    </row>
    <row r="3047" spans="1:8" x14ac:dyDescent="0.25">
      <c r="A3047" s="21" t="s">
        <v>7223</v>
      </c>
      <c r="B3047" s="25" t="s">
        <v>7225</v>
      </c>
      <c r="C3047" s="26">
        <v>1</v>
      </c>
      <c r="D3047" s="27" t="s">
        <v>7188</v>
      </c>
      <c r="E3047" s="26">
        <v>1844.4</v>
      </c>
      <c r="F3047" s="28" t="s">
        <v>7189</v>
      </c>
      <c r="G3047" s="26">
        <f t="shared" si="88"/>
        <v>1844</v>
      </c>
      <c r="H3047" t="s">
        <v>7224</v>
      </c>
    </row>
    <row r="3048" spans="1:8" x14ac:dyDescent="0.25">
      <c r="A3048" s="21" t="s">
        <v>7226</v>
      </c>
      <c r="B3048" s="25" t="s">
        <v>7228</v>
      </c>
      <c r="C3048" s="26">
        <v>1</v>
      </c>
      <c r="D3048" s="27" t="s">
        <v>7188</v>
      </c>
      <c r="E3048" s="26">
        <v>2314.65</v>
      </c>
      <c r="F3048" s="28" t="s">
        <v>7189</v>
      </c>
      <c r="G3048" s="26">
        <f t="shared" si="88"/>
        <v>2315</v>
      </c>
      <c r="H3048" t="s">
        <v>7227</v>
      </c>
    </row>
    <row r="3049" spans="1:8" x14ac:dyDescent="0.25">
      <c r="A3049" s="21" t="s">
        <v>7229</v>
      </c>
      <c r="B3049" s="25" t="s">
        <v>7231</v>
      </c>
      <c r="C3049" s="26">
        <v>1</v>
      </c>
      <c r="D3049" s="27" t="s">
        <v>7188</v>
      </c>
      <c r="E3049" s="26">
        <v>2604.4</v>
      </c>
      <c r="F3049" s="28" t="s">
        <v>7189</v>
      </c>
      <c r="G3049" s="26">
        <f t="shared" si="88"/>
        <v>2604</v>
      </c>
      <c r="H3049" t="s">
        <v>7230</v>
      </c>
    </row>
    <row r="3050" spans="1:8" ht="45" x14ac:dyDescent="0.25">
      <c r="A3050" s="21" t="s">
        <v>7232</v>
      </c>
      <c r="B3050" s="25" t="s">
        <v>7234</v>
      </c>
      <c r="C3050" s="26"/>
      <c r="D3050" s="27"/>
      <c r="E3050" s="26"/>
      <c r="F3050" s="28"/>
      <c r="G3050" s="26"/>
      <c r="H3050" t="s">
        <v>7233</v>
      </c>
    </row>
    <row r="3051" spans="1:8" ht="45" x14ac:dyDescent="0.25">
      <c r="A3051" s="21" t="s">
        <v>7235</v>
      </c>
      <c r="B3051" s="25" t="s">
        <v>7237</v>
      </c>
      <c r="C3051" s="26">
        <v>1</v>
      </c>
      <c r="D3051" s="27" t="s">
        <v>110</v>
      </c>
      <c r="E3051" s="26">
        <v>2089.35</v>
      </c>
      <c r="F3051" s="28" t="s">
        <v>618</v>
      </c>
      <c r="G3051" s="26">
        <f t="shared" ref="G3051:G3060" si="89">ROUND(C3051*E3051,0)</f>
        <v>2089</v>
      </c>
      <c r="H3051" t="s">
        <v>7236</v>
      </c>
    </row>
    <row r="3052" spans="1:8" ht="45" x14ac:dyDescent="0.25">
      <c r="A3052" s="21" t="s">
        <v>7238</v>
      </c>
      <c r="B3052" s="25" t="s">
        <v>7240</v>
      </c>
      <c r="C3052" s="26">
        <v>1</v>
      </c>
      <c r="D3052" s="27" t="s">
        <v>110</v>
      </c>
      <c r="E3052" s="26">
        <v>3218.5</v>
      </c>
      <c r="F3052" s="28" t="s">
        <v>618</v>
      </c>
      <c r="G3052" s="26">
        <f t="shared" si="89"/>
        <v>3219</v>
      </c>
      <c r="H3052" t="s">
        <v>7239</v>
      </c>
    </row>
    <row r="3053" spans="1:8" ht="45" x14ac:dyDescent="0.25">
      <c r="A3053" s="21" t="s">
        <v>7241</v>
      </c>
      <c r="B3053" s="25" t="s">
        <v>7243</v>
      </c>
      <c r="C3053" s="26">
        <v>1</v>
      </c>
      <c r="D3053" s="27" t="s">
        <v>110</v>
      </c>
      <c r="E3053" s="26">
        <v>4995.8500000000004</v>
      </c>
      <c r="F3053" s="28" t="s">
        <v>618</v>
      </c>
      <c r="G3053" s="26">
        <f t="shared" si="89"/>
        <v>4996</v>
      </c>
      <c r="H3053" t="s">
        <v>7242</v>
      </c>
    </row>
    <row r="3054" spans="1:8" ht="45" x14ac:dyDescent="0.25">
      <c r="A3054" s="21" t="s">
        <v>7244</v>
      </c>
      <c r="B3054" s="25" t="s">
        <v>7246</v>
      </c>
      <c r="C3054" s="26">
        <v>1</v>
      </c>
      <c r="D3054" s="27" t="s">
        <v>110</v>
      </c>
      <c r="E3054" s="26">
        <v>6227</v>
      </c>
      <c r="F3054" s="28" t="s">
        <v>618</v>
      </c>
      <c r="G3054" s="26">
        <f t="shared" si="89"/>
        <v>6227</v>
      </c>
      <c r="H3054" t="s">
        <v>7245</v>
      </c>
    </row>
    <row r="3055" spans="1:8" ht="45" x14ac:dyDescent="0.25">
      <c r="A3055" s="21" t="s">
        <v>7247</v>
      </c>
      <c r="B3055" s="25" t="s">
        <v>7249</v>
      </c>
      <c r="C3055" s="26">
        <v>1</v>
      </c>
      <c r="D3055" s="27" t="s">
        <v>110</v>
      </c>
      <c r="E3055" s="26">
        <v>8094.3</v>
      </c>
      <c r="F3055" s="28" t="s">
        <v>618</v>
      </c>
      <c r="G3055" s="26">
        <f t="shared" si="89"/>
        <v>8094</v>
      </c>
      <c r="H3055" t="s">
        <v>7248</v>
      </c>
    </row>
    <row r="3056" spans="1:8" ht="45" x14ac:dyDescent="0.25">
      <c r="A3056" s="21" t="s">
        <v>7250</v>
      </c>
      <c r="B3056" s="25" t="s">
        <v>7252</v>
      </c>
      <c r="C3056" s="26">
        <v>1</v>
      </c>
      <c r="D3056" s="27" t="s">
        <v>110</v>
      </c>
      <c r="E3056" s="26">
        <v>10093.9</v>
      </c>
      <c r="F3056" s="28" t="s">
        <v>618</v>
      </c>
      <c r="G3056" s="26">
        <f t="shared" si="89"/>
        <v>10094</v>
      </c>
      <c r="H3056" t="s">
        <v>7251</v>
      </c>
    </row>
    <row r="3057" spans="1:8" ht="45" x14ac:dyDescent="0.25">
      <c r="A3057" s="21" t="s">
        <v>7253</v>
      </c>
      <c r="B3057" s="25" t="s">
        <v>7255</v>
      </c>
      <c r="C3057" s="26">
        <v>1</v>
      </c>
      <c r="D3057" s="27" t="s">
        <v>110</v>
      </c>
      <c r="E3057" s="26">
        <v>13136.65</v>
      </c>
      <c r="F3057" s="28" t="s">
        <v>618</v>
      </c>
      <c r="G3057" s="26">
        <f t="shared" si="89"/>
        <v>13137</v>
      </c>
      <c r="H3057" t="s">
        <v>7254</v>
      </c>
    </row>
    <row r="3058" spans="1:8" ht="45" x14ac:dyDescent="0.25">
      <c r="A3058" s="21" t="s">
        <v>7256</v>
      </c>
      <c r="B3058" s="25" t="s">
        <v>7258</v>
      </c>
      <c r="C3058" s="26">
        <v>1</v>
      </c>
      <c r="D3058" s="27" t="s">
        <v>110</v>
      </c>
      <c r="E3058" s="26">
        <v>16769.3</v>
      </c>
      <c r="F3058" s="28" t="s">
        <v>618</v>
      </c>
      <c r="G3058" s="26">
        <f t="shared" si="89"/>
        <v>16769</v>
      </c>
      <c r="H3058" t="s">
        <v>7257</v>
      </c>
    </row>
    <row r="3059" spans="1:8" ht="45" x14ac:dyDescent="0.25">
      <c r="A3059" s="21" t="s">
        <v>7259</v>
      </c>
      <c r="B3059" s="25" t="s">
        <v>7261</v>
      </c>
      <c r="C3059" s="26">
        <v>1</v>
      </c>
      <c r="D3059" s="27" t="s">
        <v>110</v>
      </c>
      <c r="E3059" s="26">
        <v>21619.65</v>
      </c>
      <c r="F3059" s="28" t="s">
        <v>618</v>
      </c>
      <c r="G3059" s="26">
        <f t="shared" si="89"/>
        <v>21620</v>
      </c>
      <c r="H3059" t="s">
        <v>7260</v>
      </c>
    </row>
    <row r="3060" spans="1:8" ht="45" x14ac:dyDescent="0.25">
      <c r="A3060" s="21" t="s">
        <v>7262</v>
      </c>
      <c r="B3060" s="25" t="s">
        <v>7264</v>
      </c>
      <c r="C3060" s="26">
        <v>1</v>
      </c>
      <c r="D3060" s="27" t="s">
        <v>110</v>
      </c>
      <c r="E3060" s="26">
        <v>27459.4</v>
      </c>
      <c r="F3060" s="28" t="s">
        <v>618</v>
      </c>
      <c r="G3060" s="26">
        <f t="shared" si="89"/>
        <v>27459</v>
      </c>
      <c r="H3060" t="s">
        <v>7263</v>
      </c>
    </row>
    <row r="3061" spans="1:8" ht="45" x14ac:dyDescent="0.25">
      <c r="A3061" s="21" t="s">
        <v>7265</v>
      </c>
      <c r="B3061" s="25" t="s">
        <v>7267</v>
      </c>
      <c r="C3061" s="26"/>
      <c r="D3061" s="27"/>
      <c r="E3061" s="26"/>
      <c r="F3061" s="28"/>
      <c r="G3061" s="26"/>
      <c r="H3061" t="s">
        <v>7266</v>
      </c>
    </row>
    <row r="3062" spans="1:8" ht="45" x14ac:dyDescent="0.25">
      <c r="A3062" s="21" t="s">
        <v>7268</v>
      </c>
      <c r="B3062" s="25" t="s">
        <v>7270</v>
      </c>
      <c r="C3062" s="26">
        <v>1</v>
      </c>
      <c r="D3062" s="27" t="s">
        <v>110</v>
      </c>
      <c r="E3062" s="26">
        <v>1257.8</v>
      </c>
      <c r="F3062" s="28" t="s">
        <v>618</v>
      </c>
      <c r="G3062" s="26">
        <f t="shared" ref="G3062:G3090" si="90">ROUND(C3062*E3062,0)</f>
        <v>1258</v>
      </c>
      <c r="H3062" t="s">
        <v>7269</v>
      </c>
    </row>
    <row r="3063" spans="1:8" ht="45" x14ac:dyDescent="0.25">
      <c r="A3063" s="21" t="s">
        <v>7271</v>
      </c>
      <c r="B3063" s="25" t="s">
        <v>7273</v>
      </c>
      <c r="C3063" s="26">
        <v>1</v>
      </c>
      <c r="D3063" s="27" t="s">
        <v>110</v>
      </c>
      <c r="E3063" s="26">
        <v>1789.6</v>
      </c>
      <c r="F3063" s="28" t="s">
        <v>618</v>
      </c>
      <c r="G3063" s="26">
        <f t="shared" si="90"/>
        <v>1790</v>
      </c>
      <c r="H3063" t="s">
        <v>7272</v>
      </c>
    </row>
    <row r="3064" spans="1:8" ht="45" x14ac:dyDescent="0.25">
      <c r="A3064" s="21" t="s">
        <v>7274</v>
      </c>
      <c r="B3064" s="25" t="s">
        <v>7276</v>
      </c>
      <c r="C3064" s="26">
        <v>1</v>
      </c>
      <c r="D3064" s="27" t="s">
        <v>110</v>
      </c>
      <c r="E3064" s="26">
        <v>2328.15</v>
      </c>
      <c r="F3064" s="28" t="s">
        <v>618</v>
      </c>
      <c r="G3064" s="26">
        <f t="shared" si="90"/>
        <v>2328</v>
      </c>
      <c r="H3064" t="s">
        <v>7275</v>
      </c>
    </row>
    <row r="3065" spans="1:8" ht="45" x14ac:dyDescent="0.25">
      <c r="A3065" s="21" t="s">
        <v>7277</v>
      </c>
      <c r="B3065" s="25" t="s">
        <v>7279</v>
      </c>
      <c r="C3065" s="26">
        <v>1</v>
      </c>
      <c r="D3065" s="27" t="s">
        <v>110</v>
      </c>
      <c r="E3065" s="26">
        <v>2880.7</v>
      </c>
      <c r="F3065" s="28" t="s">
        <v>618</v>
      </c>
      <c r="G3065" s="26">
        <f t="shared" si="90"/>
        <v>2881</v>
      </c>
      <c r="H3065" t="s">
        <v>7278</v>
      </c>
    </row>
    <row r="3066" spans="1:8" ht="45" x14ac:dyDescent="0.25">
      <c r="A3066" s="21" t="s">
        <v>7280</v>
      </c>
      <c r="B3066" s="25" t="s">
        <v>7282</v>
      </c>
      <c r="C3066" s="26">
        <v>1</v>
      </c>
      <c r="D3066" s="27" t="s">
        <v>110</v>
      </c>
      <c r="E3066" s="26">
        <v>3518.25</v>
      </c>
      <c r="F3066" s="28" t="s">
        <v>618</v>
      </c>
      <c r="G3066" s="26">
        <f t="shared" si="90"/>
        <v>3518</v>
      </c>
      <c r="H3066" t="s">
        <v>7281</v>
      </c>
    </row>
    <row r="3067" spans="1:8" ht="45" x14ac:dyDescent="0.25">
      <c r="A3067" s="21" t="s">
        <v>7283</v>
      </c>
      <c r="B3067" s="25" t="s">
        <v>7285</v>
      </c>
      <c r="C3067" s="26">
        <v>1</v>
      </c>
      <c r="D3067" s="27" t="s">
        <v>110</v>
      </c>
      <c r="E3067" s="26">
        <v>4186.5</v>
      </c>
      <c r="F3067" s="28" t="s">
        <v>618</v>
      </c>
      <c r="G3067" s="26">
        <f t="shared" si="90"/>
        <v>4187</v>
      </c>
      <c r="H3067" t="s">
        <v>7284</v>
      </c>
    </row>
    <row r="3068" spans="1:8" ht="45" x14ac:dyDescent="0.25">
      <c r="A3068" s="21" t="s">
        <v>7286</v>
      </c>
      <c r="B3068" s="25" t="s">
        <v>7288</v>
      </c>
      <c r="C3068" s="26">
        <v>1</v>
      </c>
      <c r="D3068" s="27" t="s">
        <v>110</v>
      </c>
      <c r="E3068" s="26">
        <v>5084.55</v>
      </c>
      <c r="F3068" s="28" t="s">
        <v>618</v>
      </c>
      <c r="G3068" s="26">
        <f t="shared" si="90"/>
        <v>5085</v>
      </c>
      <c r="H3068" t="s">
        <v>7287</v>
      </c>
    </row>
    <row r="3069" spans="1:8" ht="45" x14ac:dyDescent="0.25">
      <c r="A3069" s="21" t="s">
        <v>7289</v>
      </c>
      <c r="B3069" s="25" t="s">
        <v>7291</v>
      </c>
      <c r="C3069" s="26">
        <v>1</v>
      </c>
      <c r="D3069" s="27" t="s">
        <v>110</v>
      </c>
      <c r="E3069" s="26">
        <v>6163.35</v>
      </c>
      <c r="F3069" s="28" t="s">
        <v>618</v>
      </c>
      <c r="G3069" s="26">
        <f t="shared" si="90"/>
        <v>6163</v>
      </c>
      <c r="H3069" t="s">
        <v>7290</v>
      </c>
    </row>
    <row r="3070" spans="1:8" ht="45" x14ac:dyDescent="0.25">
      <c r="A3070" s="21" t="s">
        <v>7292</v>
      </c>
      <c r="B3070" s="25" t="s">
        <v>7294</v>
      </c>
      <c r="C3070" s="26">
        <v>1</v>
      </c>
      <c r="D3070" s="27" t="s">
        <v>110</v>
      </c>
      <c r="E3070" s="26">
        <v>6787.4</v>
      </c>
      <c r="F3070" s="28" t="s">
        <v>618</v>
      </c>
      <c r="G3070" s="26">
        <f t="shared" si="90"/>
        <v>6787</v>
      </c>
      <c r="H3070" t="s">
        <v>7293</v>
      </c>
    </row>
    <row r="3071" spans="1:8" ht="45" x14ac:dyDescent="0.25">
      <c r="A3071" s="21" t="s">
        <v>7295</v>
      </c>
      <c r="B3071" s="25" t="s">
        <v>7297</v>
      </c>
      <c r="C3071" s="26">
        <v>1</v>
      </c>
      <c r="D3071" s="27" t="s">
        <v>110</v>
      </c>
      <c r="E3071" s="26">
        <v>8965.9500000000007</v>
      </c>
      <c r="F3071" s="28" t="s">
        <v>618</v>
      </c>
      <c r="G3071" s="26">
        <f t="shared" si="90"/>
        <v>8966</v>
      </c>
      <c r="H3071" t="s">
        <v>7296</v>
      </c>
    </row>
    <row r="3072" spans="1:8" ht="45" x14ac:dyDescent="0.25">
      <c r="A3072" s="21" t="s">
        <v>7298</v>
      </c>
      <c r="B3072" s="25" t="s">
        <v>7299</v>
      </c>
      <c r="C3072" s="26">
        <v>1</v>
      </c>
      <c r="D3072" s="27" t="s">
        <v>110</v>
      </c>
      <c r="E3072" s="26">
        <v>11566.35</v>
      </c>
      <c r="F3072" s="28" t="s">
        <v>618</v>
      </c>
      <c r="G3072" s="26">
        <f t="shared" si="90"/>
        <v>11566</v>
      </c>
      <c r="H3072" t="s">
        <v>105</v>
      </c>
    </row>
    <row r="3073" spans="1:8" ht="45" x14ac:dyDescent="0.25">
      <c r="A3073" s="21" t="s">
        <v>7300</v>
      </c>
      <c r="B3073" s="25" t="s">
        <v>7302</v>
      </c>
      <c r="C3073" s="26">
        <v>1</v>
      </c>
      <c r="D3073" s="27" t="s">
        <v>110</v>
      </c>
      <c r="E3073" s="26">
        <v>14609.05</v>
      </c>
      <c r="F3073" s="28" t="s">
        <v>618</v>
      </c>
      <c r="G3073" s="26">
        <f t="shared" si="90"/>
        <v>14609</v>
      </c>
      <c r="H3073" t="s">
        <v>7301</v>
      </c>
    </row>
    <row r="3074" spans="1:8" ht="45" x14ac:dyDescent="0.25">
      <c r="A3074" s="21" t="s">
        <v>7303</v>
      </c>
      <c r="B3074" s="25" t="s">
        <v>7305</v>
      </c>
      <c r="C3074" s="26">
        <v>1</v>
      </c>
      <c r="D3074" s="27" t="s">
        <v>110</v>
      </c>
      <c r="E3074" s="26">
        <v>18734.2</v>
      </c>
      <c r="F3074" s="28" t="s">
        <v>618</v>
      </c>
      <c r="G3074" s="26">
        <f t="shared" si="90"/>
        <v>18734</v>
      </c>
      <c r="H3074" t="s">
        <v>7304</v>
      </c>
    </row>
    <row r="3075" spans="1:8" ht="45" x14ac:dyDescent="0.25">
      <c r="A3075" s="21" t="s">
        <v>7306</v>
      </c>
      <c r="B3075" s="25" t="s">
        <v>7308</v>
      </c>
      <c r="C3075" s="26">
        <v>1</v>
      </c>
      <c r="D3075" s="27" t="s">
        <v>110</v>
      </c>
      <c r="E3075" s="26">
        <v>19895.8</v>
      </c>
      <c r="F3075" s="28" t="s">
        <v>618</v>
      </c>
      <c r="G3075" s="26">
        <f t="shared" si="90"/>
        <v>19896</v>
      </c>
      <c r="H3075" t="s">
        <v>7307</v>
      </c>
    </row>
    <row r="3076" spans="1:8" ht="45" x14ac:dyDescent="0.25">
      <c r="A3076" s="21" t="s">
        <v>7309</v>
      </c>
      <c r="B3076" s="25" t="s">
        <v>7311</v>
      </c>
      <c r="C3076" s="26">
        <v>1</v>
      </c>
      <c r="D3076" s="27" t="s">
        <v>110</v>
      </c>
      <c r="E3076" s="26">
        <v>1344.6</v>
      </c>
      <c r="F3076" s="28" t="s">
        <v>618</v>
      </c>
      <c r="G3076" s="26">
        <f t="shared" si="90"/>
        <v>1345</v>
      </c>
      <c r="H3076" t="s">
        <v>7310</v>
      </c>
    </row>
    <row r="3077" spans="1:8" ht="45" x14ac:dyDescent="0.25">
      <c r="A3077" s="21" t="s">
        <v>7312</v>
      </c>
      <c r="B3077" s="25" t="s">
        <v>7314</v>
      </c>
      <c r="C3077" s="26">
        <v>1</v>
      </c>
      <c r="D3077" s="27" t="s">
        <v>110</v>
      </c>
      <c r="E3077" s="26">
        <v>1837.75</v>
      </c>
      <c r="F3077" s="28" t="s">
        <v>618</v>
      </c>
      <c r="G3077" s="26">
        <f t="shared" si="90"/>
        <v>1838</v>
      </c>
      <c r="H3077" t="s">
        <v>7313</v>
      </c>
    </row>
    <row r="3078" spans="1:8" ht="45" x14ac:dyDescent="0.25">
      <c r="A3078" s="21" t="s">
        <v>7315</v>
      </c>
      <c r="B3078" s="25" t="s">
        <v>7317</v>
      </c>
      <c r="C3078" s="26">
        <v>1</v>
      </c>
      <c r="D3078" s="27" t="s">
        <v>110</v>
      </c>
      <c r="E3078" s="26">
        <v>2478.14</v>
      </c>
      <c r="F3078" s="28" t="s">
        <v>618</v>
      </c>
      <c r="G3078" s="26">
        <f t="shared" si="90"/>
        <v>2478</v>
      </c>
      <c r="H3078" t="s">
        <v>7316</v>
      </c>
    </row>
    <row r="3079" spans="1:8" ht="45" x14ac:dyDescent="0.25">
      <c r="A3079" s="21" t="s">
        <v>7318</v>
      </c>
      <c r="B3079" s="25" t="s">
        <v>7320</v>
      </c>
      <c r="C3079" s="26">
        <v>1</v>
      </c>
      <c r="D3079" s="27" t="s">
        <v>110</v>
      </c>
      <c r="E3079" s="26">
        <v>3516.8</v>
      </c>
      <c r="F3079" s="28" t="s">
        <v>618</v>
      </c>
      <c r="G3079" s="26">
        <f t="shared" si="90"/>
        <v>3517</v>
      </c>
      <c r="H3079" t="s">
        <v>7319</v>
      </c>
    </row>
    <row r="3080" spans="1:8" ht="45" x14ac:dyDescent="0.25">
      <c r="A3080" s="21" t="s">
        <v>7321</v>
      </c>
      <c r="B3080" s="25" t="s">
        <v>7323</v>
      </c>
      <c r="C3080" s="26">
        <v>1</v>
      </c>
      <c r="D3080" s="27" t="s">
        <v>110</v>
      </c>
      <c r="E3080" s="26">
        <v>4344.3999999999996</v>
      </c>
      <c r="F3080" s="28" t="s">
        <v>618</v>
      </c>
      <c r="G3080" s="26">
        <f t="shared" si="90"/>
        <v>4344</v>
      </c>
      <c r="H3080" t="s">
        <v>7322</v>
      </c>
    </row>
    <row r="3081" spans="1:8" ht="45" x14ac:dyDescent="0.25">
      <c r="A3081" s="21" t="s">
        <v>7324</v>
      </c>
      <c r="B3081" s="25" t="s">
        <v>7325</v>
      </c>
      <c r="C3081" s="26">
        <v>1</v>
      </c>
      <c r="D3081" s="27" t="s">
        <v>110</v>
      </c>
      <c r="E3081" s="26">
        <v>5409.85</v>
      </c>
      <c r="F3081" s="28" t="s">
        <v>618</v>
      </c>
      <c r="G3081" s="26">
        <f t="shared" si="90"/>
        <v>5410</v>
      </c>
      <c r="H3081" t="s">
        <v>7325</v>
      </c>
    </row>
    <row r="3082" spans="1:8" ht="45" x14ac:dyDescent="0.25">
      <c r="A3082" s="21" t="s">
        <v>7326</v>
      </c>
      <c r="B3082" s="25" t="s">
        <v>7328</v>
      </c>
      <c r="C3082" s="26">
        <v>1</v>
      </c>
      <c r="D3082" s="27" t="s">
        <v>110</v>
      </c>
      <c r="E3082" s="26">
        <v>6844.3</v>
      </c>
      <c r="F3082" s="28" t="s">
        <v>618</v>
      </c>
      <c r="G3082" s="26">
        <f t="shared" si="90"/>
        <v>6844</v>
      </c>
      <c r="H3082" t="s">
        <v>7327</v>
      </c>
    </row>
    <row r="3083" spans="1:8" ht="45" x14ac:dyDescent="0.25">
      <c r="A3083" s="21" t="s">
        <v>7329</v>
      </c>
      <c r="B3083" s="25" t="s">
        <v>7331</v>
      </c>
      <c r="C3083" s="26">
        <v>1</v>
      </c>
      <c r="D3083" s="27" t="s">
        <v>110</v>
      </c>
      <c r="E3083" s="26">
        <v>7976.85</v>
      </c>
      <c r="F3083" s="28" t="s">
        <v>618</v>
      </c>
      <c r="G3083" s="26">
        <f t="shared" si="90"/>
        <v>7977</v>
      </c>
      <c r="H3083" t="s">
        <v>7330</v>
      </c>
    </row>
    <row r="3084" spans="1:8" ht="45" x14ac:dyDescent="0.25">
      <c r="A3084" s="21" t="s">
        <v>7332</v>
      </c>
      <c r="B3084" s="25" t="s">
        <v>7334</v>
      </c>
      <c r="C3084" s="26">
        <v>1</v>
      </c>
      <c r="D3084" s="27" t="s">
        <v>110</v>
      </c>
      <c r="E3084" s="26">
        <v>9679.85</v>
      </c>
      <c r="F3084" s="28" t="s">
        <v>618</v>
      </c>
      <c r="G3084" s="26">
        <f t="shared" si="90"/>
        <v>9680</v>
      </c>
      <c r="H3084" t="s">
        <v>7333</v>
      </c>
    </row>
    <row r="3085" spans="1:8" ht="45" x14ac:dyDescent="0.25">
      <c r="A3085" s="21" t="s">
        <v>7335</v>
      </c>
      <c r="B3085" s="25" t="s">
        <v>7337</v>
      </c>
      <c r="C3085" s="26">
        <v>1</v>
      </c>
      <c r="D3085" s="27" t="s">
        <v>110</v>
      </c>
      <c r="E3085" s="26">
        <v>12986.95</v>
      </c>
      <c r="F3085" s="28" t="s">
        <v>618</v>
      </c>
      <c r="G3085" s="26">
        <f t="shared" si="90"/>
        <v>12987</v>
      </c>
      <c r="H3085" t="s">
        <v>7336</v>
      </c>
    </row>
    <row r="3086" spans="1:8" ht="45" x14ac:dyDescent="0.25">
      <c r="A3086" s="21" t="s">
        <v>7338</v>
      </c>
      <c r="B3086" s="25" t="s">
        <v>7340</v>
      </c>
      <c r="C3086" s="26">
        <v>1</v>
      </c>
      <c r="D3086" s="27" t="s">
        <v>110</v>
      </c>
      <c r="E3086" s="26">
        <v>17431.599999999999</v>
      </c>
      <c r="F3086" s="28" t="s">
        <v>618</v>
      </c>
      <c r="G3086" s="26">
        <f t="shared" si="90"/>
        <v>17432</v>
      </c>
      <c r="H3086" t="s">
        <v>7339</v>
      </c>
    </row>
    <row r="3087" spans="1:8" ht="45" x14ac:dyDescent="0.25">
      <c r="A3087" s="21" t="s">
        <v>7341</v>
      </c>
      <c r="B3087" s="25" t="s">
        <v>7342</v>
      </c>
      <c r="C3087" s="26">
        <v>1</v>
      </c>
      <c r="D3087" s="27" t="s">
        <v>110</v>
      </c>
      <c r="E3087" s="26">
        <v>18567.849999999999</v>
      </c>
      <c r="F3087" s="28" t="s">
        <v>618</v>
      </c>
      <c r="G3087" s="26">
        <f t="shared" si="90"/>
        <v>18568</v>
      </c>
      <c r="H3087" t="s">
        <v>7339</v>
      </c>
    </row>
    <row r="3088" spans="1:8" ht="45" x14ac:dyDescent="0.25">
      <c r="A3088" s="21" t="s">
        <v>7343</v>
      </c>
      <c r="B3088" s="25" t="s">
        <v>7345</v>
      </c>
      <c r="C3088" s="26">
        <v>1</v>
      </c>
      <c r="D3088" s="27" t="s">
        <v>110</v>
      </c>
      <c r="E3088" s="26">
        <v>18891.2</v>
      </c>
      <c r="F3088" s="28" t="s">
        <v>618</v>
      </c>
      <c r="G3088" s="26">
        <f t="shared" si="90"/>
        <v>18891</v>
      </c>
      <c r="H3088" t="s">
        <v>7344</v>
      </c>
    </row>
    <row r="3089" spans="1:8" ht="45" x14ac:dyDescent="0.25">
      <c r="A3089" s="21" t="s">
        <v>7346</v>
      </c>
      <c r="B3089" s="25" t="s">
        <v>7348</v>
      </c>
      <c r="C3089" s="26">
        <v>1</v>
      </c>
      <c r="D3089" s="27" t="s">
        <v>110</v>
      </c>
      <c r="E3089" s="26">
        <v>23163</v>
      </c>
      <c r="F3089" s="28" t="s">
        <v>618</v>
      </c>
      <c r="G3089" s="26">
        <f t="shared" si="90"/>
        <v>23163</v>
      </c>
      <c r="H3089" t="s">
        <v>7347</v>
      </c>
    </row>
    <row r="3090" spans="1:8" ht="45" x14ac:dyDescent="0.25">
      <c r="A3090" s="21" t="s">
        <v>7349</v>
      </c>
      <c r="B3090" s="25" t="s">
        <v>7351</v>
      </c>
      <c r="C3090" s="26">
        <v>1</v>
      </c>
      <c r="D3090" s="27" t="s">
        <v>110</v>
      </c>
      <c r="E3090" s="26">
        <v>25133</v>
      </c>
      <c r="F3090" s="28" t="s">
        <v>618</v>
      </c>
      <c r="G3090" s="26">
        <f t="shared" si="90"/>
        <v>25133</v>
      </c>
      <c r="H3090" t="s">
        <v>7350</v>
      </c>
    </row>
    <row r="3091" spans="1:8" ht="75" x14ac:dyDescent="0.25">
      <c r="A3091" s="21" t="s">
        <v>7352</v>
      </c>
      <c r="B3091" s="25" t="s">
        <v>7353</v>
      </c>
      <c r="C3091" s="26"/>
      <c r="D3091" s="27"/>
      <c r="E3091" s="26"/>
      <c r="F3091" s="28"/>
      <c r="G3091" s="26"/>
      <c r="H3091" t="s">
        <v>7353</v>
      </c>
    </row>
    <row r="3092" spans="1:8" x14ac:dyDescent="0.25">
      <c r="A3092" s="21" t="s">
        <v>7354</v>
      </c>
      <c r="B3092" s="25" t="s">
        <v>7355</v>
      </c>
      <c r="C3092" s="26">
        <v>1</v>
      </c>
      <c r="D3092" s="27" t="s">
        <v>110</v>
      </c>
      <c r="E3092" s="26">
        <v>1870.75</v>
      </c>
      <c r="F3092" s="28" t="s">
        <v>68</v>
      </c>
      <c r="G3092" s="26">
        <f t="shared" ref="G3092:G3106" si="91">ROUND(C3092*E3092,0)</f>
        <v>1871</v>
      </c>
      <c r="H3092" t="s">
        <v>7355</v>
      </c>
    </row>
    <row r="3093" spans="1:8" x14ac:dyDescent="0.25">
      <c r="A3093" s="21" t="s">
        <v>7356</v>
      </c>
      <c r="B3093" s="25" t="s">
        <v>7357</v>
      </c>
      <c r="C3093" s="26">
        <v>1</v>
      </c>
      <c r="D3093" s="27" t="s">
        <v>110</v>
      </c>
      <c r="E3093" s="26">
        <v>2590.9</v>
      </c>
      <c r="F3093" s="28" t="s">
        <v>68</v>
      </c>
      <c r="G3093" s="26">
        <f t="shared" si="91"/>
        <v>2591</v>
      </c>
      <c r="H3093" t="s">
        <v>7357</v>
      </c>
    </row>
    <row r="3094" spans="1:8" x14ac:dyDescent="0.25">
      <c r="A3094" s="21" t="s">
        <v>7358</v>
      </c>
      <c r="B3094" s="25" t="s">
        <v>7359</v>
      </c>
      <c r="C3094" s="26">
        <v>1</v>
      </c>
      <c r="D3094" s="27" t="s">
        <v>110</v>
      </c>
      <c r="E3094" s="26">
        <v>3260.55</v>
      </c>
      <c r="F3094" s="28" t="s">
        <v>68</v>
      </c>
      <c r="G3094" s="26">
        <f t="shared" si="91"/>
        <v>3261</v>
      </c>
      <c r="H3094" t="s">
        <v>7359</v>
      </c>
    </row>
    <row r="3095" spans="1:8" x14ac:dyDescent="0.25">
      <c r="A3095" s="21" t="s">
        <v>7360</v>
      </c>
      <c r="B3095" s="25" t="s">
        <v>7361</v>
      </c>
      <c r="C3095" s="26">
        <v>1</v>
      </c>
      <c r="D3095" s="27" t="s">
        <v>110</v>
      </c>
      <c r="E3095" s="26">
        <v>4357.6000000000004</v>
      </c>
      <c r="F3095" s="28" t="s">
        <v>68</v>
      </c>
      <c r="G3095" s="26">
        <f t="shared" si="91"/>
        <v>4358</v>
      </c>
      <c r="H3095" t="s">
        <v>7361</v>
      </c>
    </row>
    <row r="3096" spans="1:8" x14ac:dyDescent="0.25">
      <c r="A3096" s="21" t="s">
        <v>7362</v>
      </c>
      <c r="B3096" s="25" t="s">
        <v>7363</v>
      </c>
      <c r="C3096" s="26">
        <v>1</v>
      </c>
      <c r="D3096" s="27" t="s">
        <v>110</v>
      </c>
      <c r="E3096" s="26">
        <v>5452.95</v>
      </c>
      <c r="F3096" s="28" t="s">
        <v>68</v>
      </c>
      <c r="G3096" s="26">
        <f t="shared" si="91"/>
        <v>5453</v>
      </c>
      <c r="H3096" t="s">
        <v>7363</v>
      </c>
    </row>
    <row r="3097" spans="1:8" x14ac:dyDescent="0.25">
      <c r="A3097" s="21" t="s">
        <v>7364</v>
      </c>
      <c r="B3097" s="25" t="s">
        <v>7365</v>
      </c>
      <c r="C3097" s="26">
        <v>1</v>
      </c>
      <c r="D3097" s="27" t="s">
        <v>110</v>
      </c>
      <c r="E3097" s="26">
        <v>6636.8</v>
      </c>
      <c r="F3097" s="28" t="s">
        <v>68</v>
      </c>
      <c r="G3097" s="26">
        <f t="shared" si="91"/>
        <v>6637</v>
      </c>
      <c r="H3097" t="s">
        <v>7365</v>
      </c>
    </row>
    <row r="3098" spans="1:8" x14ac:dyDescent="0.25">
      <c r="A3098" s="21" t="s">
        <v>7366</v>
      </c>
      <c r="B3098" s="25" t="s">
        <v>7367</v>
      </c>
      <c r="C3098" s="26">
        <v>1</v>
      </c>
      <c r="D3098" s="27" t="s">
        <v>110</v>
      </c>
      <c r="E3098" s="26">
        <v>8279.4500000000007</v>
      </c>
      <c r="F3098" s="28" t="s">
        <v>68</v>
      </c>
      <c r="G3098" s="26">
        <f t="shared" si="91"/>
        <v>8279</v>
      </c>
      <c r="H3098" t="s">
        <v>7367</v>
      </c>
    </row>
    <row r="3099" spans="1:8" x14ac:dyDescent="0.25">
      <c r="A3099" s="21" t="s">
        <v>7368</v>
      </c>
      <c r="B3099" s="25" t="s">
        <v>7369</v>
      </c>
      <c r="C3099" s="26">
        <v>1</v>
      </c>
      <c r="D3099" s="27" t="s">
        <v>110</v>
      </c>
      <c r="E3099" s="26">
        <v>9861.2000000000007</v>
      </c>
      <c r="F3099" s="28" t="s">
        <v>68</v>
      </c>
      <c r="G3099" s="26">
        <f t="shared" si="91"/>
        <v>9861</v>
      </c>
      <c r="H3099" t="s">
        <v>7369</v>
      </c>
    </row>
    <row r="3100" spans="1:8" x14ac:dyDescent="0.25">
      <c r="A3100" s="21" t="s">
        <v>7370</v>
      </c>
      <c r="B3100" s="25" t="s">
        <v>7371</v>
      </c>
      <c r="C3100" s="26">
        <v>1</v>
      </c>
      <c r="D3100" s="27" t="s">
        <v>110</v>
      </c>
      <c r="E3100" s="26">
        <v>11628.3</v>
      </c>
      <c r="F3100" s="28" t="s">
        <v>68</v>
      </c>
      <c r="G3100" s="26">
        <f t="shared" si="91"/>
        <v>11628</v>
      </c>
      <c r="H3100" t="s">
        <v>7371</v>
      </c>
    </row>
    <row r="3101" spans="1:8" x14ac:dyDescent="0.25">
      <c r="A3101" s="21" t="s">
        <v>7372</v>
      </c>
      <c r="B3101" s="25" t="s">
        <v>7373</v>
      </c>
      <c r="C3101" s="26">
        <v>1</v>
      </c>
      <c r="D3101" s="27" t="s">
        <v>110</v>
      </c>
      <c r="E3101" s="26">
        <v>15202.6</v>
      </c>
      <c r="F3101" s="28" t="s">
        <v>68</v>
      </c>
      <c r="G3101" s="26">
        <f t="shared" si="91"/>
        <v>15203</v>
      </c>
      <c r="H3101" t="s">
        <v>7373</v>
      </c>
    </row>
    <row r="3102" spans="1:8" x14ac:dyDescent="0.25">
      <c r="A3102" s="21" t="s">
        <v>7374</v>
      </c>
      <c r="B3102" s="25" t="s">
        <v>7375</v>
      </c>
      <c r="C3102" s="26">
        <v>1</v>
      </c>
      <c r="D3102" s="27" t="s">
        <v>110</v>
      </c>
      <c r="E3102" s="26">
        <v>19217.150000000001</v>
      </c>
      <c r="F3102" s="28" t="s">
        <v>68</v>
      </c>
      <c r="G3102" s="26">
        <f t="shared" si="91"/>
        <v>19217</v>
      </c>
      <c r="H3102" t="s">
        <v>7375</v>
      </c>
    </row>
    <row r="3103" spans="1:8" x14ac:dyDescent="0.25">
      <c r="A3103" s="21" t="s">
        <v>7376</v>
      </c>
      <c r="B3103" s="25" t="s">
        <v>7377</v>
      </c>
      <c r="C3103" s="26">
        <v>1</v>
      </c>
      <c r="D3103" s="27" t="s">
        <v>110</v>
      </c>
      <c r="E3103" s="26">
        <v>21627.85</v>
      </c>
      <c r="F3103" s="28" t="s">
        <v>68</v>
      </c>
      <c r="G3103" s="26">
        <f t="shared" si="91"/>
        <v>21628</v>
      </c>
      <c r="H3103" t="s">
        <v>7377</v>
      </c>
    </row>
    <row r="3104" spans="1:8" x14ac:dyDescent="0.25">
      <c r="A3104" s="21" t="s">
        <v>7378</v>
      </c>
      <c r="B3104" s="25" t="s">
        <v>7379</v>
      </c>
      <c r="C3104" s="26">
        <v>1</v>
      </c>
      <c r="D3104" s="27" t="s">
        <v>110</v>
      </c>
      <c r="E3104" s="26">
        <v>23932.65</v>
      </c>
      <c r="F3104" s="28" t="s">
        <v>68</v>
      </c>
      <c r="G3104" s="26">
        <f t="shared" si="91"/>
        <v>23933</v>
      </c>
      <c r="H3104" t="s">
        <v>7379</v>
      </c>
    </row>
    <row r="3105" spans="1:8" x14ac:dyDescent="0.25">
      <c r="A3105" s="21" t="s">
        <v>7380</v>
      </c>
      <c r="B3105" s="25" t="s">
        <v>7381</v>
      </c>
      <c r="C3105" s="26">
        <v>1</v>
      </c>
      <c r="D3105" s="27" t="s">
        <v>110</v>
      </c>
      <c r="E3105" s="26">
        <v>29836.95</v>
      </c>
      <c r="F3105" s="28" t="s">
        <v>68</v>
      </c>
      <c r="G3105" s="26">
        <f t="shared" si="91"/>
        <v>29837</v>
      </c>
      <c r="H3105" t="s">
        <v>7381</v>
      </c>
    </row>
    <row r="3106" spans="1:8" x14ac:dyDescent="0.25">
      <c r="A3106" s="21" t="s">
        <v>7382</v>
      </c>
      <c r="B3106" s="25" t="s">
        <v>7383</v>
      </c>
      <c r="C3106" s="26">
        <v>1</v>
      </c>
      <c r="D3106" s="27" t="s">
        <v>110</v>
      </c>
      <c r="E3106" s="26">
        <v>36164.1</v>
      </c>
      <c r="F3106" s="28" t="s">
        <v>68</v>
      </c>
      <c r="G3106" s="26">
        <f t="shared" si="91"/>
        <v>36164</v>
      </c>
      <c r="H3106" t="s">
        <v>7383</v>
      </c>
    </row>
    <row r="3107" spans="1:8" ht="45" x14ac:dyDescent="0.25">
      <c r="A3107" s="21" t="s">
        <v>7384</v>
      </c>
      <c r="B3107" s="25" t="s">
        <v>7386</v>
      </c>
      <c r="C3107" s="26"/>
      <c r="D3107" s="27"/>
      <c r="E3107" s="26"/>
      <c r="F3107" s="28"/>
      <c r="G3107" s="26"/>
      <c r="H3107" t="s">
        <v>7385</v>
      </c>
    </row>
    <row r="3108" spans="1:8" ht="45" x14ac:dyDescent="0.25">
      <c r="A3108" s="21" t="s">
        <v>7387</v>
      </c>
      <c r="B3108" s="25" t="s">
        <v>7389</v>
      </c>
      <c r="C3108" s="26">
        <v>1</v>
      </c>
      <c r="D3108" s="27" t="s">
        <v>110</v>
      </c>
      <c r="E3108" s="26">
        <v>1821.55</v>
      </c>
      <c r="F3108" s="28" t="s">
        <v>618</v>
      </c>
      <c r="G3108" s="26">
        <f t="shared" ref="G3108:G3118" si="92">ROUND(C3108*E3108,0)</f>
        <v>1822</v>
      </c>
      <c r="H3108" t="s">
        <v>7388</v>
      </c>
    </row>
    <row r="3109" spans="1:8" ht="45" x14ac:dyDescent="0.25">
      <c r="A3109" s="21" t="s">
        <v>7390</v>
      </c>
      <c r="B3109" s="25" t="s">
        <v>7392</v>
      </c>
      <c r="C3109" s="26">
        <v>1</v>
      </c>
      <c r="D3109" s="27" t="s">
        <v>110</v>
      </c>
      <c r="E3109" s="26">
        <v>2607.5</v>
      </c>
      <c r="F3109" s="28" t="s">
        <v>618</v>
      </c>
      <c r="G3109" s="26">
        <f t="shared" si="92"/>
        <v>2608</v>
      </c>
      <c r="H3109" t="s">
        <v>7391</v>
      </c>
    </row>
    <row r="3110" spans="1:8" ht="45" x14ac:dyDescent="0.25">
      <c r="A3110" s="21" t="s">
        <v>7393</v>
      </c>
      <c r="B3110" s="25" t="s">
        <v>7395</v>
      </c>
      <c r="C3110" s="26">
        <v>1</v>
      </c>
      <c r="D3110" s="27" t="s">
        <v>110</v>
      </c>
      <c r="E3110" s="26">
        <v>3360.8</v>
      </c>
      <c r="F3110" s="28" t="s">
        <v>618</v>
      </c>
      <c r="G3110" s="26">
        <f t="shared" si="92"/>
        <v>3361</v>
      </c>
      <c r="H3110" t="s">
        <v>7394</v>
      </c>
    </row>
    <row r="3111" spans="1:8" ht="45" x14ac:dyDescent="0.25">
      <c r="A3111" s="21" t="s">
        <v>7396</v>
      </c>
      <c r="B3111" s="25" t="s">
        <v>7398</v>
      </c>
      <c r="C3111" s="26">
        <v>1</v>
      </c>
      <c r="D3111" s="27" t="s">
        <v>110</v>
      </c>
      <c r="E3111" s="26">
        <v>4696.1499999999996</v>
      </c>
      <c r="F3111" s="28" t="s">
        <v>618</v>
      </c>
      <c r="G3111" s="26">
        <f t="shared" si="92"/>
        <v>4696</v>
      </c>
      <c r="H3111" t="s">
        <v>7397</v>
      </c>
    </row>
    <row r="3112" spans="1:8" ht="45" x14ac:dyDescent="0.25">
      <c r="A3112" s="21" t="s">
        <v>7399</v>
      </c>
      <c r="B3112" s="25" t="s">
        <v>7401</v>
      </c>
      <c r="C3112" s="26">
        <v>1</v>
      </c>
      <c r="D3112" s="27" t="s">
        <v>110</v>
      </c>
      <c r="E3112" s="26">
        <v>5895.7</v>
      </c>
      <c r="F3112" s="28" t="s">
        <v>618</v>
      </c>
      <c r="G3112" s="26">
        <f t="shared" si="92"/>
        <v>5896</v>
      </c>
      <c r="H3112" t="s">
        <v>7400</v>
      </c>
    </row>
    <row r="3113" spans="1:8" ht="45" x14ac:dyDescent="0.25">
      <c r="A3113" s="21" t="s">
        <v>7402</v>
      </c>
      <c r="B3113" s="25" t="s">
        <v>7404</v>
      </c>
      <c r="C3113" s="26">
        <v>1</v>
      </c>
      <c r="D3113" s="27" t="s">
        <v>110</v>
      </c>
      <c r="E3113" s="26">
        <v>7550.45</v>
      </c>
      <c r="F3113" s="28" t="s">
        <v>618</v>
      </c>
      <c r="G3113" s="26">
        <f t="shared" si="92"/>
        <v>7550</v>
      </c>
      <c r="H3113" t="s">
        <v>7403</v>
      </c>
    </row>
    <row r="3114" spans="1:8" ht="45" x14ac:dyDescent="0.25">
      <c r="A3114" s="21" t="s">
        <v>7405</v>
      </c>
      <c r="B3114" s="25" t="s">
        <v>7407</v>
      </c>
      <c r="C3114" s="26">
        <v>1</v>
      </c>
      <c r="D3114" s="27" t="s">
        <v>110</v>
      </c>
      <c r="E3114" s="26">
        <v>9744.4</v>
      </c>
      <c r="F3114" s="28" t="s">
        <v>618</v>
      </c>
      <c r="G3114" s="26">
        <f t="shared" si="92"/>
        <v>9744</v>
      </c>
      <c r="H3114" t="s">
        <v>7406</v>
      </c>
    </row>
    <row r="3115" spans="1:8" ht="45" x14ac:dyDescent="0.25">
      <c r="A3115" s="21" t="s">
        <v>7408</v>
      </c>
      <c r="B3115" s="25" t="s">
        <v>7410</v>
      </c>
      <c r="C3115" s="26">
        <v>1</v>
      </c>
      <c r="D3115" s="27" t="s">
        <v>110</v>
      </c>
      <c r="E3115" s="26">
        <v>10136.1</v>
      </c>
      <c r="F3115" s="28" t="s">
        <v>618</v>
      </c>
      <c r="G3115" s="26">
        <f t="shared" si="92"/>
        <v>10136</v>
      </c>
      <c r="H3115" t="s">
        <v>7409</v>
      </c>
    </row>
    <row r="3116" spans="1:8" ht="45" x14ac:dyDescent="0.25">
      <c r="A3116" s="21" t="s">
        <v>7411</v>
      </c>
      <c r="B3116" s="25" t="s">
        <v>7413</v>
      </c>
      <c r="C3116" s="26">
        <v>1</v>
      </c>
      <c r="D3116" s="27" t="s">
        <v>110</v>
      </c>
      <c r="E3116" s="26">
        <v>15472.95</v>
      </c>
      <c r="F3116" s="28" t="s">
        <v>618</v>
      </c>
      <c r="G3116" s="26">
        <f t="shared" si="92"/>
        <v>15473</v>
      </c>
      <c r="H3116" t="s">
        <v>7412</v>
      </c>
    </row>
    <row r="3117" spans="1:8" ht="45" x14ac:dyDescent="0.25">
      <c r="A3117" s="21" t="s">
        <v>7414</v>
      </c>
      <c r="B3117" s="25" t="s">
        <v>7416</v>
      </c>
      <c r="C3117" s="26">
        <v>1</v>
      </c>
      <c r="D3117" s="27" t="s">
        <v>110</v>
      </c>
      <c r="E3117" s="26">
        <v>19925.3</v>
      </c>
      <c r="F3117" s="28" t="s">
        <v>618</v>
      </c>
      <c r="G3117" s="26">
        <f t="shared" si="92"/>
        <v>19925</v>
      </c>
      <c r="H3117" t="s">
        <v>7415</v>
      </c>
    </row>
    <row r="3118" spans="1:8" ht="45" x14ac:dyDescent="0.25">
      <c r="A3118" s="21" t="s">
        <v>7417</v>
      </c>
      <c r="B3118" s="25" t="s">
        <v>7419</v>
      </c>
      <c r="C3118" s="26">
        <v>1</v>
      </c>
      <c r="D3118" s="27" t="s">
        <v>110</v>
      </c>
      <c r="E3118" s="26">
        <v>22830.799999999999</v>
      </c>
      <c r="F3118" s="28" t="s">
        <v>618</v>
      </c>
      <c r="G3118" s="26">
        <f t="shared" si="92"/>
        <v>22831</v>
      </c>
      <c r="H3118" t="s">
        <v>7418</v>
      </c>
    </row>
    <row r="3119" spans="1:8" ht="45" x14ac:dyDescent="0.25">
      <c r="A3119" s="21" t="s">
        <v>7420</v>
      </c>
      <c r="B3119" s="25" t="s">
        <v>7422</v>
      </c>
      <c r="C3119" s="26"/>
      <c r="D3119" s="27"/>
      <c r="E3119" s="26"/>
      <c r="F3119" s="28"/>
      <c r="G3119" s="26"/>
      <c r="H3119" t="s">
        <v>7421</v>
      </c>
    </row>
    <row r="3120" spans="1:8" x14ac:dyDescent="0.25">
      <c r="A3120" s="21" t="s">
        <v>7423</v>
      </c>
      <c r="B3120" s="25" t="s">
        <v>7425</v>
      </c>
      <c r="C3120" s="26">
        <v>1</v>
      </c>
      <c r="D3120" s="27" t="s">
        <v>201</v>
      </c>
      <c r="E3120" s="26">
        <v>96.35</v>
      </c>
      <c r="F3120" s="28" t="s">
        <v>202</v>
      </c>
      <c r="G3120" s="26">
        <f>ROUND(C3120*E3120,0)</f>
        <v>96</v>
      </c>
      <c r="H3120" t="s">
        <v>7424</v>
      </c>
    </row>
    <row r="3121" spans="1:8" x14ac:dyDescent="0.25">
      <c r="A3121" s="21" t="s">
        <v>7426</v>
      </c>
      <c r="B3121" s="25" t="s">
        <v>7428</v>
      </c>
      <c r="C3121" s="26">
        <v>1</v>
      </c>
      <c r="D3121" s="27" t="s">
        <v>201</v>
      </c>
      <c r="E3121" s="26">
        <v>121.9</v>
      </c>
      <c r="F3121" s="28" t="s">
        <v>202</v>
      </c>
      <c r="G3121" s="26">
        <f>ROUND(C3121*E3121,0)</f>
        <v>122</v>
      </c>
      <c r="H3121" t="s">
        <v>7427</v>
      </c>
    </row>
    <row r="3122" spans="1:8" ht="45" x14ac:dyDescent="0.25">
      <c r="A3122" s="21" t="s">
        <v>7429</v>
      </c>
      <c r="B3122" s="25" t="s">
        <v>7431</v>
      </c>
      <c r="C3122" s="26"/>
      <c r="D3122" s="27"/>
      <c r="E3122" s="26"/>
      <c r="F3122" s="28"/>
      <c r="G3122" s="26"/>
      <c r="H3122" t="s">
        <v>7430</v>
      </c>
    </row>
    <row r="3123" spans="1:8" ht="30" x14ac:dyDescent="0.25">
      <c r="A3123" s="21" t="s">
        <v>7432</v>
      </c>
      <c r="B3123" s="25" t="s">
        <v>7434</v>
      </c>
      <c r="C3123" s="26">
        <v>1</v>
      </c>
      <c r="D3123" s="27" t="s">
        <v>201</v>
      </c>
      <c r="E3123" s="26">
        <v>53.6</v>
      </c>
      <c r="F3123" s="28" t="s">
        <v>202</v>
      </c>
      <c r="G3123" s="26">
        <f>ROUND(C3123*E3123,0)</f>
        <v>54</v>
      </c>
      <c r="H3123" t="s">
        <v>7433</v>
      </c>
    </row>
    <row r="3124" spans="1:8" ht="30" x14ac:dyDescent="0.25">
      <c r="A3124" s="21" t="s">
        <v>7435</v>
      </c>
      <c r="B3124" s="25" t="s">
        <v>7437</v>
      </c>
      <c r="C3124" s="26">
        <v>1</v>
      </c>
      <c r="D3124" s="27" t="s">
        <v>201</v>
      </c>
      <c r="E3124" s="26">
        <v>93.45</v>
      </c>
      <c r="F3124" s="28" t="s">
        <v>202</v>
      </c>
      <c r="G3124" s="26">
        <f>ROUND(C3124*E3124,0)</f>
        <v>93</v>
      </c>
      <c r="H3124" t="s">
        <v>7436</v>
      </c>
    </row>
    <row r="3125" spans="1:8" ht="30" x14ac:dyDescent="0.25">
      <c r="A3125" s="21" t="s">
        <v>7438</v>
      </c>
      <c r="B3125" s="25" t="s">
        <v>7440</v>
      </c>
      <c r="C3125" s="26">
        <v>1</v>
      </c>
      <c r="D3125" s="27" t="s">
        <v>201</v>
      </c>
      <c r="E3125" s="26">
        <v>113.35</v>
      </c>
      <c r="F3125" s="28" t="s">
        <v>202</v>
      </c>
      <c r="G3125" s="26">
        <f>ROUND(C3125*E3125,0)</f>
        <v>113</v>
      </c>
      <c r="H3125" t="s">
        <v>7439</v>
      </c>
    </row>
    <row r="3126" spans="1:8" ht="30" x14ac:dyDescent="0.25">
      <c r="A3126" s="21" t="s">
        <v>7441</v>
      </c>
      <c r="B3126" s="25" t="s">
        <v>7443</v>
      </c>
      <c r="C3126" s="26"/>
      <c r="D3126" s="27"/>
      <c r="E3126" s="26"/>
      <c r="F3126" s="28"/>
      <c r="G3126" s="26"/>
      <c r="H3126" t="s">
        <v>7442</v>
      </c>
    </row>
    <row r="3127" spans="1:8" ht="30" x14ac:dyDescent="0.25">
      <c r="A3127" s="21" t="s">
        <v>7444</v>
      </c>
      <c r="B3127" s="25" t="s">
        <v>7446</v>
      </c>
      <c r="C3127" s="26">
        <v>1</v>
      </c>
      <c r="D3127" s="27" t="s">
        <v>201</v>
      </c>
      <c r="E3127" s="26">
        <v>416.8</v>
      </c>
      <c r="F3127" s="28" t="s">
        <v>202</v>
      </c>
      <c r="G3127" s="26">
        <f>ROUND(C3127*E3127,0)</f>
        <v>417</v>
      </c>
      <c r="H3127" t="s">
        <v>7445</v>
      </c>
    </row>
    <row r="3128" spans="1:8" ht="105" x14ac:dyDescent="0.25">
      <c r="A3128" s="21" t="s">
        <v>7447</v>
      </c>
      <c r="B3128" s="25" t="s">
        <v>7449</v>
      </c>
      <c r="C3128" s="26">
        <v>1</v>
      </c>
      <c r="D3128" s="27" t="s">
        <v>201</v>
      </c>
      <c r="E3128" s="26">
        <v>452</v>
      </c>
      <c r="F3128" s="28" t="s">
        <v>202</v>
      </c>
      <c r="G3128" s="26">
        <f>ROUND(C3128*E3128,0)</f>
        <v>452</v>
      </c>
      <c r="H3128" t="s">
        <v>7448</v>
      </c>
    </row>
    <row r="3129" spans="1:8" ht="45" x14ac:dyDescent="0.25">
      <c r="A3129" s="21" t="s">
        <v>7450</v>
      </c>
      <c r="B3129" s="25" t="s">
        <v>7452</v>
      </c>
      <c r="C3129" s="26">
        <v>1</v>
      </c>
      <c r="D3129" s="27" t="s">
        <v>110</v>
      </c>
      <c r="E3129" s="26">
        <v>202.9</v>
      </c>
      <c r="F3129" s="28" t="s">
        <v>618</v>
      </c>
      <c r="G3129" s="26">
        <f>ROUND(C3129*E3129,0)</f>
        <v>203</v>
      </c>
      <c r="H3129" t="s">
        <v>7451</v>
      </c>
    </row>
    <row r="3130" spans="1:8" ht="75" x14ac:dyDescent="0.25">
      <c r="A3130" s="21" t="s">
        <v>7453</v>
      </c>
      <c r="B3130" s="25" t="s">
        <v>7455</v>
      </c>
      <c r="C3130" s="26">
        <v>1</v>
      </c>
      <c r="D3130" s="27" t="s">
        <v>110</v>
      </c>
      <c r="E3130" s="26">
        <v>209.2</v>
      </c>
      <c r="F3130" s="28" t="s">
        <v>618</v>
      </c>
      <c r="G3130" s="26">
        <f>ROUND(C3130*E3130,0)</f>
        <v>209</v>
      </c>
      <c r="H3130" t="s">
        <v>7454</v>
      </c>
    </row>
    <row r="3131" spans="1:8" ht="105" x14ac:dyDescent="0.25">
      <c r="A3131" s="21" t="s">
        <v>7456</v>
      </c>
      <c r="B3131" s="25" t="s">
        <v>7458</v>
      </c>
      <c r="C3131" s="26"/>
      <c r="D3131" s="27"/>
      <c r="E3131" s="26"/>
      <c r="F3131" s="28"/>
      <c r="G3131" s="26"/>
      <c r="H3131" t="s">
        <v>7457</v>
      </c>
    </row>
    <row r="3132" spans="1:8" x14ac:dyDescent="0.25">
      <c r="A3132" s="21" t="s">
        <v>7459</v>
      </c>
      <c r="B3132" s="25" t="s">
        <v>7461</v>
      </c>
      <c r="C3132" s="26">
        <v>1</v>
      </c>
      <c r="D3132" s="27" t="s">
        <v>429</v>
      </c>
      <c r="E3132" s="26">
        <v>1844</v>
      </c>
      <c r="F3132" s="28" t="s">
        <v>7462</v>
      </c>
      <c r="G3132" s="26">
        <f t="shared" ref="G3132:G3143" si="93">ROUND(C3132*E3132,0)</f>
        <v>1844</v>
      </c>
      <c r="H3132" t="s">
        <v>7460</v>
      </c>
    </row>
    <row r="3133" spans="1:8" x14ac:dyDescent="0.25">
      <c r="A3133" s="21" t="s">
        <v>7463</v>
      </c>
      <c r="B3133" s="25" t="s">
        <v>7465</v>
      </c>
      <c r="C3133" s="26">
        <v>1</v>
      </c>
      <c r="D3133" s="27" t="s">
        <v>429</v>
      </c>
      <c r="E3133" s="26">
        <v>2415.15</v>
      </c>
      <c r="F3133" s="28" t="s">
        <v>7462</v>
      </c>
      <c r="G3133" s="26">
        <f t="shared" si="93"/>
        <v>2415</v>
      </c>
      <c r="H3133" t="s">
        <v>7464</v>
      </c>
    </row>
    <row r="3134" spans="1:8" x14ac:dyDescent="0.25">
      <c r="A3134" s="21" t="s">
        <v>7466</v>
      </c>
      <c r="B3134" s="25" t="s">
        <v>7468</v>
      </c>
      <c r="C3134" s="26">
        <v>1</v>
      </c>
      <c r="D3134" s="27" t="s">
        <v>429</v>
      </c>
      <c r="E3134" s="26">
        <v>3006.4</v>
      </c>
      <c r="F3134" s="28" t="s">
        <v>7462</v>
      </c>
      <c r="G3134" s="26">
        <f t="shared" si="93"/>
        <v>3006</v>
      </c>
      <c r="H3134" t="s">
        <v>7467</v>
      </c>
    </row>
    <row r="3135" spans="1:8" x14ac:dyDescent="0.25">
      <c r="A3135" s="21" t="s">
        <v>7469</v>
      </c>
      <c r="B3135" s="25" t="s">
        <v>7471</v>
      </c>
      <c r="C3135" s="26">
        <v>1</v>
      </c>
      <c r="D3135" s="27" t="s">
        <v>429</v>
      </c>
      <c r="E3135" s="26">
        <v>3593.85</v>
      </c>
      <c r="F3135" s="28" t="s">
        <v>7462</v>
      </c>
      <c r="G3135" s="26">
        <f t="shared" si="93"/>
        <v>3594</v>
      </c>
      <c r="H3135" t="s">
        <v>7470</v>
      </c>
    </row>
    <row r="3136" spans="1:8" x14ac:dyDescent="0.25">
      <c r="A3136" s="21" t="s">
        <v>7472</v>
      </c>
      <c r="B3136" s="25" t="s">
        <v>7474</v>
      </c>
      <c r="C3136" s="26">
        <v>1</v>
      </c>
      <c r="D3136" s="27" t="s">
        <v>429</v>
      </c>
      <c r="E3136" s="26">
        <v>4771.6000000000004</v>
      </c>
      <c r="F3136" s="28" t="s">
        <v>7462</v>
      </c>
      <c r="G3136" s="26">
        <f t="shared" si="93"/>
        <v>4772</v>
      </c>
      <c r="H3136" t="s">
        <v>7473</v>
      </c>
    </row>
    <row r="3137" spans="1:8" x14ac:dyDescent="0.25">
      <c r="A3137" s="21" t="s">
        <v>7475</v>
      </c>
      <c r="B3137" s="25" t="s">
        <v>7477</v>
      </c>
      <c r="C3137" s="26">
        <v>1</v>
      </c>
      <c r="D3137" s="27" t="s">
        <v>429</v>
      </c>
      <c r="E3137" s="26">
        <v>5977.65</v>
      </c>
      <c r="F3137" s="28" t="s">
        <v>7462</v>
      </c>
      <c r="G3137" s="26">
        <f t="shared" si="93"/>
        <v>5978</v>
      </c>
      <c r="H3137" t="s">
        <v>7476</v>
      </c>
    </row>
    <row r="3138" spans="1:8" x14ac:dyDescent="0.25">
      <c r="A3138" s="21" t="s">
        <v>7478</v>
      </c>
      <c r="B3138" s="25" t="s">
        <v>7480</v>
      </c>
      <c r="C3138" s="26">
        <v>1</v>
      </c>
      <c r="D3138" s="27" t="s">
        <v>429</v>
      </c>
      <c r="E3138" s="26">
        <v>6618.15</v>
      </c>
      <c r="F3138" s="28" t="s">
        <v>7462</v>
      </c>
      <c r="G3138" s="26">
        <f t="shared" si="93"/>
        <v>6618</v>
      </c>
      <c r="H3138" t="s">
        <v>7479</v>
      </c>
    </row>
    <row r="3139" spans="1:8" x14ac:dyDescent="0.25">
      <c r="A3139" s="21" t="s">
        <v>7481</v>
      </c>
      <c r="B3139" s="25" t="s">
        <v>7483</v>
      </c>
      <c r="C3139" s="26">
        <v>1</v>
      </c>
      <c r="D3139" s="27" t="s">
        <v>429</v>
      </c>
      <c r="E3139" s="26">
        <v>7272.35</v>
      </c>
      <c r="F3139" s="28" t="s">
        <v>7462</v>
      </c>
      <c r="G3139" s="26">
        <f t="shared" si="93"/>
        <v>7272</v>
      </c>
      <c r="H3139" t="s">
        <v>7482</v>
      </c>
    </row>
    <row r="3140" spans="1:8" x14ac:dyDescent="0.25">
      <c r="A3140" s="21" t="s">
        <v>7484</v>
      </c>
      <c r="B3140" s="25" t="s">
        <v>7486</v>
      </c>
      <c r="C3140" s="26">
        <v>1</v>
      </c>
      <c r="D3140" s="27" t="s">
        <v>429</v>
      </c>
      <c r="E3140" s="26">
        <v>7950.85</v>
      </c>
      <c r="F3140" s="28" t="s">
        <v>7462</v>
      </c>
      <c r="G3140" s="26">
        <f t="shared" si="93"/>
        <v>7951</v>
      </c>
      <c r="H3140" t="s">
        <v>7485</v>
      </c>
    </row>
    <row r="3141" spans="1:8" x14ac:dyDescent="0.25">
      <c r="A3141" s="21" t="s">
        <v>7487</v>
      </c>
      <c r="B3141" s="25" t="s">
        <v>7489</v>
      </c>
      <c r="C3141" s="26">
        <v>1</v>
      </c>
      <c r="D3141" s="27" t="s">
        <v>429</v>
      </c>
      <c r="E3141" s="26">
        <v>8635.75</v>
      </c>
      <c r="F3141" s="28" t="s">
        <v>7462</v>
      </c>
      <c r="G3141" s="26">
        <f t="shared" si="93"/>
        <v>8636</v>
      </c>
      <c r="H3141" t="s">
        <v>7488</v>
      </c>
    </row>
    <row r="3142" spans="1:8" x14ac:dyDescent="0.25">
      <c r="A3142" s="21" t="s">
        <v>7490</v>
      </c>
      <c r="B3142" s="25" t="s">
        <v>7492</v>
      </c>
      <c r="C3142" s="26">
        <v>1</v>
      </c>
      <c r="D3142" s="27" t="s">
        <v>429</v>
      </c>
      <c r="E3142" s="26">
        <v>9351.25</v>
      </c>
      <c r="F3142" s="28" t="s">
        <v>7462</v>
      </c>
      <c r="G3142" s="26">
        <f t="shared" si="93"/>
        <v>9351</v>
      </c>
      <c r="H3142" t="s">
        <v>7491</v>
      </c>
    </row>
    <row r="3143" spans="1:8" x14ac:dyDescent="0.25">
      <c r="A3143" s="21" t="s">
        <v>7493</v>
      </c>
      <c r="B3143" s="25" t="s">
        <v>7495</v>
      </c>
      <c r="C3143" s="26">
        <v>1</v>
      </c>
      <c r="D3143" s="27" t="s">
        <v>429</v>
      </c>
      <c r="E3143" s="26">
        <v>10787.45</v>
      </c>
      <c r="F3143" s="28" t="s">
        <v>7462</v>
      </c>
      <c r="G3143" s="26">
        <f t="shared" si="93"/>
        <v>10787</v>
      </c>
      <c r="H3143" t="s">
        <v>7494</v>
      </c>
    </row>
    <row r="3144" spans="1:8" ht="90" x14ac:dyDescent="0.25">
      <c r="A3144" s="21" t="s">
        <v>7496</v>
      </c>
      <c r="B3144" s="25" t="s">
        <v>7498</v>
      </c>
      <c r="C3144" s="26"/>
      <c r="D3144" s="27"/>
      <c r="E3144" s="26"/>
      <c r="F3144" s="28"/>
      <c r="G3144" s="26"/>
      <c r="H3144" t="s">
        <v>7497</v>
      </c>
    </row>
    <row r="3145" spans="1:8" x14ac:dyDescent="0.25">
      <c r="A3145" s="21" t="s">
        <v>7499</v>
      </c>
      <c r="B3145" s="25" t="s">
        <v>7461</v>
      </c>
      <c r="C3145" s="26">
        <v>1</v>
      </c>
      <c r="D3145" s="27" t="s">
        <v>429</v>
      </c>
      <c r="E3145" s="26">
        <v>674.95</v>
      </c>
      <c r="F3145" s="28" t="s">
        <v>7462</v>
      </c>
      <c r="G3145" s="26">
        <f t="shared" ref="G3145:G3156" si="94">ROUND(C3145*E3145,0)</f>
        <v>675</v>
      </c>
      <c r="H3145" t="s">
        <v>7460</v>
      </c>
    </row>
    <row r="3146" spans="1:8" x14ac:dyDescent="0.25">
      <c r="A3146" s="21" t="s">
        <v>7500</v>
      </c>
      <c r="B3146" s="25" t="s">
        <v>7465</v>
      </c>
      <c r="C3146" s="26">
        <v>1</v>
      </c>
      <c r="D3146" s="27" t="s">
        <v>429</v>
      </c>
      <c r="E3146" s="26">
        <v>824.95</v>
      </c>
      <c r="F3146" s="28" t="s">
        <v>7462</v>
      </c>
      <c r="G3146" s="26">
        <f t="shared" si="94"/>
        <v>825</v>
      </c>
      <c r="H3146" t="s">
        <v>7464</v>
      </c>
    </row>
    <row r="3147" spans="1:8" x14ac:dyDescent="0.25">
      <c r="A3147" s="21" t="s">
        <v>7501</v>
      </c>
      <c r="B3147" s="25" t="s">
        <v>7468</v>
      </c>
      <c r="C3147" s="26">
        <v>1</v>
      </c>
      <c r="D3147" s="27" t="s">
        <v>429</v>
      </c>
      <c r="E3147" s="26">
        <v>1003.95</v>
      </c>
      <c r="F3147" s="28" t="s">
        <v>7462</v>
      </c>
      <c r="G3147" s="26">
        <f t="shared" si="94"/>
        <v>1004</v>
      </c>
      <c r="H3147" t="s">
        <v>7467</v>
      </c>
    </row>
    <row r="3148" spans="1:8" x14ac:dyDescent="0.25">
      <c r="A3148" s="21" t="s">
        <v>7502</v>
      </c>
      <c r="B3148" s="25" t="s">
        <v>7471</v>
      </c>
      <c r="C3148" s="26">
        <v>1</v>
      </c>
      <c r="D3148" s="27" t="s">
        <v>429</v>
      </c>
      <c r="E3148" s="26">
        <v>1164.25</v>
      </c>
      <c r="F3148" s="28" t="s">
        <v>7462</v>
      </c>
      <c r="G3148" s="26">
        <f t="shared" si="94"/>
        <v>1164</v>
      </c>
      <c r="H3148" t="s">
        <v>7470</v>
      </c>
    </row>
    <row r="3149" spans="1:8" x14ac:dyDescent="0.25">
      <c r="A3149" s="21" t="s">
        <v>7503</v>
      </c>
      <c r="B3149" s="25" t="s">
        <v>7474</v>
      </c>
      <c r="C3149" s="26">
        <v>1</v>
      </c>
      <c r="D3149" s="27" t="s">
        <v>429</v>
      </c>
      <c r="E3149" s="26">
        <v>1753.1</v>
      </c>
      <c r="F3149" s="28" t="s">
        <v>7462</v>
      </c>
      <c r="G3149" s="26">
        <f t="shared" si="94"/>
        <v>1753</v>
      </c>
      <c r="H3149" t="s">
        <v>7473</v>
      </c>
    </row>
    <row r="3150" spans="1:8" x14ac:dyDescent="0.25">
      <c r="A3150" s="21" t="s">
        <v>7504</v>
      </c>
      <c r="B3150" s="25" t="s">
        <v>7477</v>
      </c>
      <c r="C3150" s="26">
        <v>1</v>
      </c>
      <c r="D3150" s="27" t="s">
        <v>429</v>
      </c>
      <c r="E3150" s="26">
        <v>2012.75</v>
      </c>
      <c r="F3150" s="28" t="s">
        <v>7462</v>
      </c>
      <c r="G3150" s="26">
        <f t="shared" si="94"/>
        <v>2013</v>
      </c>
      <c r="H3150" t="s">
        <v>7476</v>
      </c>
    </row>
    <row r="3151" spans="1:8" x14ac:dyDescent="0.25">
      <c r="A3151" s="21" t="s">
        <v>7505</v>
      </c>
      <c r="B3151" s="25" t="s">
        <v>7480</v>
      </c>
      <c r="C3151" s="26">
        <v>1</v>
      </c>
      <c r="D3151" s="27" t="s">
        <v>429</v>
      </c>
      <c r="E3151" s="26">
        <v>2255.15</v>
      </c>
      <c r="F3151" s="28" t="s">
        <v>7462</v>
      </c>
      <c r="G3151" s="26">
        <f t="shared" si="94"/>
        <v>2255</v>
      </c>
      <c r="H3151" t="s">
        <v>7479</v>
      </c>
    </row>
    <row r="3152" spans="1:8" x14ac:dyDescent="0.25">
      <c r="A3152" s="21" t="s">
        <v>7506</v>
      </c>
      <c r="B3152" s="25" t="s">
        <v>7483</v>
      </c>
      <c r="C3152" s="26">
        <v>1</v>
      </c>
      <c r="D3152" s="27" t="s">
        <v>429</v>
      </c>
      <c r="E3152" s="26">
        <v>2632</v>
      </c>
      <c r="F3152" s="28" t="s">
        <v>7462</v>
      </c>
      <c r="G3152" s="26">
        <f t="shared" si="94"/>
        <v>2632</v>
      </c>
      <c r="H3152" t="s">
        <v>7482</v>
      </c>
    </row>
    <row r="3153" spans="1:8" x14ac:dyDescent="0.25">
      <c r="A3153" s="21" t="s">
        <v>7507</v>
      </c>
      <c r="B3153" s="25" t="s">
        <v>7486</v>
      </c>
      <c r="C3153" s="26">
        <v>1</v>
      </c>
      <c r="D3153" s="27" t="s">
        <v>429</v>
      </c>
      <c r="E3153" s="26">
        <v>3011.2</v>
      </c>
      <c r="F3153" s="28" t="s">
        <v>7462</v>
      </c>
      <c r="G3153" s="26">
        <f t="shared" si="94"/>
        <v>3011</v>
      </c>
      <c r="H3153" t="s">
        <v>7485</v>
      </c>
    </row>
    <row r="3154" spans="1:8" x14ac:dyDescent="0.25">
      <c r="A3154" s="21" t="s">
        <v>7508</v>
      </c>
      <c r="B3154" s="25" t="s">
        <v>7489</v>
      </c>
      <c r="C3154" s="26">
        <v>1</v>
      </c>
      <c r="D3154" s="27" t="s">
        <v>429</v>
      </c>
      <c r="E3154" s="26">
        <v>3398.15</v>
      </c>
      <c r="F3154" s="28" t="s">
        <v>7462</v>
      </c>
      <c r="G3154" s="26">
        <f t="shared" si="94"/>
        <v>3398</v>
      </c>
      <c r="H3154" t="s">
        <v>7488</v>
      </c>
    </row>
    <row r="3155" spans="1:8" x14ac:dyDescent="0.25">
      <c r="A3155" s="21" t="s">
        <v>7509</v>
      </c>
      <c r="B3155" s="25" t="s">
        <v>7492</v>
      </c>
      <c r="C3155" s="26">
        <v>1</v>
      </c>
      <c r="D3155" s="27" t="s">
        <v>429</v>
      </c>
      <c r="E3155" s="26">
        <v>3787.1</v>
      </c>
      <c r="F3155" s="28" t="s">
        <v>7462</v>
      </c>
      <c r="G3155" s="26">
        <f t="shared" si="94"/>
        <v>3787</v>
      </c>
      <c r="H3155" t="s">
        <v>7491</v>
      </c>
    </row>
    <row r="3156" spans="1:8" x14ac:dyDescent="0.25">
      <c r="A3156" s="21" t="s">
        <v>7510</v>
      </c>
      <c r="B3156" s="25" t="s">
        <v>7495</v>
      </c>
      <c r="C3156" s="26">
        <v>1</v>
      </c>
      <c r="D3156" s="27" t="s">
        <v>429</v>
      </c>
      <c r="E3156" s="26">
        <v>4573.95</v>
      </c>
      <c r="F3156" s="28" t="s">
        <v>7462</v>
      </c>
      <c r="G3156" s="26">
        <f t="shared" si="94"/>
        <v>4574</v>
      </c>
      <c r="H3156" t="s">
        <v>7494</v>
      </c>
    </row>
    <row r="3157" spans="1:8" ht="75" x14ac:dyDescent="0.25">
      <c r="A3157" s="21" t="s">
        <v>7511</v>
      </c>
      <c r="B3157" s="25" t="s">
        <v>7513</v>
      </c>
      <c r="C3157" s="26"/>
      <c r="D3157" s="27"/>
      <c r="E3157" s="26"/>
      <c r="F3157" s="28"/>
      <c r="G3157" s="26"/>
      <c r="H3157" t="s">
        <v>7512</v>
      </c>
    </row>
    <row r="3158" spans="1:8" ht="45" x14ac:dyDescent="0.25">
      <c r="A3158" s="21" t="s">
        <v>7514</v>
      </c>
      <c r="B3158" s="25" t="s">
        <v>7461</v>
      </c>
      <c r="C3158" s="26">
        <v>1</v>
      </c>
      <c r="D3158" s="27" t="s">
        <v>110</v>
      </c>
      <c r="E3158" s="26">
        <v>315.55</v>
      </c>
      <c r="F3158" s="28" t="s">
        <v>618</v>
      </c>
      <c r="G3158" s="26">
        <f t="shared" ref="G3158:G3169" si="95">ROUND(C3158*E3158,0)</f>
        <v>316</v>
      </c>
      <c r="H3158" t="s">
        <v>7460</v>
      </c>
    </row>
    <row r="3159" spans="1:8" ht="45" x14ac:dyDescent="0.25">
      <c r="A3159" s="21" t="s">
        <v>7515</v>
      </c>
      <c r="B3159" s="25" t="s">
        <v>7465</v>
      </c>
      <c r="C3159" s="26">
        <v>1</v>
      </c>
      <c r="D3159" s="27" t="s">
        <v>110</v>
      </c>
      <c r="E3159" s="26">
        <v>332.5</v>
      </c>
      <c r="F3159" s="28" t="s">
        <v>618</v>
      </c>
      <c r="G3159" s="26">
        <f t="shared" si="95"/>
        <v>333</v>
      </c>
      <c r="H3159" t="s">
        <v>7464</v>
      </c>
    </row>
    <row r="3160" spans="1:8" ht="45" x14ac:dyDescent="0.25">
      <c r="A3160" s="21" t="s">
        <v>7516</v>
      </c>
      <c r="B3160" s="25" t="s">
        <v>7468</v>
      </c>
      <c r="C3160" s="26">
        <v>1</v>
      </c>
      <c r="D3160" s="27" t="s">
        <v>110</v>
      </c>
      <c r="E3160" s="26">
        <v>348.75</v>
      </c>
      <c r="F3160" s="28" t="s">
        <v>618</v>
      </c>
      <c r="G3160" s="26">
        <f t="shared" si="95"/>
        <v>349</v>
      </c>
      <c r="H3160" t="s">
        <v>7467</v>
      </c>
    </row>
    <row r="3161" spans="1:8" ht="45" x14ac:dyDescent="0.25">
      <c r="A3161" s="21" t="s">
        <v>7517</v>
      </c>
      <c r="B3161" s="25" t="s">
        <v>7471</v>
      </c>
      <c r="C3161" s="26">
        <v>1</v>
      </c>
      <c r="D3161" s="27" t="s">
        <v>110</v>
      </c>
      <c r="E3161" s="26">
        <v>365.45</v>
      </c>
      <c r="F3161" s="28" t="s">
        <v>618</v>
      </c>
      <c r="G3161" s="26">
        <f t="shared" si="95"/>
        <v>365</v>
      </c>
      <c r="H3161" t="s">
        <v>7470</v>
      </c>
    </row>
    <row r="3162" spans="1:8" ht="45" x14ac:dyDescent="0.25">
      <c r="A3162" s="21" t="s">
        <v>7518</v>
      </c>
      <c r="B3162" s="25" t="s">
        <v>7474</v>
      </c>
      <c r="C3162" s="26">
        <v>1</v>
      </c>
      <c r="D3162" s="27" t="s">
        <v>110</v>
      </c>
      <c r="E3162" s="26">
        <v>411.5</v>
      </c>
      <c r="F3162" s="28" t="s">
        <v>618</v>
      </c>
      <c r="G3162" s="26">
        <f t="shared" si="95"/>
        <v>412</v>
      </c>
      <c r="H3162" t="s">
        <v>7473</v>
      </c>
    </row>
    <row r="3163" spans="1:8" ht="45" x14ac:dyDescent="0.25">
      <c r="A3163" s="21" t="s">
        <v>7519</v>
      </c>
      <c r="B3163" s="25" t="s">
        <v>7477</v>
      </c>
      <c r="C3163" s="26">
        <v>1</v>
      </c>
      <c r="D3163" s="27" t="s">
        <v>110</v>
      </c>
      <c r="E3163" s="26">
        <v>456.6</v>
      </c>
      <c r="F3163" s="28" t="s">
        <v>618</v>
      </c>
      <c r="G3163" s="26">
        <f t="shared" si="95"/>
        <v>457</v>
      </c>
      <c r="H3163" t="s">
        <v>7476</v>
      </c>
    </row>
    <row r="3164" spans="1:8" ht="45" x14ac:dyDescent="0.25">
      <c r="A3164" s="21" t="s">
        <v>7520</v>
      </c>
      <c r="B3164" s="25" t="s">
        <v>7480</v>
      </c>
      <c r="C3164" s="26">
        <v>1</v>
      </c>
      <c r="D3164" s="27" t="s">
        <v>110</v>
      </c>
      <c r="E3164" s="26">
        <v>497.8</v>
      </c>
      <c r="F3164" s="28" t="s">
        <v>618</v>
      </c>
      <c r="G3164" s="26">
        <f t="shared" si="95"/>
        <v>498</v>
      </c>
      <c r="H3164" t="s">
        <v>7479</v>
      </c>
    </row>
    <row r="3165" spans="1:8" ht="45" x14ac:dyDescent="0.25">
      <c r="A3165" s="21" t="s">
        <v>7521</v>
      </c>
      <c r="B3165" s="25" t="s">
        <v>7483</v>
      </c>
      <c r="C3165" s="26">
        <v>1</v>
      </c>
      <c r="D3165" s="27" t="s">
        <v>110</v>
      </c>
      <c r="E3165" s="26">
        <v>538</v>
      </c>
      <c r="F3165" s="28" t="s">
        <v>618</v>
      </c>
      <c r="G3165" s="26">
        <f t="shared" si="95"/>
        <v>538</v>
      </c>
      <c r="H3165" t="s">
        <v>7482</v>
      </c>
    </row>
    <row r="3166" spans="1:8" ht="45" x14ac:dyDescent="0.25">
      <c r="A3166" s="21" t="s">
        <v>7522</v>
      </c>
      <c r="B3166" s="25" t="s">
        <v>7486</v>
      </c>
      <c r="C3166" s="26">
        <v>1</v>
      </c>
      <c r="D3166" s="27" t="s">
        <v>110</v>
      </c>
      <c r="E3166" s="26">
        <v>575.79999999999995</v>
      </c>
      <c r="F3166" s="28" t="s">
        <v>618</v>
      </c>
      <c r="G3166" s="26">
        <f t="shared" si="95"/>
        <v>576</v>
      </c>
      <c r="H3166" t="s">
        <v>7485</v>
      </c>
    </row>
    <row r="3167" spans="1:8" ht="45" x14ac:dyDescent="0.25">
      <c r="A3167" s="21" t="s">
        <v>7523</v>
      </c>
      <c r="B3167" s="25" t="s">
        <v>7489</v>
      </c>
      <c r="C3167" s="26">
        <v>1</v>
      </c>
      <c r="D3167" s="27" t="s">
        <v>110</v>
      </c>
      <c r="E3167" s="26">
        <v>614.29999999999995</v>
      </c>
      <c r="F3167" s="28" t="s">
        <v>618</v>
      </c>
      <c r="G3167" s="26">
        <f t="shared" si="95"/>
        <v>614</v>
      </c>
      <c r="H3167" t="s">
        <v>7488</v>
      </c>
    </row>
    <row r="3168" spans="1:8" ht="45" x14ac:dyDescent="0.25">
      <c r="A3168" s="21" t="s">
        <v>7524</v>
      </c>
      <c r="B3168" s="25" t="s">
        <v>7492</v>
      </c>
      <c r="C3168" s="26">
        <v>1</v>
      </c>
      <c r="D3168" s="27" t="s">
        <v>110</v>
      </c>
      <c r="E3168" s="26">
        <v>649.45000000000005</v>
      </c>
      <c r="F3168" s="28" t="s">
        <v>618</v>
      </c>
      <c r="G3168" s="26">
        <f t="shared" si="95"/>
        <v>649</v>
      </c>
      <c r="H3168" t="s">
        <v>7491</v>
      </c>
    </row>
    <row r="3169" spans="1:8" ht="45" x14ac:dyDescent="0.25">
      <c r="A3169" s="21" t="s">
        <v>7525</v>
      </c>
      <c r="B3169" s="25" t="s">
        <v>7495</v>
      </c>
      <c r="C3169" s="26">
        <v>1</v>
      </c>
      <c r="D3169" s="27" t="s">
        <v>110</v>
      </c>
      <c r="E3169" s="26">
        <v>713.95</v>
      </c>
      <c r="F3169" s="28" t="s">
        <v>618</v>
      </c>
      <c r="G3169" s="26">
        <f t="shared" si="95"/>
        <v>714</v>
      </c>
      <c r="H3169" t="s">
        <v>7494</v>
      </c>
    </row>
    <row r="3170" spans="1:8" x14ac:dyDescent="0.25">
      <c r="A3170" s="21" t="s">
        <v>7526</v>
      </c>
      <c r="B3170" s="25" t="s">
        <v>7528</v>
      </c>
      <c r="C3170" s="26"/>
      <c r="D3170" s="27"/>
      <c r="E3170" s="26"/>
      <c r="F3170" s="28"/>
      <c r="G3170" s="26"/>
      <c r="H3170" t="s">
        <v>7527</v>
      </c>
    </row>
    <row r="3171" spans="1:8" x14ac:dyDescent="0.25">
      <c r="A3171" s="21" t="s">
        <v>7529</v>
      </c>
      <c r="B3171" s="25" t="s">
        <v>7461</v>
      </c>
      <c r="C3171" s="26">
        <v>1</v>
      </c>
      <c r="D3171" s="27" t="s">
        <v>7530</v>
      </c>
      <c r="E3171" s="26">
        <v>145.25</v>
      </c>
      <c r="F3171" s="28" t="s">
        <v>7531</v>
      </c>
      <c r="G3171" s="26">
        <f t="shared" ref="G3171:G3182" si="96">ROUND(C3171*E3171,0)</f>
        <v>145</v>
      </c>
      <c r="H3171" t="s">
        <v>7460</v>
      </c>
    </row>
    <row r="3172" spans="1:8" x14ac:dyDescent="0.25">
      <c r="A3172" s="21" t="s">
        <v>7532</v>
      </c>
      <c r="B3172" s="25" t="s">
        <v>7465</v>
      </c>
      <c r="C3172" s="26">
        <v>1</v>
      </c>
      <c r="D3172" s="27" t="s">
        <v>7530</v>
      </c>
      <c r="E3172" s="26">
        <v>194.7</v>
      </c>
      <c r="F3172" s="28" t="s">
        <v>7531</v>
      </c>
      <c r="G3172" s="26">
        <f t="shared" si="96"/>
        <v>195</v>
      </c>
      <c r="H3172" t="s">
        <v>7464</v>
      </c>
    </row>
    <row r="3173" spans="1:8" x14ac:dyDescent="0.25">
      <c r="A3173" s="21" t="s">
        <v>7533</v>
      </c>
      <c r="B3173" s="25" t="s">
        <v>7468</v>
      </c>
      <c r="C3173" s="26">
        <v>1</v>
      </c>
      <c r="D3173" s="27" t="s">
        <v>7530</v>
      </c>
      <c r="E3173" s="26">
        <v>269.8</v>
      </c>
      <c r="F3173" s="28" t="s">
        <v>7531</v>
      </c>
      <c r="G3173" s="26">
        <f t="shared" si="96"/>
        <v>270</v>
      </c>
      <c r="H3173" t="s">
        <v>7467</v>
      </c>
    </row>
    <row r="3174" spans="1:8" x14ac:dyDescent="0.25">
      <c r="A3174" s="21" t="s">
        <v>7534</v>
      </c>
      <c r="B3174" s="25" t="s">
        <v>7471</v>
      </c>
      <c r="C3174" s="26">
        <v>1</v>
      </c>
      <c r="D3174" s="27" t="s">
        <v>7530</v>
      </c>
      <c r="E3174" s="26">
        <v>365.7</v>
      </c>
      <c r="F3174" s="28" t="s">
        <v>7531</v>
      </c>
      <c r="G3174" s="26">
        <f t="shared" si="96"/>
        <v>366</v>
      </c>
      <c r="H3174" t="s">
        <v>7470</v>
      </c>
    </row>
    <row r="3175" spans="1:8" x14ac:dyDescent="0.25">
      <c r="A3175" s="21" t="s">
        <v>7535</v>
      </c>
      <c r="B3175" s="25" t="s">
        <v>7474</v>
      </c>
      <c r="C3175" s="26">
        <v>1</v>
      </c>
      <c r="D3175" s="27" t="s">
        <v>7530</v>
      </c>
      <c r="E3175" s="26">
        <v>487.75</v>
      </c>
      <c r="F3175" s="28" t="s">
        <v>7531</v>
      </c>
      <c r="G3175" s="26">
        <f t="shared" si="96"/>
        <v>488</v>
      </c>
      <c r="H3175" t="s">
        <v>7473</v>
      </c>
    </row>
    <row r="3176" spans="1:8" x14ac:dyDescent="0.25">
      <c r="A3176" s="21" t="s">
        <v>7536</v>
      </c>
      <c r="B3176" s="25" t="s">
        <v>7477</v>
      </c>
      <c r="C3176" s="26">
        <v>1</v>
      </c>
      <c r="D3176" s="27" t="s">
        <v>7530</v>
      </c>
      <c r="E3176" s="26">
        <v>606.85</v>
      </c>
      <c r="F3176" s="28" t="s">
        <v>7531</v>
      </c>
      <c r="G3176" s="26">
        <f t="shared" si="96"/>
        <v>607</v>
      </c>
      <c r="H3176" t="s">
        <v>7476</v>
      </c>
    </row>
    <row r="3177" spans="1:8" x14ac:dyDescent="0.25">
      <c r="A3177" s="21" t="s">
        <v>7537</v>
      </c>
      <c r="B3177" s="25" t="s">
        <v>7480</v>
      </c>
      <c r="C3177" s="26">
        <v>1</v>
      </c>
      <c r="D3177" s="27" t="s">
        <v>7530</v>
      </c>
      <c r="E3177" s="26">
        <v>728.85</v>
      </c>
      <c r="F3177" s="28" t="s">
        <v>7531</v>
      </c>
      <c r="G3177" s="26">
        <f t="shared" si="96"/>
        <v>729</v>
      </c>
      <c r="H3177" t="s">
        <v>7479</v>
      </c>
    </row>
    <row r="3178" spans="1:8" x14ac:dyDescent="0.25">
      <c r="A3178" s="21" t="s">
        <v>7538</v>
      </c>
      <c r="B3178" s="25" t="s">
        <v>7483</v>
      </c>
      <c r="C3178" s="26">
        <v>1</v>
      </c>
      <c r="D3178" s="27" t="s">
        <v>7530</v>
      </c>
      <c r="E3178" s="26">
        <v>847.95</v>
      </c>
      <c r="F3178" s="28" t="s">
        <v>7531</v>
      </c>
      <c r="G3178" s="26">
        <f t="shared" si="96"/>
        <v>848</v>
      </c>
      <c r="H3178" t="s">
        <v>7482</v>
      </c>
    </row>
    <row r="3179" spans="1:8" x14ac:dyDescent="0.25">
      <c r="A3179" s="21" t="s">
        <v>7539</v>
      </c>
      <c r="B3179" s="25" t="s">
        <v>7486</v>
      </c>
      <c r="C3179" s="26">
        <v>1</v>
      </c>
      <c r="D3179" s="27" t="s">
        <v>7530</v>
      </c>
      <c r="E3179" s="26">
        <v>969.55</v>
      </c>
      <c r="F3179" s="28" t="s">
        <v>7531</v>
      </c>
      <c r="G3179" s="26">
        <f t="shared" si="96"/>
        <v>970</v>
      </c>
      <c r="H3179" t="s">
        <v>7485</v>
      </c>
    </row>
    <row r="3180" spans="1:8" x14ac:dyDescent="0.25">
      <c r="A3180" s="21" t="s">
        <v>7540</v>
      </c>
      <c r="B3180" s="25" t="s">
        <v>7489</v>
      </c>
      <c r="C3180" s="26">
        <v>1</v>
      </c>
      <c r="D3180" s="27" t="s">
        <v>7530</v>
      </c>
      <c r="E3180" s="26">
        <v>1089.0999999999999</v>
      </c>
      <c r="F3180" s="28" t="s">
        <v>7531</v>
      </c>
      <c r="G3180" s="26">
        <f t="shared" si="96"/>
        <v>1089</v>
      </c>
      <c r="H3180" t="s">
        <v>7488</v>
      </c>
    </row>
    <row r="3181" spans="1:8" x14ac:dyDescent="0.25">
      <c r="A3181" s="21" t="s">
        <v>7541</v>
      </c>
      <c r="B3181" s="25" t="s">
        <v>7492</v>
      </c>
      <c r="C3181" s="26">
        <v>1</v>
      </c>
      <c r="D3181" s="27" t="s">
        <v>7530</v>
      </c>
      <c r="E3181" s="26">
        <v>1210.7</v>
      </c>
      <c r="F3181" s="28" t="s">
        <v>7531</v>
      </c>
      <c r="G3181" s="26">
        <f t="shared" si="96"/>
        <v>1211</v>
      </c>
      <c r="H3181" t="s">
        <v>7491</v>
      </c>
    </row>
    <row r="3182" spans="1:8" x14ac:dyDescent="0.25">
      <c r="A3182" s="21" t="s">
        <v>7542</v>
      </c>
      <c r="B3182" s="25" t="s">
        <v>7495</v>
      </c>
      <c r="C3182" s="26">
        <v>1</v>
      </c>
      <c r="D3182" s="27" t="s">
        <v>7530</v>
      </c>
      <c r="E3182" s="26">
        <v>1445.95</v>
      </c>
      <c r="F3182" s="28" t="s">
        <v>7531</v>
      </c>
      <c r="G3182" s="26">
        <f t="shared" si="96"/>
        <v>1446</v>
      </c>
      <c r="H3182" t="s">
        <v>7494</v>
      </c>
    </row>
    <row r="3183" spans="1:8" ht="45" x14ac:dyDescent="0.25">
      <c r="A3183" s="21" t="s">
        <v>7543</v>
      </c>
      <c r="B3183" s="25" t="s">
        <v>7545</v>
      </c>
      <c r="C3183" s="26"/>
      <c r="D3183" s="27"/>
      <c r="E3183" s="26"/>
      <c r="F3183" s="28"/>
      <c r="G3183" s="26"/>
      <c r="H3183" t="s">
        <v>7544</v>
      </c>
    </row>
    <row r="3184" spans="1:8" x14ac:dyDescent="0.25">
      <c r="A3184" s="21" t="s">
        <v>7546</v>
      </c>
      <c r="B3184" s="25" t="s">
        <v>6633</v>
      </c>
      <c r="C3184" s="26">
        <v>1</v>
      </c>
      <c r="D3184" s="27" t="s">
        <v>201</v>
      </c>
      <c r="E3184" s="26">
        <v>8803.7000000000007</v>
      </c>
      <c r="F3184" s="28" t="s">
        <v>202</v>
      </c>
      <c r="G3184" s="26">
        <f>ROUND(C3184*E3184,0)</f>
        <v>8804</v>
      </c>
      <c r="H3184" t="s">
        <v>1837</v>
      </c>
    </row>
    <row r="3185" spans="1:8" ht="150" x14ac:dyDescent="0.25">
      <c r="A3185" s="21" t="s">
        <v>7547</v>
      </c>
      <c r="B3185" s="25" t="s">
        <v>7549</v>
      </c>
      <c r="C3185" s="26"/>
      <c r="D3185" s="27"/>
      <c r="E3185" s="26"/>
      <c r="F3185" s="28"/>
      <c r="G3185" s="26"/>
      <c r="H3185" t="s">
        <v>7548</v>
      </c>
    </row>
    <row r="3186" spans="1:8" ht="45" x14ac:dyDescent="0.25">
      <c r="A3186" s="21" t="s">
        <v>7550</v>
      </c>
      <c r="B3186" s="25" t="s">
        <v>7551</v>
      </c>
      <c r="C3186" s="26">
        <v>1</v>
      </c>
      <c r="D3186" s="27" t="s">
        <v>110</v>
      </c>
      <c r="E3186" s="26">
        <v>420.25</v>
      </c>
      <c r="F3186" s="28" t="s">
        <v>618</v>
      </c>
      <c r="G3186" s="26">
        <f t="shared" ref="G3186:G3191" si="97">ROUND(C3186*E3186,0)</f>
        <v>420</v>
      </c>
      <c r="H3186" t="s">
        <v>7551</v>
      </c>
    </row>
    <row r="3187" spans="1:8" ht="45" x14ac:dyDescent="0.25">
      <c r="A3187" s="21" t="s">
        <v>7552</v>
      </c>
      <c r="B3187" s="25" t="s">
        <v>7553</v>
      </c>
      <c r="C3187" s="26">
        <v>1</v>
      </c>
      <c r="D3187" s="27" t="s">
        <v>110</v>
      </c>
      <c r="E3187" s="26">
        <v>599.5</v>
      </c>
      <c r="F3187" s="28" t="s">
        <v>618</v>
      </c>
      <c r="G3187" s="26">
        <f t="shared" si="97"/>
        <v>600</v>
      </c>
      <c r="H3187" t="s">
        <v>7553</v>
      </c>
    </row>
    <row r="3188" spans="1:8" ht="45" x14ac:dyDescent="0.25">
      <c r="A3188" s="21" t="s">
        <v>7554</v>
      </c>
      <c r="B3188" s="25" t="s">
        <v>7555</v>
      </c>
      <c r="C3188" s="26">
        <v>1</v>
      </c>
      <c r="D3188" s="27" t="s">
        <v>110</v>
      </c>
      <c r="E3188" s="26">
        <v>704.55</v>
      </c>
      <c r="F3188" s="28" t="s">
        <v>618</v>
      </c>
      <c r="G3188" s="26">
        <f t="shared" si="97"/>
        <v>705</v>
      </c>
      <c r="H3188" t="s">
        <v>7555</v>
      </c>
    </row>
    <row r="3189" spans="1:8" ht="45" x14ac:dyDescent="0.25">
      <c r="A3189" s="21" t="s">
        <v>7556</v>
      </c>
      <c r="B3189" s="25" t="s">
        <v>7557</v>
      </c>
      <c r="C3189" s="26">
        <v>1</v>
      </c>
      <c r="D3189" s="27" t="s">
        <v>110</v>
      </c>
      <c r="E3189" s="26">
        <v>913.65</v>
      </c>
      <c r="F3189" s="28" t="s">
        <v>618</v>
      </c>
      <c r="G3189" s="26">
        <f t="shared" si="97"/>
        <v>914</v>
      </c>
      <c r="H3189" t="s">
        <v>7557</v>
      </c>
    </row>
    <row r="3190" spans="1:8" ht="45" x14ac:dyDescent="0.25">
      <c r="A3190" s="21" t="s">
        <v>7558</v>
      </c>
      <c r="B3190" s="25" t="s">
        <v>7559</v>
      </c>
      <c r="C3190" s="26">
        <v>1</v>
      </c>
      <c r="D3190" s="27" t="s">
        <v>110</v>
      </c>
      <c r="E3190" s="26">
        <v>943.9</v>
      </c>
      <c r="F3190" s="28" t="s">
        <v>618</v>
      </c>
      <c r="G3190" s="26">
        <f t="shared" si="97"/>
        <v>944</v>
      </c>
      <c r="H3190" t="s">
        <v>7559</v>
      </c>
    </row>
    <row r="3191" spans="1:8" ht="45" x14ac:dyDescent="0.25">
      <c r="A3191" s="21" t="s">
        <v>7560</v>
      </c>
      <c r="B3191" s="25" t="s">
        <v>7561</v>
      </c>
      <c r="C3191" s="26">
        <v>1</v>
      </c>
      <c r="D3191" s="27" t="s">
        <v>110</v>
      </c>
      <c r="E3191" s="26">
        <v>1202.3499999999999</v>
      </c>
      <c r="F3191" s="28" t="s">
        <v>618</v>
      </c>
      <c r="G3191" s="26">
        <f t="shared" si="97"/>
        <v>1202</v>
      </c>
      <c r="H3191" t="s">
        <v>7561</v>
      </c>
    </row>
    <row r="3192" spans="1:8" ht="150" x14ac:dyDescent="0.25">
      <c r="A3192" s="21" t="s">
        <v>7562</v>
      </c>
      <c r="B3192" s="25" t="s">
        <v>7564</v>
      </c>
      <c r="C3192" s="26"/>
      <c r="D3192" s="27"/>
      <c r="E3192" s="26"/>
      <c r="F3192" s="28"/>
      <c r="G3192" s="26"/>
      <c r="H3192" t="s">
        <v>7563</v>
      </c>
    </row>
    <row r="3193" spans="1:8" ht="45" x14ac:dyDescent="0.25">
      <c r="A3193" s="21" t="s">
        <v>7565</v>
      </c>
      <c r="B3193" s="25" t="s">
        <v>7566</v>
      </c>
      <c r="C3193" s="26">
        <v>1</v>
      </c>
      <c r="D3193" s="27" t="s">
        <v>110</v>
      </c>
      <c r="E3193" s="26">
        <v>704.05</v>
      </c>
      <c r="F3193" s="28" t="s">
        <v>618</v>
      </c>
      <c r="G3193" s="26">
        <f t="shared" ref="G3193:G3198" si="98">ROUND(C3193*E3193,0)</f>
        <v>704</v>
      </c>
      <c r="H3193" t="s">
        <v>7566</v>
      </c>
    </row>
    <row r="3194" spans="1:8" ht="45" x14ac:dyDescent="0.25">
      <c r="A3194" s="21" t="s">
        <v>7567</v>
      </c>
      <c r="B3194" s="25" t="s">
        <v>7568</v>
      </c>
      <c r="C3194" s="26">
        <v>1</v>
      </c>
      <c r="D3194" s="27" t="s">
        <v>110</v>
      </c>
      <c r="E3194" s="26">
        <v>1025.25</v>
      </c>
      <c r="F3194" s="28" t="s">
        <v>618</v>
      </c>
      <c r="G3194" s="26">
        <f t="shared" si="98"/>
        <v>1025</v>
      </c>
      <c r="H3194" t="s">
        <v>7568</v>
      </c>
    </row>
    <row r="3195" spans="1:8" ht="45" x14ac:dyDescent="0.25">
      <c r="A3195" s="21" t="s">
        <v>7569</v>
      </c>
      <c r="B3195" s="25" t="s">
        <v>7570</v>
      </c>
      <c r="C3195" s="26">
        <v>1</v>
      </c>
      <c r="D3195" s="27" t="s">
        <v>110</v>
      </c>
      <c r="E3195" s="26">
        <v>1272.1500000000001</v>
      </c>
      <c r="F3195" s="28" t="s">
        <v>618</v>
      </c>
      <c r="G3195" s="26">
        <f t="shared" si="98"/>
        <v>1272</v>
      </c>
      <c r="H3195" t="s">
        <v>7570</v>
      </c>
    </row>
    <row r="3196" spans="1:8" ht="45" x14ac:dyDescent="0.25">
      <c r="A3196" s="21" t="s">
        <v>7571</v>
      </c>
      <c r="B3196" s="25" t="s">
        <v>7572</v>
      </c>
      <c r="C3196" s="26">
        <v>1</v>
      </c>
      <c r="D3196" s="27" t="s">
        <v>110</v>
      </c>
      <c r="E3196" s="26">
        <v>1765.1</v>
      </c>
      <c r="F3196" s="28" t="s">
        <v>618</v>
      </c>
      <c r="G3196" s="26">
        <f t="shared" si="98"/>
        <v>1765</v>
      </c>
      <c r="H3196" t="s">
        <v>7572</v>
      </c>
    </row>
    <row r="3197" spans="1:8" ht="45" x14ac:dyDescent="0.25">
      <c r="A3197" s="21" t="s">
        <v>7573</v>
      </c>
      <c r="B3197" s="25" t="s">
        <v>7574</v>
      </c>
      <c r="C3197" s="26">
        <v>1</v>
      </c>
      <c r="D3197" s="27" t="s">
        <v>110</v>
      </c>
      <c r="E3197" s="26">
        <v>2124</v>
      </c>
      <c r="F3197" s="28" t="s">
        <v>618</v>
      </c>
      <c r="G3197" s="26">
        <f t="shared" si="98"/>
        <v>2124</v>
      </c>
      <c r="H3197" t="s">
        <v>7574</v>
      </c>
    </row>
    <row r="3198" spans="1:8" ht="45" x14ac:dyDescent="0.25">
      <c r="A3198" s="21" t="s">
        <v>7575</v>
      </c>
      <c r="B3198" s="25" t="s">
        <v>7576</v>
      </c>
      <c r="C3198" s="26">
        <v>1</v>
      </c>
      <c r="D3198" s="27" t="s">
        <v>110</v>
      </c>
      <c r="E3198" s="26">
        <v>2699.1</v>
      </c>
      <c r="F3198" s="28" t="s">
        <v>618</v>
      </c>
      <c r="G3198" s="26">
        <f t="shared" si="98"/>
        <v>2699</v>
      </c>
      <c r="H3198" t="s">
        <v>7576</v>
      </c>
    </row>
    <row r="3199" spans="1:8" ht="150" x14ac:dyDescent="0.25">
      <c r="A3199" s="21" t="s">
        <v>7577</v>
      </c>
      <c r="B3199" s="25" t="s">
        <v>7579</v>
      </c>
      <c r="C3199" s="26"/>
      <c r="D3199" s="27"/>
      <c r="E3199" s="26"/>
      <c r="F3199" s="28"/>
      <c r="G3199" s="26"/>
      <c r="H3199" t="s">
        <v>7578</v>
      </c>
    </row>
    <row r="3200" spans="1:8" ht="45" x14ac:dyDescent="0.25">
      <c r="A3200" s="21" t="s">
        <v>7580</v>
      </c>
      <c r="B3200" s="25" t="s">
        <v>7581</v>
      </c>
      <c r="C3200" s="26">
        <v>1</v>
      </c>
      <c r="D3200" s="27" t="s">
        <v>110</v>
      </c>
      <c r="E3200" s="26">
        <v>622.25</v>
      </c>
      <c r="F3200" s="28" t="s">
        <v>618</v>
      </c>
      <c r="G3200" s="26">
        <f>ROUND(C3200*E3200,0)</f>
        <v>622</v>
      </c>
      <c r="H3200" t="s">
        <v>7581</v>
      </c>
    </row>
    <row r="3201" spans="1:8" ht="45" x14ac:dyDescent="0.25">
      <c r="A3201" s="21" t="s">
        <v>7582</v>
      </c>
      <c r="B3201" s="25" t="s">
        <v>7583</v>
      </c>
      <c r="C3201" s="26">
        <v>1</v>
      </c>
      <c r="D3201" s="27" t="s">
        <v>110</v>
      </c>
      <c r="E3201" s="26">
        <v>801.5</v>
      </c>
      <c r="F3201" s="28" t="s">
        <v>618</v>
      </c>
      <c r="G3201" s="26">
        <f>ROUND(C3201*E3201,0)</f>
        <v>802</v>
      </c>
      <c r="H3201" t="s">
        <v>7583</v>
      </c>
    </row>
    <row r="3202" spans="1:8" ht="165" x14ac:dyDescent="0.25">
      <c r="A3202" s="21" t="s">
        <v>7584</v>
      </c>
      <c r="B3202" s="25" t="s">
        <v>7586</v>
      </c>
      <c r="C3202" s="26"/>
      <c r="D3202" s="27"/>
      <c r="E3202" s="26"/>
      <c r="F3202" s="28"/>
      <c r="G3202" s="26"/>
      <c r="H3202" t="s">
        <v>7585</v>
      </c>
    </row>
    <row r="3203" spans="1:8" ht="45" x14ac:dyDescent="0.25">
      <c r="A3203" s="21" t="s">
        <v>7587</v>
      </c>
      <c r="B3203" s="25" t="s">
        <v>7589</v>
      </c>
      <c r="C3203" s="26">
        <v>1</v>
      </c>
      <c r="D3203" s="27" t="s">
        <v>110</v>
      </c>
      <c r="E3203" s="26">
        <v>906.1</v>
      </c>
      <c r="F3203" s="28" t="s">
        <v>618</v>
      </c>
      <c r="G3203" s="26">
        <f>ROUND(C3203*E3203,0)</f>
        <v>906</v>
      </c>
      <c r="H3203" t="s">
        <v>7588</v>
      </c>
    </row>
    <row r="3204" spans="1:8" ht="45" x14ac:dyDescent="0.25">
      <c r="A3204" s="21" t="s">
        <v>7590</v>
      </c>
      <c r="B3204" s="25" t="s">
        <v>7592</v>
      </c>
      <c r="C3204" s="26">
        <v>1</v>
      </c>
      <c r="D3204" s="27" t="s">
        <v>110</v>
      </c>
      <c r="E3204" s="26">
        <v>1227.25</v>
      </c>
      <c r="F3204" s="28" t="s">
        <v>618</v>
      </c>
      <c r="G3204" s="26">
        <f>ROUND(C3204*E3204,0)</f>
        <v>1227</v>
      </c>
      <c r="H3204" t="s">
        <v>7591</v>
      </c>
    </row>
    <row r="3205" spans="1:8" ht="105" x14ac:dyDescent="0.25">
      <c r="A3205" s="21" t="s">
        <v>7593</v>
      </c>
      <c r="B3205" s="25" t="s">
        <v>7595</v>
      </c>
      <c r="C3205" s="26"/>
      <c r="D3205" s="27"/>
      <c r="E3205" s="26"/>
      <c r="F3205" s="28"/>
      <c r="G3205" s="26"/>
      <c r="H3205" t="s">
        <v>7594</v>
      </c>
    </row>
    <row r="3206" spans="1:8" x14ac:dyDescent="0.25">
      <c r="A3206" s="21" t="s">
        <v>7596</v>
      </c>
      <c r="B3206" s="25" t="s">
        <v>7597</v>
      </c>
      <c r="C3206" s="26">
        <v>1</v>
      </c>
      <c r="D3206" s="27" t="s">
        <v>201</v>
      </c>
      <c r="E3206" s="26">
        <v>93.9</v>
      </c>
      <c r="F3206" s="28" t="s">
        <v>202</v>
      </c>
      <c r="G3206" s="26">
        <f t="shared" ref="G3206:G3211" si="99">ROUND(C3206*E3206,0)</f>
        <v>94</v>
      </c>
      <c r="H3206" t="s">
        <v>7597</v>
      </c>
    </row>
    <row r="3207" spans="1:8" x14ac:dyDescent="0.25">
      <c r="A3207" s="21" t="s">
        <v>7598</v>
      </c>
      <c r="B3207" s="25" t="s">
        <v>7599</v>
      </c>
      <c r="C3207" s="26">
        <v>1</v>
      </c>
      <c r="D3207" s="27" t="s">
        <v>201</v>
      </c>
      <c r="E3207" s="26">
        <v>113.8</v>
      </c>
      <c r="F3207" s="28" t="s">
        <v>202</v>
      </c>
      <c r="G3207" s="26">
        <f t="shared" si="99"/>
        <v>114</v>
      </c>
      <c r="H3207" t="s">
        <v>7599</v>
      </c>
    </row>
    <row r="3208" spans="1:8" x14ac:dyDescent="0.25">
      <c r="A3208" s="21" t="s">
        <v>7600</v>
      </c>
      <c r="B3208" s="25" t="s">
        <v>7601</v>
      </c>
      <c r="C3208" s="26">
        <v>1</v>
      </c>
      <c r="D3208" s="27" t="s">
        <v>201</v>
      </c>
      <c r="E3208" s="26">
        <v>156.5</v>
      </c>
      <c r="F3208" s="28" t="s">
        <v>202</v>
      </c>
      <c r="G3208" s="26">
        <f t="shared" si="99"/>
        <v>157</v>
      </c>
      <c r="H3208" t="s">
        <v>7601</v>
      </c>
    </row>
    <row r="3209" spans="1:8" x14ac:dyDescent="0.25">
      <c r="A3209" s="21" t="s">
        <v>7602</v>
      </c>
      <c r="B3209" s="25" t="s">
        <v>7603</v>
      </c>
      <c r="C3209" s="26">
        <v>1</v>
      </c>
      <c r="D3209" s="27" t="s">
        <v>201</v>
      </c>
      <c r="E3209" s="26">
        <v>213.4</v>
      </c>
      <c r="F3209" s="28" t="s">
        <v>202</v>
      </c>
      <c r="G3209" s="26">
        <f t="shared" si="99"/>
        <v>213</v>
      </c>
      <c r="H3209" t="s">
        <v>7603</v>
      </c>
    </row>
    <row r="3210" spans="1:8" x14ac:dyDescent="0.25">
      <c r="A3210" s="21" t="s">
        <v>7604</v>
      </c>
      <c r="B3210" s="25" t="s">
        <v>7605</v>
      </c>
      <c r="C3210" s="26">
        <v>1</v>
      </c>
      <c r="D3210" s="27" t="s">
        <v>201</v>
      </c>
      <c r="E3210" s="26">
        <v>256.10000000000002</v>
      </c>
      <c r="F3210" s="28" t="s">
        <v>202</v>
      </c>
      <c r="G3210" s="26">
        <f t="shared" si="99"/>
        <v>256</v>
      </c>
      <c r="H3210" t="s">
        <v>7605</v>
      </c>
    </row>
    <row r="3211" spans="1:8" x14ac:dyDescent="0.25">
      <c r="A3211" s="21" t="s">
        <v>7606</v>
      </c>
      <c r="B3211" s="25" t="s">
        <v>7607</v>
      </c>
      <c r="C3211" s="26">
        <v>1</v>
      </c>
      <c r="D3211" s="27" t="s">
        <v>201</v>
      </c>
      <c r="E3211" s="26">
        <v>291.64999999999998</v>
      </c>
      <c r="F3211" s="28" t="s">
        <v>202</v>
      </c>
      <c r="G3211" s="26">
        <f t="shared" si="99"/>
        <v>292</v>
      </c>
      <c r="H3211" t="s">
        <v>7607</v>
      </c>
    </row>
    <row r="3212" spans="1:8" ht="105" x14ac:dyDescent="0.25">
      <c r="A3212" s="21" t="s">
        <v>7608</v>
      </c>
      <c r="B3212" s="25" t="s">
        <v>7595</v>
      </c>
      <c r="C3212" s="26"/>
      <c r="D3212" s="27"/>
      <c r="E3212" s="26"/>
      <c r="F3212" s="28"/>
      <c r="G3212" s="26"/>
      <c r="H3212" t="s">
        <v>7609</v>
      </c>
    </row>
    <row r="3213" spans="1:8" x14ac:dyDescent="0.25">
      <c r="A3213" s="21" t="s">
        <v>7610</v>
      </c>
      <c r="B3213" s="25" t="s">
        <v>7611</v>
      </c>
      <c r="C3213" s="26">
        <v>1</v>
      </c>
      <c r="D3213" s="27" t="s">
        <v>201</v>
      </c>
      <c r="E3213" s="26">
        <v>341.45</v>
      </c>
      <c r="F3213" s="28" t="s">
        <v>202</v>
      </c>
      <c r="G3213" s="26">
        <f t="shared" ref="G3213:G3218" si="100">ROUND(C3213*E3213,0)</f>
        <v>341</v>
      </c>
      <c r="H3213" t="s">
        <v>7611</v>
      </c>
    </row>
    <row r="3214" spans="1:8" x14ac:dyDescent="0.25">
      <c r="A3214" s="21" t="s">
        <v>7612</v>
      </c>
      <c r="B3214" s="25" t="s">
        <v>7613</v>
      </c>
      <c r="C3214" s="26">
        <v>1</v>
      </c>
      <c r="D3214" s="27" t="s">
        <v>201</v>
      </c>
      <c r="E3214" s="26">
        <v>426.8</v>
      </c>
      <c r="F3214" s="28" t="s">
        <v>202</v>
      </c>
      <c r="G3214" s="26">
        <f t="shared" si="100"/>
        <v>427</v>
      </c>
      <c r="H3214" t="s">
        <v>7613</v>
      </c>
    </row>
    <row r="3215" spans="1:8" x14ac:dyDescent="0.25">
      <c r="A3215" s="21" t="s">
        <v>7614</v>
      </c>
      <c r="B3215" s="25" t="s">
        <v>7615</v>
      </c>
      <c r="C3215" s="26">
        <v>1</v>
      </c>
      <c r="D3215" s="27" t="s">
        <v>201</v>
      </c>
      <c r="E3215" s="26">
        <v>497.9</v>
      </c>
      <c r="F3215" s="28" t="s">
        <v>202</v>
      </c>
      <c r="G3215" s="26">
        <f t="shared" si="100"/>
        <v>498</v>
      </c>
      <c r="H3215" t="s">
        <v>7615</v>
      </c>
    </row>
    <row r="3216" spans="1:8" x14ac:dyDescent="0.25">
      <c r="A3216" s="21" t="s">
        <v>7616</v>
      </c>
      <c r="B3216" s="25" t="s">
        <v>7617</v>
      </c>
      <c r="C3216" s="26">
        <v>1</v>
      </c>
      <c r="D3216" s="27" t="s">
        <v>201</v>
      </c>
      <c r="E3216" s="26">
        <v>625.95000000000005</v>
      </c>
      <c r="F3216" s="28" t="s">
        <v>202</v>
      </c>
      <c r="G3216" s="26">
        <f t="shared" si="100"/>
        <v>626</v>
      </c>
      <c r="H3216" t="s">
        <v>7617</v>
      </c>
    </row>
    <row r="3217" spans="1:8" x14ac:dyDescent="0.25">
      <c r="A3217" s="21" t="s">
        <v>7618</v>
      </c>
      <c r="B3217" s="25" t="s">
        <v>7619</v>
      </c>
      <c r="C3217" s="26">
        <v>1</v>
      </c>
      <c r="D3217" s="27" t="s">
        <v>201</v>
      </c>
      <c r="E3217" s="26">
        <v>846.45</v>
      </c>
      <c r="F3217" s="28" t="s">
        <v>202</v>
      </c>
      <c r="G3217" s="26">
        <f t="shared" si="100"/>
        <v>846</v>
      </c>
      <c r="H3217" t="s">
        <v>7619</v>
      </c>
    </row>
    <row r="3218" spans="1:8" x14ac:dyDescent="0.25">
      <c r="A3218" s="21" t="s">
        <v>7620</v>
      </c>
      <c r="B3218" s="25" t="s">
        <v>7621</v>
      </c>
      <c r="C3218" s="26">
        <v>1</v>
      </c>
      <c r="D3218" s="27" t="s">
        <v>201</v>
      </c>
      <c r="E3218" s="26">
        <v>1017.2</v>
      </c>
      <c r="F3218" s="28" t="s">
        <v>202</v>
      </c>
      <c r="G3218" s="26">
        <f t="shared" si="100"/>
        <v>1017</v>
      </c>
      <c r="H3218" t="s">
        <v>7621</v>
      </c>
    </row>
    <row r="3219" spans="1:8" ht="150" x14ac:dyDescent="0.25">
      <c r="A3219" s="21" t="s">
        <v>7622</v>
      </c>
      <c r="B3219" s="25" t="s">
        <v>7624</v>
      </c>
      <c r="C3219" s="26"/>
      <c r="D3219" s="27"/>
      <c r="E3219" s="26"/>
      <c r="F3219" s="28"/>
      <c r="G3219" s="26"/>
      <c r="H3219" t="s">
        <v>7623</v>
      </c>
    </row>
    <row r="3220" spans="1:8" x14ac:dyDescent="0.25">
      <c r="A3220" s="21"/>
      <c r="B3220" s="25" t="s">
        <v>7625</v>
      </c>
      <c r="C3220" s="26"/>
      <c r="D3220" s="27"/>
      <c r="E3220" s="26"/>
      <c r="F3220" s="28"/>
      <c r="G3220" s="26"/>
    </row>
    <row r="3221" spans="1:8" x14ac:dyDescent="0.25">
      <c r="A3221" s="21" t="s">
        <v>7626</v>
      </c>
      <c r="B3221" s="25" t="s">
        <v>7627</v>
      </c>
      <c r="C3221" s="26">
        <v>1</v>
      </c>
      <c r="D3221" s="27" t="s">
        <v>201</v>
      </c>
      <c r="E3221" s="26">
        <v>139.4</v>
      </c>
      <c r="F3221" s="28" t="s">
        <v>202</v>
      </c>
      <c r="G3221" s="26">
        <f t="shared" ref="G3221:G3235" si="101">ROUND(C3221*E3221,0)</f>
        <v>139</v>
      </c>
      <c r="H3221" t="s">
        <v>7627</v>
      </c>
    </row>
    <row r="3222" spans="1:8" x14ac:dyDescent="0.25">
      <c r="A3222" s="21" t="s">
        <v>7628</v>
      </c>
      <c r="B3222" s="25" t="s">
        <v>7629</v>
      </c>
      <c r="C3222" s="26">
        <v>1</v>
      </c>
      <c r="D3222" s="27" t="s">
        <v>201</v>
      </c>
      <c r="E3222" s="26">
        <v>186.35</v>
      </c>
      <c r="F3222" s="28" t="s">
        <v>202</v>
      </c>
      <c r="G3222" s="26">
        <f t="shared" si="101"/>
        <v>186</v>
      </c>
      <c r="H3222" t="s">
        <v>7629</v>
      </c>
    </row>
    <row r="3223" spans="1:8" x14ac:dyDescent="0.25">
      <c r="A3223" s="21" t="s">
        <v>7630</v>
      </c>
      <c r="B3223" s="25" t="s">
        <v>7631</v>
      </c>
      <c r="C3223" s="26">
        <v>1</v>
      </c>
      <c r="D3223" s="27" t="s">
        <v>201</v>
      </c>
      <c r="E3223" s="26">
        <v>189.2</v>
      </c>
      <c r="F3223" s="28" t="s">
        <v>202</v>
      </c>
      <c r="G3223" s="26">
        <f t="shared" si="101"/>
        <v>189</v>
      </c>
      <c r="H3223" t="s">
        <v>7631</v>
      </c>
    </row>
    <row r="3224" spans="1:8" x14ac:dyDescent="0.25">
      <c r="A3224" s="21" t="s">
        <v>7632</v>
      </c>
      <c r="B3224" s="25" t="s">
        <v>7633</v>
      </c>
      <c r="C3224" s="26">
        <v>1</v>
      </c>
      <c r="D3224" s="27" t="s">
        <v>201</v>
      </c>
      <c r="E3224" s="26">
        <v>313</v>
      </c>
      <c r="F3224" s="28" t="s">
        <v>202</v>
      </c>
      <c r="G3224" s="26">
        <f t="shared" si="101"/>
        <v>313</v>
      </c>
      <c r="H3224" t="s">
        <v>7633</v>
      </c>
    </row>
    <row r="3225" spans="1:8" x14ac:dyDescent="0.25">
      <c r="A3225" s="21" t="s">
        <v>7634</v>
      </c>
      <c r="B3225" s="25" t="s">
        <v>7635</v>
      </c>
      <c r="C3225" s="26">
        <v>1</v>
      </c>
      <c r="D3225" s="27" t="s">
        <v>201</v>
      </c>
      <c r="E3225" s="26">
        <v>327.2</v>
      </c>
      <c r="F3225" s="28" t="s">
        <v>202</v>
      </c>
      <c r="G3225" s="26">
        <f t="shared" si="101"/>
        <v>327</v>
      </c>
      <c r="H3225" t="s">
        <v>7635</v>
      </c>
    </row>
    <row r="3226" spans="1:8" x14ac:dyDescent="0.25">
      <c r="A3226" s="21" t="s">
        <v>7636</v>
      </c>
      <c r="B3226" s="25" t="s">
        <v>7637</v>
      </c>
      <c r="C3226" s="26">
        <v>1</v>
      </c>
      <c r="D3226" s="27" t="s">
        <v>201</v>
      </c>
      <c r="E3226" s="26">
        <v>327.2</v>
      </c>
      <c r="F3226" s="28" t="s">
        <v>202</v>
      </c>
      <c r="G3226" s="26">
        <f t="shared" si="101"/>
        <v>327</v>
      </c>
      <c r="H3226" t="s">
        <v>7637</v>
      </c>
    </row>
    <row r="3227" spans="1:8" x14ac:dyDescent="0.25">
      <c r="A3227" s="21" t="s">
        <v>7638</v>
      </c>
      <c r="B3227" s="25" t="s">
        <v>7639</v>
      </c>
      <c r="C3227" s="26">
        <v>1</v>
      </c>
      <c r="D3227" s="27" t="s">
        <v>201</v>
      </c>
      <c r="E3227" s="26">
        <v>517.85</v>
      </c>
      <c r="F3227" s="28" t="s">
        <v>202</v>
      </c>
      <c r="G3227" s="26">
        <f t="shared" si="101"/>
        <v>518</v>
      </c>
      <c r="H3227" t="s">
        <v>7639</v>
      </c>
    </row>
    <row r="3228" spans="1:8" x14ac:dyDescent="0.25">
      <c r="A3228" s="21" t="s">
        <v>7640</v>
      </c>
      <c r="B3228" s="25" t="s">
        <v>7641</v>
      </c>
      <c r="C3228" s="26">
        <v>1</v>
      </c>
      <c r="D3228" s="27" t="s">
        <v>201</v>
      </c>
      <c r="E3228" s="26">
        <v>529.25</v>
      </c>
      <c r="F3228" s="28" t="s">
        <v>202</v>
      </c>
      <c r="G3228" s="26">
        <f t="shared" si="101"/>
        <v>529</v>
      </c>
      <c r="H3228" t="s">
        <v>7641</v>
      </c>
    </row>
    <row r="3229" spans="1:8" x14ac:dyDescent="0.25">
      <c r="A3229" s="21" t="s">
        <v>7642</v>
      </c>
      <c r="B3229" s="25" t="s">
        <v>7643</v>
      </c>
      <c r="C3229" s="26">
        <v>1</v>
      </c>
      <c r="D3229" s="27" t="s">
        <v>201</v>
      </c>
      <c r="E3229" s="26">
        <v>606.04999999999995</v>
      </c>
      <c r="F3229" s="28" t="s">
        <v>202</v>
      </c>
      <c r="G3229" s="26">
        <f t="shared" si="101"/>
        <v>606</v>
      </c>
      <c r="H3229" t="s">
        <v>7643</v>
      </c>
    </row>
    <row r="3230" spans="1:8" x14ac:dyDescent="0.25">
      <c r="A3230" s="21" t="s">
        <v>7644</v>
      </c>
      <c r="B3230" s="25" t="s">
        <v>7645</v>
      </c>
      <c r="C3230" s="26">
        <v>1</v>
      </c>
      <c r="D3230" s="27" t="s">
        <v>201</v>
      </c>
      <c r="E3230" s="26">
        <v>643.04999999999995</v>
      </c>
      <c r="F3230" s="28" t="s">
        <v>202</v>
      </c>
      <c r="G3230" s="26">
        <f t="shared" si="101"/>
        <v>643</v>
      </c>
      <c r="H3230" t="s">
        <v>7645</v>
      </c>
    </row>
    <row r="3231" spans="1:8" x14ac:dyDescent="0.25">
      <c r="A3231" s="21" t="s">
        <v>7646</v>
      </c>
      <c r="B3231" s="25" t="s">
        <v>7647</v>
      </c>
      <c r="C3231" s="26">
        <v>1</v>
      </c>
      <c r="D3231" s="27" t="s">
        <v>201</v>
      </c>
      <c r="E3231" s="26">
        <v>643.04999999999995</v>
      </c>
      <c r="F3231" s="28" t="s">
        <v>202</v>
      </c>
      <c r="G3231" s="26">
        <f t="shared" si="101"/>
        <v>643</v>
      </c>
      <c r="H3231" t="s">
        <v>7647</v>
      </c>
    </row>
    <row r="3232" spans="1:8" x14ac:dyDescent="0.25">
      <c r="A3232" s="21" t="s">
        <v>7648</v>
      </c>
      <c r="B3232" s="25" t="s">
        <v>7649</v>
      </c>
      <c r="C3232" s="26">
        <v>1</v>
      </c>
      <c r="D3232" s="27" t="s">
        <v>201</v>
      </c>
      <c r="E3232" s="26">
        <v>643.04999999999995</v>
      </c>
      <c r="F3232" s="28" t="s">
        <v>202</v>
      </c>
      <c r="G3232" s="26">
        <f t="shared" si="101"/>
        <v>643</v>
      </c>
      <c r="H3232" t="s">
        <v>7649</v>
      </c>
    </row>
    <row r="3233" spans="1:8" x14ac:dyDescent="0.25">
      <c r="A3233" s="21" t="s">
        <v>7650</v>
      </c>
      <c r="B3233" s="25" t="s">
        <v>7651</v>
      </c>
      <c r="C3233" s="26">
        <v>1</v>
      </c>
      <c r="D3233" s="27" t="s">
        <v>201</v>
      </c>
      <c r="E3233" s="26">
        <v>643.04999999999995</v>
      </c>
      <c r="F3233" s="28" t="s">
        <v>202</v>
      </c>
      <c r="G3233" s="26">
        <f t="shared" si="101"/>
        <v>643</v>
      </c>
      <c r="H3233" t="s">
        <v>7651</v>
      </c>
    </row>
    <row r="3234" spans="1:8" x14ac:dyDescent="0.25">
      <c r="A3234" s="21" t="s">
        <v>7652</v>
      </c>
      <c r="B3234" s="25" t="s">
        <v>7653</v>
      </c>
      <c r="C3234" s="26">
        <v>1</v>
      </c>
      <c r="D3234" s="27" t="s">
        <v>201</v>
      </c>
      <c r="E3234" s="26">
        <v>664.35</v>
      </c>
      <c r="F3234" s="28" t="s">
        <v>202</v>
      </c>
      <c r="G3234" s="26">
        <f t="shared" si="101"/>
        <v>664</v>
      </c>
      <c r="H3234" t="s">
        <v>7653</v>
      </c>
    </row>
    <row r="3235" spans="1:8" x14ac:dyDescent="0.25">
      <c r="A3235" s="21" t="s">
        <v>7654</v>
      </c>
      <c r="B3235" s="25" t="s">
        <v>7655</v>
      </c>
      <c r="C3235" s="26">
        <v>1</v>
      </c>
      <c r="D3235" s="27" t="s">
        <v>201</v>
      </c>
      <c r="E3235" s="26">
        <v>667.2</v>
      </c>
      <c r="F3235" s="28" t="s">
        <v>202</v>
      </c>
      <c r="G3235" s="26">
        <f t="shared" si="101"/>
        <v>667</v>
      </c>
      <c r="H3235" t="s">
        <v>7655</v>
      </c>
    </row>
    <row r="3236" spans="1:8" ht="90" x14ac:dyDescent="0.25">
      <c r="A3236" s="21" t="s">
        <v>7656</v>
      </c>
      <c r="B3236" s="25" t="s">
        <v>7658</v>
      </c>
      <c r="C3236" s="26"/>
      <c r="D3236" s="27"/>
      <c r="E3236" s="26"/>
      <c r="F3236" s="28"/>
      <c r="G3236" s="26"/>
      <c r="H3236" t="s">
        <v>7657</v>
      </c>
    </row>
    <row r="3237" spans="1:8" x14ac:dyDescent="0.25">
      <c r="A3237" s="21"/>
      <c r="B3237" s="25" t="s">
        <v>7625</v>
      </c>
      <c r="C3237" s="26"/>
      <c r="D3237" s="27"/>
      <c r="E3237" s="26"/>
      <c r="F3237" s="28"/>
      <c r="G3237" s="26"/>
    </row>
    <row r="3238" spans="1:8" x14ac:dyDescent="0.25">
      <c r="A3238" s="21" t="s">
        <v>7659</v>
      </c>
      <c r="B3238" s="25" t="s">
        <v>7660</v>
      </c>
      <c r="C3238" s="26">
        <v>1</v>
      </c>
      <c r="D3238" s="27" t="s">
        <v>201</v>
      </c>
      <c r="E3238" s="26">
        <v>405.45</v>
      </c>
      <c r="F3238" s="28" t="s">
        <v>202</v>
      </c>
      <c r="G3238" s="26">
        <f t="shared" ref="G3238:G3248" si="102">ROUND(C3238*E3238,0)</f>
        <v>405</v>
      </c>
      <c r="H3238" t="s">
        <v>7660</v>
      </c>
    </row>
    <row r="3239" spans="1:8" x14ac:dyDescent="0.25">
      <c r="A3239" s="21" t="s">
        <v>7661</v>
      </c>
      <c r="B3239" s="25" t="s">
        <v>7662</v>
      </c>
      <c r="C3239" s="26">
        <v>1</v>
      </c>
      <c r="D3239" s="27" t="s">
        <v>201</v>
      </c>
      <c r="E3239" s="26">
        <v>490.8</v>
      </c>
      <c r="F3239" s="28" t="s">
        <v>202</v>
      </c>
      <c r="G3239" s="26">
        <f t="shared" si="102"/>
        <v>491</v>
      </c>
      <c r="H3239" t="s">
        <v>7662</v>
      </c>
    </row>
    <row r="3240" spans="1:8" x14ac:dyDescent="0.25">
      <c r="A3240" s="21" t="s">
        <v>7663</v>
      </c>
      <c r="B3240" s="25" t="s">
        <v>7664</v>
      </c>
      <c r="C3240" s="26">
        <v>1</v>
      </c>
      <c r="D3240" s="27" t="s">
        <v>201</v>
      </c>
      <c r="E3240" s="26">
        <v>597.5</v>
      </c>
      <c r="F3240" s="28" t="s">
        <v>202</v>
      </c>
      <c r="G3240" s="26">
        <f t="shared" si="102"/>
        <v>598</v>
      </c>
      <c r="H3240" t="s">
        <v>7664</v>
      </c>
    </row>
    <row r="3241" spans="1:8" x14ac:dyDescent="0.25">
      <c r="A3241" s="21" t="s">
        <v>7665</v>
      </c>
      <c r="B3241" s="25" t="s">
        <v>7666</v>
      </c>
      <c r="C3241" s="26">
        <v>1</v>
      </c>
      <c r="D3241" s="27" t="s">
        <v>201</v>
      </c>
      <c r="E3241" s="26">
        <v>604.6</v>
      </c>
      <c r="F3241" s="28" t="s">
        <v>202</v>
      </c>
      <c r="G3241" s="26">
        <f t="shared" si="102"/>
        <v>605</v>
      </c>
      <c r="H3241" t="s">
        <v>7666</v>
      </c>
    </row>
    <row r="3242" spans="1:8" x14ac:dyDescent="0.25">
      <c r="A3242" s="21" t="s">
        <v>7667</v>
      </c>
      <c r="B3242" s="25" t="s">
        <v>7668</v>
      </c>
      <c r="C3242" s="26">
        <v>1</v>
      </c>
      <c r="D3242" s="27" t="s">
        <v>201</v>
      </c>
      <c r="E3242" s="26">
        <v>746.85</v>
      </c>
      <c r="F3242" s="28" t="s">
        <v>202</v>
      </c>
      <c r="G3242" s="26">
        <f t="shared" si="102"/>
        <v>747</v>
      </c>
      <c r="H3242" t="s">
        <v>7668</v>
      </c>
    </row>
    <row r="3243" spans="1:8" x14ac:dyDescent="0.25">
      <c r="A3243" s="21" t="s">
        <v>7669</v>
      </c>
      <c r="B3243" s="25" t="s">
        <v>7670</v>
      </c>
      <c r="C3243" s="26">
        <v>1</v>
      </c>
      <c r="D3243" s="27" t="s">
        <v>201</v>
      </c>
      <c r="E3243" s="26">
        <v>960.3</v>
      </c>
      <c r="F3243" s="28" t="s">
        <v>202</v>
      </c>
      <c r="G3243" s="26">
        <f t="shared" si="102"/>
        <v>960</v>
      </c>
      <c r="H3243" t="s">
        <v>7670</v>
      </c>
    </row>
    <row r="3244" spans="1:8" x14ac:dyDescent="0.25">
      <c r="A3244" s="21" t="s">
        <v>7671</v>
      </c>
      <c r="B3244" s="25" t="s">
        <v>7672</v>
      </c>
      <c r="C3244" s="26">
        <v>1</v>
      </c>
      <c r="D3244" s="27" t="s">
        <v>201</v>
      </c>
      <c r="E3244" s="26">
        <v>1095.45</v>
      </c>
      <c r="F3244" s="28" t="s">
        <v>202</v>
      </c>
      <c r="G3244" s="26">
        <f t="shared" si="102"/>
        <v>1095</v>
      </c>
      <c r="H3244" t="s">
        <v>7672</v>
      </c>
    </row>
    <row r="3245" spans="1:8" x14ac:dyDescent="0.25">
      <c r="A3245" s="21" t="s">
        <v>7673</v>
      </c>
      <c r="B3245" s="25" t="s">
        <v>7674</v>
      </c>
      <c r="C3245" s="26">
        <v>1</v>
      </c>
      <c r="D3245" s="27" t="s">
        <v>201</v>
      </c>
      <c r="E3245" s="26">
        <v>1145.25</v>
      </c>
      <c r="F3245" s="28" t="s">
        <v>202</v>
      </c>
      <c r="G3245" s="26">
        <f t="shared" si="102"/>
        <v>1145</v>
      </c>
      <c r="H3245" t="s">
        <v>7674</v>
      </c>
    </row>
    <row r="3246" spans="1:8" x14ac:dyDescent="0.25">
      <c r="A3246" s="21" t="s">
        <v>7675</v>
      </c>
      <c r="B3246" s="25" t="s">
        <v>7676</v>
      </c>
      <c r="C3246" s="26">
        <v>1</v>
      </c>
      <c r="D3246" s="27" t="s">
        <v>201</v>
      </c>
      <c r="E3246" s="26">
        <v>1330.15</v>
      </c>
      <c r="F3246" s="28" t="s">
        <v>202</v>
      </c>
      <c r="G3246" s="26">
        <f t="shared" si="102"/>
        <v>1330</v>
      </c>
      <c r="H3246" t="s">
        <v>7676</v>
      </c>
    </row>
    <row r="3247" spans="1:8" x14ac:dyDescent="0.25">
      <c r="A3247" s="21" t="s">
        <v>7677</v>
      </c>
      <c r="B3247" s="25" t="s">
        <v>7678</v>
      </c>
      <c r="C3247" s="26">
        <v>1</v>
      </c>
      <c r="D3247" s="27" t="s">
        <v>201</v>
      </c>
      <c r="E3247" s="26">
        <v>1572</v>
      </c>
      <c r="F3247" s="28" t="s">
        <v>202</v>
      </c>
      <c r="G3247" s="26">
        <f t="shared" si="102"/>
        <v>1572</v>
      </c>
      <c r="H3247" t="s">
        <v>7678</v>
      </c>
    </row>
    <row r="3248" spans="1:8" x14ac:dyDescent="0.25">
      <c r="A3248" s="21" t="s">
        <v>7679</v>
      </c>
      <c r="B3248" s="25" t="s">
        <v>7680</v>
      </c>
      <c r="C3248" s="26">
        <v>1</v>
      </c>
      <c r="D3248" s="27" t="s">
        <v>201</v>
      </c>
      <c r="E3248" s="26">
        <v>1636.05</v>
      </c>
      <c r="F3248" s="28" t="s">
        <v>202</v>
      </c>
      <c r="G3248" s="26">
        <f t="shared" si="102"/>
        <v>1636</v>
      </c>
      <c r="H3248" t="s">
        <v>7680</v>
      </c>
    </row>
    <row r="3249" spans="1:8" ht="105" x14ac:dyDescent="0.25">
      <c r="A3249" s="21" t="s">
        <v>7681</v>
      </c>
      <c r="B3249" s="25" t="s">
        <v>7683</v>
      </c>
      <c r="C3249" s="26"/>
      <c r="D3249" s="27"/>
      <c r="E3249" s="26"/>
      <c r="F3249" s="28"/>
      <c r="G3249" s="26"/>
      <c r="H3249" t="s">
        <v>7682</v>
      </c>
    </row>
    <row r="3250" spans="1:8" x14ac:dyDescent="0.25">
      <c r="A3250" s="21" t="s">
        <v>7684</v>
      </c>
      <c r="B3250" s="25" t="s">
        <v>7597</v>
      </c>
      <c r="C3250" s="26">
        <v>1</v>
      </c>
      <c r="D3250" s="27" t="s">
        <v>201</v>
      </c>
      <c r="E3250" s="26">
        <v>92.45</v>
      </c>
      <c r="F3250" s="28" t="s">
        <v>202</v>
      </c>
      <c r="G3250" s="26">
        <f t="shared" ref="G3250:G3255" si="103">ROUND(C3250*E3250,0)</f>
        <v>92</v>
      </c>
      <c r="H3250" t="s">
        <v>7597</v>
      </c>
    </row>
    <row r="3251" spans="1:8" x14ac:dyDescent="0.25">
      <c r="A3251" s="21" t="s">
        <v>7685</v>
      </c>
      <c r="B3251" s="25" t="s">
        <v>7599</v>
      </c>
      <c r="C3251" s="26">
        <v>1</v>
      </c>
      <c r="D3251" s="27" t="s">
        <v>201</v>
      </c>
      <c r="E3251" s="26">
        <v>113.8</v>
      </c>
      <c r="F3251" s="28" t="s">
        <v>202</v>
      </c>
      <c r="G3251" s="26">
        <f t="shared" si="103"/>
        <v>114</v>
      </c>
      <c r="H3251" t="s">
        <v>7599</v>
      </c>
    </row>
    <row r="3252" spans="1:8" x14ac:dyDescent="0.25">
      <c r="A3252" s="21" t="s">
        <v>7686</v>
      </c>
      <c r="B3252" s="25" t="s">
        <v>7601</v>
      </c>
      <c r="C3252" s="26">
        <v>1</v>
      </c>
      <c r="D3252" s="27" t="s">
        <v>201</v>
      </c>
      <c r="E3252" s="26">
        <v>156.5</v>
      </c>
      <c r="F3252" s="28" t="s">
        <v>202</v>
      </c>
      <c r="G3252" s="26">
        <f t="shared" si="103"/>
        <v>157</v>
      </c>
      <c r="H3252" t="s">
        <v>7601</v>
      </c>
    </row>
    <row r="3253" spans="1:8" x14ac:dyDescent="0.25">
      <c r="A3253" s="21" t="s">
        <v>7687</v>
      </c>
      <c r="B3253" s="25" t="s">
        <v>7603</v>
      </c>
      <c r="C3253" s="26">
        <v>1</v>
      </c>
      <c r="D3253" s="27" t="s">
        <v>201</v>
      </c>
      <c r="E3253" s="26">
        <v>220.5</v>
      </c>
      <c r="F3253" s="28" t="s">
        <v>202</v>
      </c>
      <c r="G3253" s="26">
        <f t="shared" si="103"/>
        <v>221</v>
      </c>
      <c r="H3253" t="s">
        <v>7603</v>
      </c>
    </row>
    <row r="3254" spans="1:8" x14ac:dyDescent="0.25">
      <c r="A3254" s="21" t="s">
        <v>7688</v>
      </c>
      <c r="B3254" s="25" t="s">
        <v>7605</v>
      </c>
      <c r="C3254" s="26">
        <v>1</v>
      </c>
      <c r="D3254" s="27" t="s">
        <v>201</v>
      </c>
      <c r="E3254" s="26">
        <v>256.10000000000002</v>
      </c>
      <c r="F3254" s="28" t="s">
        <v>202</v>
      </c>
      <c r="G3254" s="26">
        <f t="shared" si="103"/>
        <v>256</v>
      </c>
      <c r="H3254" t="s">
        <v>7605</v>
      </c>
    </row>
    <row r="3255" spans="1:8" x14ac:dyDescent="0.25">
      <c r="A3255" s="21" t="s">
        <v>7689</v>
      </c>
      <c r="B3255" s="25" t="s">
        <v>7607</v>
      </c>
      <c r="C3255" s="26">
        <v>1</v>
      </c>
      <c r="D3255" s="27" t="s">
        <v>201</v>
      </c>
      <c r="E3255" s="26">
        <v>277.39999999999998</v>
      </c>
      <c r="F3255" s="28" t="s">
        <v>202</v>
      </c>
      <c r="G3255" s="26">
        <f t="shared" si="103"/>
        <v>277</v>
      </c>
      <c r="H3255" t="s">
        <v>7607</v>
      </c>
    </row>
    <row r="3256" spans="1:8" ht="90" x14ac:dyDescent="0.25">
      <c r="A3256" s="21" t="s">
        <v>7690</v>
      </c>
      <c r="B3256" s="25" t="s">
        <v>7692</v>
      </c>
      <c r="C3256" s="26"/>
      <c r="D3256" s="27"/>
      <c r="E3256" s="26"/>
      <c r="F3256" s="28"/>
      <c r="G3256" s="26"/>
      <c r="H3256" t="s">
        <v>7691</v>
      </c>
    </row>
    <row r="3257" spans="1:8" x14ac:dyDescent="0.25">
      <c r="A3257" s="21" t="s">
        <v>7693</v>
      </c>
      <c r="B3257" s="25" t="s">
        <v>7611</v>
      </c>
      <c r="C3257" s="26">
        <v>1</v>
      </c>
      <c r="D3257" s="27" t="s">
        <v>201</v>
      </c>
      <c r="E3257" s="26">
        <v>597.5</v>
      </c>
      <c r="F3257" s="28" t="s">
        <v>202</v>
      </c>
      <c r="G3257" s="26">
        <f t="shared" ref="G3257:G3262" si="104">ROUND(C3257*E3257,0)</f>
        <v>598</v>
      </c>
      <c r="H3257" t="s">
        <v>7611</v>
      </c>
    </row>
    <row r="3258" spans="1:8" x14ac:dyDescent="0.25">
      <c r="A3258" s="21" t="s">
        <v>7694</v>
      </c>
      <c r="B3258" s="25" t="s">
        <v>7613</v>
      </c>
      <c r="C3258" s="26">
        <v>1</v>
      </c>
      <c r="D3258" s="27" t="s">
        <v>201</v>
      </c>
      <c r="E3258" s="26">
        <v>711.3</v>
      </c>
      <c r="F3258" s="28" t="s">
        <v>202</v>
      </c>
      <c r="G3258" s="26">
        <f t="shared" si="104"/>
        <v>711</v>
      </c>
      <c r="H3258" t="s">
        <v>7613</v>
      </c>
    </row>
    <row r="3259" spans="1:8" x14ac:dyDescent="0.25">
      <c r="A3259" s="21" t="s">
        <v>7695</v>
      </c>
      <c r="B3259" s="25" t="s">
        <v>7615</v>
      </c>
      <c r="C3259" s="26">
        <v>1</v>
      </c>
      <c r="D3259" s="27" t="s">
        <v>201</v>
      </c>
      <c r="E3259" s="26">
        <v>825.15</v>
      </c>
      <c r="F3259" s="28" t="s">
        <v>202</v>
      </c>
      <c r="G3259" s="26">
        <f t="shared" si="104"/>
        <v>825</v>
      </c>
      <c r="H3259" t="s">
        <v>7615</v>
      </c>
    </row>
    <row r="3260" spans="1:8" x14ac:dyDescent="0.25">
      <c r="A3260" s="21" t="s">
        <v>7696</v>
      </c>
      <c r="B3260" s="25" t="s">
        <v>7617</v>
      </c>
      <c r="C3260" s="26">
        <v>1</v>
      </c>
      <c r="D3260" s="27" t="s">
        <v>201</v>
      </c>
      <c r="E3260" s="26">
        <v>917.6</v>
      </c>
      <c r="F3260" s="28" t="s">
        <v>202</v>
      </c>
      <c r="G3260" s="26">
        <f t="shared" si="104"/>
        <v>918</v>
      </c>
      <c r="H3260" t="s">
        <v>7617</v>
      </c>
    </row>
    <row r="3261" spans="1:8" x14ac:dyDescent="0.25">
      <c r="A3261" s="21" t="s">
        <v>7697</v>
      </c>
      <c r="B3261" s="25" t="s">
        <v>7619</v>
      </c>
      <c r="C3261" s="26">
        <v>1</v>
      </c>
      <c r="D3261" s="27" t="s">
        <v>201</v>
      </c>
      <c r="E3261" s="26">
        <v>1066.95</v>
      </c>
      <c r="F3261" s="28" t="s">
        <v>202</v>
      </c>
      <c r="G3261" s="26">
        <f t="shared" si="104"/>
        <v>1067</v>
      </c>
      <c r="H3261" t="s">
        <v>7619</v>
      </c>
    </row>
    <row r="3262" spans="1:8" x14ac:dyDescent="0.25">
      <c r="A3262" s="21" t="s">
        <v>7698</v>
      </c>
      <c r="B3262" s="25" t="s">
        <v>7621</v>
      </c>
      <c r="C3262" s="26">
        <v>1</v>
      </c>
      <c r="D3262" s="27" t="s">
        <v>201</v>
      </c>
      <c r="E3262" s="26">
        <v>1515.1</v>
      </c>
      <c r="F3262" s="28" t="s">
        <v>202</v>
      </c>
      <c r="G3262" s="26">
        <f t="shared" si="104"/>
        <v>1515</v>
      </c>
      <c r="H3262" t="s">
        <v>7621</v>
      </c>
    </row>
    <row r="3263" spans="1:8" ht="105" x14ac:dyDescent="0.25">
      <c r="A3263" s="21" t="s">
        <v>7699</v>
      </c>
      <c r="B3263" s="25" t="s">
        <v>7701</v>
      </c>
      <c r="C3263" s="26"/>
      <c r="D3263" s="27"/>
      <c r="E3263" s="26"/>
      <c r="F3263" s="28"/>
      <c r="G3263" s="26"/>
      <c r="H3263" t="s">
        <v>7700</v>
      </c>
    </row>
    <row r="3264" spans="1:8" x14ac:dyDescent="0.25">
      <c r="A3264" s="21" t="s">
        <v>7702</v>
      </c>
      <c r="B3264" s="25" t="s">
        <v>7597</v>
      </c>
      <c r="C3264" s="26">
        <v>1</v>
      </c>
      <c r="D3264" s="27" t="s">
        <v>201</v>
      </c>
      <c r="E3264" s="26">
        <v>99.6</v>
      </c>
      <c r="F3264" s="28" t="s">
        <v>202</v>
      </c>
      <c r="G3264" s="26">
        <f t="shared" ref="G3264:G3269" si="105">ROUND(C3264*E3264,0)</f>
        <v>100</v>
      </c>
      <c r="H3264" t="s">
        <v>7597</v>
      </c>
    </row>
    <row r="3265" spans="1:8" x14ac:dyDescent="0.25">
      <c r="A3265" s="21" t="s">
        <v>7703</v>
      </c>
      <c r="B3265" s="25" t="s">
        <v>7599</v>
      </c>
      <c r="C3265" s="26">
        <v>1</v>
      </c>
      <c r="D3265" s="27" t="s">
        <v>201</v>
      </c>
      <c r="E3265" s="26">
        <v>113.8</v>
      </c>
      <c r="F3265" s="28" t="s">
        <v>202</v>
      </c>
      <c r="G3265" s="26">
        <f t="shared" si="105"/>
        <v>114</v>
      </c>
      <c r="H3265" t="s">
        <v>7599</v>
      </c>
    </row>
    <row r="3266" spans="1:8" x14ac:dyDescent="0.25">
      <c r="A3266" s="21" t="s">
        <v>7704</v>
      </c>
      <c r="B3266" s="25" t="s">
        <v>7601</v>
      </c>
      <c r="C3266" s="26">
        <v>1</v>
      </c>
      <c r="D3266" s="27" t="s">
        <v>201</v>
      </c>
      <c r="E3266" s="26">
        <v>163.6</v>
      </c>
      <c r="F3266" s="28" t="s">
        <v>202</v>
      </c>
      <c r="G3266" s="26">
        <f t="shared" si="105"/>
        <v>164</v>
      </c>
      <c r="H3266" t="s">
        <v>7601</v>
      </c>
    </row>
    <row r="3267" spans="1:8" x14ac:dyDescent="0.25">
      <c r="A3267" s="21" t="s">
        <v>7705</v>
      </c>
      <c r="B3267" s="25" t="s">
        <v>7603</v>
      </c>
      <c r="C3267" s="26">
        <v>1</v>
      </c>
      <c r="D3267" s="27" t="s">
        <v>201</v>
      </c>
      <c r="E3267" s="26">
        <v>204.85</v>
      </c>
      <c r="F3267" s="28" t="s">
        <v>202</v>
      </c>
      <c r="G3267" s="26">
        <f t="shared" si="105"/>
        <v>205</v>
      </c>
      <c r="H3267" t="s">
        <v>7603</v>
      </c>
    </row>
    <row r="3268" spans="1:8" x14ac:dyDescent="0.25">
      <c r="A3268" s="21" t="s">
        <v>7706</v>
      </c>
      <c r="B3268" s="25" t="s">
        <v>7605</v>
      </c>
      <c r="C3268" s="26">
        <v>1</v>
      </c>
      <c r="D3268" s="27" t="s">
        <v>201</v>
      </c>
      <c r="E3268" s="26">
        <v>221.95</v>
      </c>
      <c r="F3268" s="28" t="s">
        <v>202</v>
      </c>
      <c r="G3268" s="26">
        <f t="shared" si="105"/>
        <v>222</v>
      </c>
      <c r="H3268" t="s">
        <v>7605</v>
      </c>
    </row>
    <row r="3269" spans="1:8" x14ac:dyDescent="0.25">
      <c r="A3269" s="21" t="s">
        <v>7707</v>
      </c>
      <c r="B3269" s="25" t="s">
        <v>7607</v>
      </c>
      <c r="C3269" s="26">
        <v>1</v>
      </c>
      <c r="D3269" s="27" t="s">
        <v>201</v>
      </c>
      <c r="E3269" s="26">
        <v>273.14999999999998</v>
      </c>
      <c r="F3269" s="28" t="s">
        <v>202</v>
      </c>
      <c r="G3269" s="26">
        <f t="shared" si="105"/>
        <v>273</v>
      </c>
      <c r="H3269" t="s">
        <v>7607</v>
      </c>
    </row>
    <row r="3270" spans="1:8" ht="90" x14ac:dyDescent="0.25">
      <c r="A3270" s="21" t="s">
        <v>7708</v>
      </c>
      <c r="B3270" s="25" t="s">
        <v>7710</v>
      </c>
      <c r="C3270" s="26"/>
      <c r="D3270" s="27"/>
      <c r="E3270" s="26"/>
      <c r="F3270" s="28"/>
      <c r="G3270" s="26"/>
      <c r="H3270" t="s">
        <v>7709</v>
      </c>
    </row>
    <row r="3271" spans="1:8" x14ac:dyDescent="0.25">
      <c r="A3271" s="21" t="s">
        <v>7711</v>
      </c>
      <c r="B3271" s="25" t="s">
        <v>7611</v>
      </c>
      <c r="C3271" s="26">
        <v>1</v>
      </c>
      <c r="D3271" s="27" t="s">
        <v>201</v>
      </c>
      <c r="E3271" s="26">
        <v>483.7</v>
      </c>
      <c r="F3271" s="28" t="s">
        <v>202</v>
      </c>
      <c r="G3271" s="26">
        <f t="shared" ref="G3271:G3276" si="106">ROUND(C3271*E3271,0)</f>
        <v>484</v>
      </c>
      <c r="H3271" t="s">
        <v>7611</v>
      </c>
    </row>
    <row r="3272" spans="1:8" x14ac:dyDescent="0.25">
      <c r="A3272" s="21" t="s">
        <v>7712</v>
      </c>
      <c r="B3272" s="25" t="s">
        <v>7613</v>
      </c>
      <c r="C3272" s="26">
        <v>1</v>
      </c>
      <c r="D3272" s="27" t="s">
        <v>201</v>
      </c>
      <c r="E3272" s="26">
        <v>682.85</v>
      </c>
      <c r="F3272" s="28" t="s">
        <v>202</v>
      </c>
      <c r="G3272" s="26">
        <f t="shared" si="106"/>
        <v>683</v>
      </c>
      <c r="H3272" t="s">
        <v>7613</v>
      </c>
    </row>
    <row r="3273" spans="1:8" x14ac:dyDescent="0.25">
      <c r="A3273" s="21" t="s">
        <v>7713</v>
      </c>
      <c r="B3273" s="25" t="s">
        <v>7615</v>
      </c>
      <c r="C3273" s="26">
        <v>1</v>
      </c>
      <c r="D3273" s="27" t="s">
        <v>201</v>
      </c>
      <c r="E3273" s="26">
        <v>910.5</v>
      </c>
      <c r="F3273" s="28" t="s">
        <v>202</v>
      </c>
      <c r="G3273" s="26">
        <f t="shared" si="106"/>
        <v>911</v>
      </c>
      <c r="H3273" t="s">
        <v>7615</v>
      </c>
    </row>
    <row r="3274" spans="1:8" x14ac:dyDescent="0.25">
      <c r="A3274" s="21" t="s">
        <v>7714</v>
      </c>
      <c r="B3274" s="25" t="s">
        <v>7617</v>
      </c>
      <c r="C3274" s="26">
        <v>1</v>
      </c>
      <c r="D3274" s="27" t="s">
        <v>201</v>
      </c>
      <c r="E3274" s="26">
        <v>1493.75</v>
      </c>
      <c r="F3274" s="28" t="s">
        <v>202</v>
      </c>
      <c r="G3274" s="26">
        <f t="shared" si="106"/>
        <v>1494</v>
      </c>
      <c r="H3274" t="s">
        <v>7617</v>
      </c>
    </row>
    <row r="3275" spans="1:8" x14ac:dyDescent="0.25">
      <c r="A3275" s="21" t="s">
        <v>7715</v>
      </c>
      <c r="B3275" s="25" t="s">
        <v>7619</v>
      </c>
      <c r="C3275" s="26">
        <v>1</v>
      </c>
      <c r="D3275" s="27" t="s">
        <v>201</v>
      </c>
      <c r="E3275" s="26">
        <v>2418.5</v>
      </c>
      <c r="F3275" s="28" t="s">
        <v>202</v>
      </c>
      <c r="G3275" s="26">
        <f t="shared" si="106"/>
        <v>2419</v>
      </c>
      <c r="H3275" t="s">
        <v>7619</v>
      </c>
    </row>
    <row r="3276" spans="1:8" x14ac:dyDescent="0.25">
      <c r="A3276" s="21" t="s">
        <v>7716</v>
      </c>
      <c r="B3276" s="25" t="s">
        <v>7621</v>
      </c>
      <c r="C3276" s="26">
        <v>1</v>
      </c>
      <c r="D3276" s="27" t="s">
        <v>201</v>
      </c>
      <c r="E3276" s="26">
        <v>3200.95</v>
      </c>
      <c r="F3276" s="28" t="s">
        <v>202</v>
      </c>
      <c r="G3276" s="26">
        <f t="shared" si="106"/>
        <v>3201</v>
      </c>
      <c r="H3276" t="s">
        <v>7621</v>
      </c>
    </row>
    <row r="3277" spans="1:8" ht="105" x14ac:dyDescent="0.25">
      <c r="A3277" s="21" t="s">
        <v>7717</v>
      </c>
      <c r="B3277" s="25" t="s">
        <v>7719</v>
      </c>
      <c r="C3277" s="26"/>
      <c r="D3277" s="27"/>
      <c r="E3277" s="26"/>
      <c r="F3277" s="28"/>
      <c r="G3277" s="26"/>
      <c r="H3277" t="s">
        <v>7718</v>
      </c>
    </row>
    <row r="3278" spans="1:8" x14ac:dyDescent="0.25">
      <c r="A3278" s="21" t="s">
        <v>7720</v>
      </c>
      <c r="B3278" s="25" t="s">
        <v>7627</v>
      </c>
      <c r="C3278" s="26">
        <v>1</v>
      </c>
      <c r="D3278" s="27" t="s">
        <v>201</v>
      </c>
      <c r="E3278" s="26">
        <v>223.35</v>
      </c>
      <c r="F3278" s="28" t="s">
        <v>202</v>
      </c>
      <c r="G3278" s="26">
        <f t="shared" ref="G3278:G3283" si="107">ROUND(C3278*E3278,0)</f>
        <v>223</v>
      </c>
      <c r="H3278" t="s">
        <v>7627</v>
      </c>
    </row>
    <row r="3279" spans="1:8" x14ac:dyDescent="0.25">
      <c r="A3279" s="21" t="s">
        <v>7721</v>
      </c>
      <c r="B3279" s="25" t="s">
        <v>7629</v>
      </c>
      <c r="C3279" s="26">
        <v>1</v>
      </c>
      <c r="D3279" s="27" t="s">
        <v>201</v>
      </c>
      <c r="E3279" s="26">
        <v>304.45</v>
      </c>
      <c r="F3279" s="28" t="s">
        <v>202</v>
      </c>
      <c r="G3279" s="26">
        <f t="shared" si="107"/>
        <v>304</v>
      </c>
      <c r="H3279" t="s">
        <v>7629</v>
      </c>
    </row>
    <row r="3280" spans="1:8" x14ac:dyDescent="0.25">
      <c r="A3280" s="21" t="s">
        <v>7722</v>
      </c>
      <c r="B3280" s="25" t="s">
        <v>7631</v>
      </c>
      <c r="C3280" s="26">
        <v>1</v>
      </c>
      <c r="D3280" s="27" t="s">
        <v>201</v>
      </c>
      <c r="E3280" s="26">
        <v>318.64999999999998</v>
      </c>
      <c r="F3280" s="28" t="s">
        <v>202</v>
      </c>
      <c r="G3280" s="26">
        <f t="shared" si="107"/>
        <v>319</v>
      </c>
      <c r="H3280" t="s">
        <v>7631</v>
      </c>
    </row>
    <row r="3281" spans="1:8" x14ac:dyDescent="0.25">
      <c r="A3281" s="21" t="s">
        <v>7723</v>
      </c>
      <c r="B3281" s="25" t="s">
        <v>7635</v>
      </c>
      <c r="C3281" s="26">
        <v>1</v>
      </c>
      <c r="D3281" s="27" t="s">
        <v>201</v>
      </c>
      <c r="E3281" s="26">
        <v>426.8</v>
      </c>
      <c r="F3281" s="28" t="s">
        <v>202</v>
      </c>
      <c r="G3281" s="26">
        <f t="shared" si="107"/>
        <v>427</v>
      </c>
      <c r="H3281" t="s">
        <v>7635</v>
      </c>
    </row>
    <row r="3282" spans="1:8" x14ac:dyDescent="0.25">
      <c r="A3282" s="21" t="s">
        <v>7724</v>
      </c>
      <c r="B3282" s="25" t="s">
        <v>7637</v>
      </c>
      <c r="C3282" s="26">
        <v>1</v>
      </c>
      <c r="D3282" s="27" t="s">
        <v>201</v>
      </c>
      <c r="E3282" s="26">
        <v>512.15</v>
      </c>
      <c r="F3282" s="28" t="s">
        <v>202</v>
      </c>
      <c r="G3282" s="26">
        <f t="shared" si="107"/>
        <v>512</v>
      </c>
      <c r="H3282" t="s">
        <v>7637</v>
      </c>
    </row>
    <row r="3283" spans="1:8" x14ac:dyDescent="0.25">
      <c r="A3283" s="21" t="s">
        <v>7725</v>
      </c>
      <c r="B3283" s="25" t="s">
        <v>7645</v>
      </c>
      <c r="C3283" s="26">
        <v>1</v>
      </c>
      <c r="D3283" s="27" t="s">
        <v>201</v>
      </c>
      <c r="E3283" s="26">
        <v>554.79999999999995</v>
      </c>
      <c r="F3283" s="28" t="s">
        <v>202</v>
      </c>
      <c r="G3283" s="26">
        <f t="shared" si="107"/>
        <v>555</v>
      </c>
      <c r="H3283" t="s">
        <v>7645</v>
      </c>
    </row>
    <row r="3284" spans="1:8" ht="90" x14ac:dyDescent="0.25">
      <c r="A3284" s="21" t="s">
        <v>7726</v>
      </c>
      <c r="B3284" s="25" t="s">
        <v>7728</v>
      </c>
      <c r="C3284" s="26"/>
      <c r="D3284" s="27"/>
      <c r="E3284" s="26"/>
      <c r="F3284" s="28"/>
      <c r="G3284" s="26"/>
      <c r="H3284" t="s">
        <v>7727</v>
      </c>
    </row>
    <row r="3285" spans="1:8" x14ac:dyDescent="0.25">
      <c r="A3285" s="21" t="s">
        <v>7729</v>
      </c>
      <c r="B3285" s="25" t="s">
        <v>7597</v>
      </c>
      <c r="C3285" s="26">
        <v>1</v>
      </c>
      <c r="D3285" s="27" t="s">
        <v>201</v>
      </c>
      <c r="E3285" s="26">
        <v>197.75</v>
      </c>
      <c r="F3285" s="28" t="s">
        <v>202</v>
      </c>
      <c r="G3285" s="26">
        <f t="shared" ref="G3285:G3290" si="108">ROUND(C3285*E3285,0)</f>
        <v>198</v>
      </c>
      <c r="H3285" t="s">
        <v>7597</v>
      </c>
    </row>
    <row r="3286" spans="1:8" x14ac:dyDescent="0.25">
      <c r="A3286" s="21" t="s">
        <v>7730</v>
      </c>
      <c r="B3286" s="25" t="s">
        <v>7599</v>
      </c>
      <c r="C3286" s="26">
        <v>1</v>
      </c>
      <c r="D3286" s="27" t="s">
        <v>201</v>
      </c>
      <c r="E3286" s="26">
        <v>300.2</v>
      </c>
      <c r="F3286" s="28" t="s">
        <v>202</v>
      </c>
      <c r="G3286" s="26">
        <f t="shared" si="108"/>
        <v>300</v>
      </c>
      <c r="H3286" t="s">
        <v>7599</v>
      </c>
    </row>
    <row r="3287" spans="1:8" x14ac:dyDescent="0.25">
      <c r="A3287" s="21" t="s">
        <v>7731</v>
      </c>
      <c r="B3287" s="25" t="s">
        <v>7601</v>
      </c>
      <c r="C3287" s="26">
        <v>1</v>
      </c>
      <c r="D3287" s="27" t="s">
        <v>201</v>
      </c>
      <c r="E3287" s="26">
        <v>466.6</v>
      </c>
      <c r="F3287" s="28" t="s">
        <v>202</v>
      </c>
      <c r="G3287" s="26">
        <f t="shared" si="108"/>
        <v>467</v>
      </c>
      <c r="H3287" t="s">
        <v>7601</v>
      </c>
    </row>
    <row r="3288" spans="1:8" x14ac:dyDescent="0.25">
      <c r="A3288" s="21" t="s">
        <v>7732</v>
      </c>
      <c r="B3288" s="25" t="s">
        <v>7733</v>
      </c>
      <c r="C3288" s="26">
        <v>1</v>
      </c>
      <c r="D3288" s="27" t="s">
        <v>201</v>
      </c>
      <c r="E3288" s="26">
        <v>688.55</v>
      </c>
      <c r="F3288" s="28" t="s">
        <v>202</v>
      </c>
      <c r="G3288" s="26">
        <f t="shared" si="108"/>
        <v>689</v>
      </c>
      <c r="H3288" t="s">
        <v>7733</v>
      </c>
    </row>
    <row r="3289" spans="1:8" x14ac:dyDescent="0.25">
      <c r="A3289" s="21" t="s">
        <v>7734</v>
      </c>
      <c r="B3289" s="25" t="s">
        <v>7605</v>
      </c>
      <c r="C3289" s="26">
        <v>1</v>
      </c>
      <c r="D3289" s="27" t="s">
        <v>201</v>
      </c>
      <c r="E3289" s="26">
        <v>1088.3</v>
      </c>
      <c r="F3289" s="28" t="s">
        <v>202</v>
      </c>
      <c r="G3289" s="26">
        <f t="shared" si="108"/>
        <v>1088</v>
      </c>
      <c r="H3289" t="s">
        <v>7605</v>
      </c>
    </row>
    <row r="3290" spans="1:8" x14ac:dyDescent="0.25">
      <c r="A3290" s="21" t="s">
        <v>7735</v>
      </c>
      <c r="B3290" s="25" t="s">
        <v>7607</v>
      </c>
      <c r="C3290" s="26">
        <v>1</v>
      </c>
      <c r="D3290" s="27" t="s">
        <v>201</v>
      </c>
      <c r="E3290" s="26">
        <v>1429.75</v>
      </c>
      <c r="F3290" s="28" t="s">
        <v>202</v>
      </c>
      <c r="G3290" s="26">
        <f t="shared" si="108"/>
        <v>1430</v>
      </c>
      <c r="H3290" t="s">
        <v>7607</v>
      </c>
    </row>
    <row r="3291" spans="1:8" ht="90" x14ac:dyDescent="0.25">
      <c r="A3291" s="21" t="s">
        <v>7736</v>
      </c>
      <c r="B3291" s="25" t="s">
        <v>7738</v>
      </c>
      <c r="C3291" s="26"/>
      <c r="D3291" s="27"/>
      <c r="E3291" s="26"/>
      <c r="F3291" s="28"/>
      <c r="G3291" s="26"/>
      <c r="H3291" t="s">
        <v>7737</v>
      </c>
    </row>
    <row r="3292" spans="1:8" x14ac:dyDescent="0.25">
      <c r="A3292" s="21" t="s">
        <v>7739</v>
      </c>
      <c r="B3292" s="25" t="s">
        <v>7611</v>
      </c>
      <c r="C3292" s="26">
        <v>1</v>
      </c>
      <c r="D3292" s="27" t="s">
        <v>201</v>
      </c>
      <c r="E3292" s="26">
        <v>796.7</v>
      </c>
      <c r="F3292" s="28" t="s">
        <v>202</v>
      </c>
      <c r="G3292" s="26">
        <f t="shared" ref="G3292:G3297" si="109">ROUND(C3292*E3292,0)</f>
        <v>797</v>
      </c>
      <c r="H3292" t="s">
        <v>7611</v>
      </c>
    </row>
    <row r="3293" spans="1:8" x14ac:dyDescent="0.25">
      <c r="A3293" s="21" t="s">
        <v>7740</v>
      </c>
      <c r="B3293" s="25" t="s">
        <v>7613</v>
      </c>
      <c r="C3293" s="26">
        <v>1</v>
      </c>
      <c r="D3293" s="27" t="s">
        <v>201</v>
      </c>
      <c r="E3293" s="26">
        <v>931.85</v>
      </c>
      <c r="F3293" s="28" t="s">
        <v>202</v>
      </c>
      <c r="G3293" s="26">
        <f t="shared" si="109"/>
        <v>932</v>
      </c>
      <c r="H3293" t="s">
        <v>7613</v>
      </c>
    </row>
    <row r="3294" spans="1:8" x14ac:dyDescent="0.25">
      <c r="A3294" s="21" t="s">
        <v>7741</v>
      </c>
      <c r="B3294" s="25" t="s">
        <v>7615</v>
      </c>
      <c r="C3294" s="26">
        <v>1</v>
      </c>
      <c r="D3294" s="27" t="s">
        <v>201</v>
      </c>
      <c r="E3294" s="26">
        <v>1145.25</v>
      </c>
      <c r="F3294" s="28" t="s">
        <v>202</v>
      </c>
      <c r="G3294" s="26">
        <f t="shared" si="109"/>
        <v>1145</v>
      </c>
      <c r="H3294" t="s">
        <v>7615</v>
      </c>
    </row>
    <row r="3295" spans="1:8" x14ac:dyDescent="0.25">
      <c r="A3295" s="21" t="s">
        <v>7742</v>
      </c>
      <c r="B3295" s="25" t="s">
        <v>7617</v>
      </c>
      <c r="C3295" s="26">
        <v>1</v>
      </c>
      <c r="D3295" s="27" t="s">
        <v>201</v>
      </c>
      <c r="E3295" s="26">
        <v>1422.65</v>
      </c>
      <c r="F3295" s="28" t="s">
        <v>202</v>
      </c>
      <c r="G3295" s="26">
        <f t="shared" si="109"/>
        <v>1423</v>
      </c>
      <c r="H3295" t="s">
        <v>7617</v>
      </c>
    </row>
    <row r="3296" spans="1:8" x14ac:dyDescent="0.25">
      <c r="A3296" s="21" t="s">
        <v>7743</v>
      </c>
      <c r="B3296" s="25" t="s">
        <v>7619</v>
      </c>
      <c r="C3296" s="26">
        <v>1</v>
      </c>
      <c r="D3296" s="27" t="s">
        <v>201</v>
      </c>
      <c r="E3296" s="26">
        <v>1991.7</v>
      </c>
      <c r="F3296" s="28" t="s">
        <v>202</v>
      </c>
      <c r="G3296" s="26">
        <f t="shared" si="109"/>
        <v>1992</v>
      </c>
      <c r="H3296" t="s">
        <v>7619</v>
      </c>
    </row>
    <row r="3297" spans="1:8" x14ac:dyDescent="0.25">
      <c r="A3297" s="21" t="s">
        <v>7744</v>
      </c>
      <c r="B3297" s="25" t="s">
        <v>7621</v>
      </c>
      <c r="C3297" s="26">
        <v>1</v>
      </c>
      <c r="D3297" s="27" t="s">
        <v>201</v>
      </c>
      <c r="E3297" s="26">
        <v>2390.0500000000002</v>
      </c>
      <c r="F3297" s="28" t="s">
        <v>202</v>
      </c>
      <c r="G3297" s="26">
        <f t="shared" si="109"/>
        <v>2390</v>
      </c>
      <c r="H3297" t="s">
        <v>7621</v>
      </c>
    </row>
    <row r="3298" spans="1:8" ht="90" x14ac:dyDescent="0.25">
      <c r="A3298" s="21" t="s">
        <v>7745</v>
      </c>
      <c r="B3298" s="25" t="s">
        <v>7747</v>
      </c>
      <c r="C3298" s="26"/>
      <c r="D3298" s="27"/>
      <c r="E3298" s="26"/>
      <c r="F3298" s="28"/>
      <c r="G3298" s="26"/>
      <c r="H3298" t="s">
        <v>7746</v>
      </c>
    </row>
    <row r="3299" spans="1:8" x14ac:dyDescent="0.25">
      <c r="A3299" s="21" t="s">
        <v>7748</v>
      </c>
      <c r="B3299" s="25" t="s">
        <v>7627</v>
      </c>
      <c r="C3299" s="26">
        <v>1</v>
      </c>
      <c r="D3299" s="27" t="s">
        <v>201</v>
      </c>
      <c r="E3299" s="26">
        <v>268.85000000000002</v>
      </c>
      <c r="F3299" s="28" t="s">
        <v>202</v>
      </c>
      <c r="G3299" s="26">
        <f t="shared" ref="G3299:G3313" si="110">ROUND(C3299*E3299,0)</f>
        <v>269</v>
      </c>
      <c r="H3299" t="s">
        <v>7627</v>
      </c>
    </row>
    <row r="3300" spans="1:8" x14ac:dyDescent="0.25">
      <c r="A3300" s="21" t="s">
        <v>7749</v>
      </c>
      <c r="B3300" s="25" t="s">
        <v>7629</v>
      </c>
      <c r="C3300" s="26">
        <v>1</v>
      </c>
      <c r="D3300" s="27" t="s">
        <v>201</v>
      </c>
      <c r="E3300" s="26">
        <v>357.1</v>
      </c>
      <c r="F3300" s="28" t="s">
        <v>202</v>
      </c>
      <c r="G3300" s="26">
        <f t="shared" si="110"/>
        <v>357</v>
      </c>
      <c r="H3300" t="s">
        <v>7629</v>
      </c>
    </row>
    <row r="3301" spans="1:8" x14ac:dyDescent="0.25">
      <c r="A3301" s="21" t="s">
        <v>7750</v>
      </c>
      <c r="B3301" s="25" t="s">
        <v>7631</v>
      </c>
      <c r="C3301" s="26">
        <v>1</v>
      </c>
      <c r="D3301" s="27" t="s">
        <v>201</v>
      </c>
      <c r="E3301" s="26">
        <v>362.75</v>
      </c>
      <c r="F3301" s="28" t="s">
        <v>202</v>
      </c>
      <c r="G3301" s="26">
        <f t="shared" si="110"/>
        <v>363</v>
      </c>
      <c r="H3301" t="s">
        <v>7631</v>
      </c>
    </row>
    <row r="3302" spans="1:8" x14ac:dyDescent="0.25">
      <c r="A3302" s="21" t="s">
        <v>7751</v>
      </c>
      <c r="B3302" s="25" t="s">
        <v>7633</v>
      </c>
      <c r="C3302" s="26">
        <v>1</v>
      </c>
      <c r="D3302" s="27" t="s">
        <v>201</v>
      </c>
      <c r="E3302" s="26">
        <v>633.1</v>
      </c>
      <c r="F3302" s="28" t="s">
        <v>202</v>
      </c>
      <c r="G3302" s="26">
        <f t="shared" si="110"/>
        <v>633</v>
      </c>
      <c r="H3302" t="s">
        <v>7633</v>
      </c>
    </row>
    <row r="3303" spans="1:8" x14ac:dyDescent="0.25">
      <c r="A3303" s="21" t="s">
        <v>7752</v>
      </c>
      <c r="B3303" s="25" t="s">
        <v>7635</v>
      </c>
      <c r="C3303" s="26">
        <v>1</v>
      </c>
      <c r="D3303" s="27" t="s">
        <v>201</v>
      </c>
      <c r="E3303" s="26">
        <v>654.4</v>
      </c>
      <c r="F3303" s="28" t="s">
        <v>202</v>
      </c>
      <c r="G3303" s="26">
        <f t="shared" si="110"/>
        <v>654</v>
      </c>
      <c r="H3303" t="s">
        <v>7635</v>
      </c>
    </row>
    <row r="3304" spans="1:8" x14ac:dyDescent="0.25">
      <c r="A3304" s="21" t="s">
        <v>7753</v>
      </c>
      <c r="B3304" s="25" t="s">
        <v>7637</v>
      </c>
      <c r="C3304" s="26">
        <v>1</v>
      </c>
      <c r="D3304" s="27" t="s">
        <v>201</v>
      </c>
      <c r="E3304" s="26">
        <v>675.75</v>
      </c>
      <c r="F3304" s="28" t="s">
        <v>202</v>
      </c>
      <c r="G3304" s="26">
        <f t="shared" si="110"/>
        <v>676</v>
      </c>
      <c r="H3304" t="s">
        <v>7637</v>
      </c>
    </row>
    <row r="3305" spans="1:8" x14ac:dyDescent="0.25">
      <c r="A3305" s="21" t="s">
        <v>7754</v>
      </c>
      <c r="B3305" s="25" t="s">
        <v>7639</v>
      </c>
      <c r="C3305" s="26">
        <v>1</v>
      </c>
      <c r="D3305" s="27" t="s">
        <v>201</v>
      </c>
      <c r="E3305" s="26">
        <v>1045.6500000000001</v>
      </c>
      <c r="F3305" s="28" t="s">
        <v>202</v>
      </c>
      <c r="G3305" s="26">
        <f t="shared" si="110"/>
        <v>1046</v>
      </c>
      <c r="H3305" t="s">
        <v>7639</v>
      </c>
    </row>
    <row r="3306" spans="1:8" x14ac:dyDescent="0.25">
      <c r="A3306" s="21" t="s">
        <v>7755</v>
      </c>
      <c r="B3306" s="25" t="s">
        <v>7641</v>
      </c>
      <c r="C3306" s="26">
        <v>1</v>
      </c>
      <c r="D3306" s="27" t="s">
        <v>201</v>
      </c>
      <c r="E3306" s="26">
        <v>1066.95</v>
      </c>
      <c r="F3306" s="28" t="s">
        <v>202</v>
      </c>
      <c r="G3306" s="26">
        <f t="shared" si="110"/>
        <v>1067</v>
      </c>
      <c r="H3306" t="s">
        <v>7641</v>
      </c>
    </row>
    <row r="3307" spans="1:8" x14ac:dyDescent="0.25">
      <c r="A3307" s="21" t="s">
        <v>7756</v>
      </c>
      <c r="B3307" s="25" t="s">
        <v>7643</v>
      </c>
      <c r="C3307" s="26">
        <v>1</v>
      </c>
      <c r="D3307" s="27" t="s">
        <v>201</v>
      </c>
      <c r="E3307" s="26">
        <v>1095.45</v>
      </c>
      <c r="F3307" s="28" t="s">
        <v>202</v>
      </c>
      <c r="G3307" s="26">
        <f t="shared" si="110"/>
        <v>1095</v>
      </c>
      <c r="H3307" t="s">
        <v>7643</v>
      </c>
    </row>
    <row r="3308" spans="1:8" x14ac:dyDescent="0.25">
      <c r="A3308" s="21" t="s">
        <v>7757</v>
      </c>
      <c r="B3308" s="25" t="s">
        <v>7645</v>
      </c>
      <c r="C3308" s="26">
        <v>1</v>
      </c>
      <c r="D3308" s="27" t="s">
        <v>201</v>
      </c>
      <c r="E3308" s="26">
        <v>1123.9000000000001</v>
      </c>
      <c r="F3308" s="28" t="s">
        <v>202</v>
      </c>
      <c r="G3308" s="26">
        <f t="shared" si="110"/>
        <v>1124</v>
      </c>
      <c r="H3308" t="s">
        <v>7645</v>
      </c>
    </row>
    <row r="3309" spans="1:8" x14ac:dyDescent="0.25">
      <c r="A3309" s="21" t="s">
        <v>7758</v>
      </c>
      <c r="B3309" s="25" t="s">
        <v>7647</v>
      </c>
      <c r="C3309" s="26">
        <v>1</v>
      </c>
      <c r="D3309" s="27" t="s">
        <v>201</v>
      </c>
      <c r="E3309" s="26">
        <v>1280.3499999999999</v>
      </c>
      <c r="F3309" s="28" t="s">
        <v>202</v>
      </c>
      <c r="G3309" s="26">
        <f t="shared" si="110"/>
        <v>1280</v>
      </c>
      <c r="H3309" t="s">
        <v>7647</v>
      </c>
    </row>
    <row r="3310" spans="1:8" x14ac:dyDescent="0.25">
      <c r="A3310" s="21" t="s">
        <v>7759</v>
      </c>
      <c r="B3310" s="25" t="s">
        <v>7649</v>
      </c>
      <c r="C3310" s="26">
        <v>1</v>
      </c>
      <c r="D3310" s="27" t="s">
        <v>201</v>
      </c>
      <c r="E3310" s="26">
        <v>1296</v>
      </c>
      <c r="F3310" s="28" t="s">
        <v>202</v>
      </c>
      <c r="G3310" s="26">
        <f t="shared" si="110"/>
        <v>1296</v>
      </c>
      <c r="H3310" t="s">
        <v>7649</v>
      </c>
    </row>
    <row r="3311" spans="1:8" x14ac:dyDescent="0.25">
      <c r="A3311" s="21" t="s">
        <v>7760</v>
      </c>
      <c r="B3311" s="25" t="s">
        <v>7651</v>
      </c>
      <c r="C3311" s="26">
        <v>1</v>
      </c>
      <c r="D3311" s="27" t="s">
        <v>201</v>
      </c>
      <c r="E3311" s="26">
        <v>1320.2</v>
      </c>
      <c r="F3311" s="28" t="s">
        <v>202</v>
      </c>
      <c r="G3311" s="26">
        <f t="shared" si="110"/>
        <v>1320</v>
      </c>
      <c r="H3311" t="s">
        <v>7651</v>
      </c>
    </row>
    <row r="3312" spans="1:8" x14ac:dyDescent="0.25">
      <c r="A3312" s="21" t="s">
        <v>7761</v>
      </c>
      <c r="B3312" s="25" t="s">
        <v>7653</v>
      </c>
      <c r="C3312" s="26">
        <v>1</v>
      </c>
      <c r="D3312" s="27" t="s">
        <v>201</v>
      </c>
      <c r="E3312" s="26">
        <v>1372.85</v>
      </c>
      <c r="F3312" s="28" t="s">
        <v>202</v>
      </c>
      <c r="G3312" s="26">
        <f t="shared" si="110"/>
        <v>1373</v>
      </c>
      <c r="H3312" t="s">
        <v>7653</v>
      </c>
    </row>
    <row r="3313" spans="1:8" x14ac:dyDescent="0.25">
      <c r="A3313" s="21" t="s">
        <v>7762</v>
      </c>
      <c r="B3313" s="25" t="s">
        <v>7655</v>
      </c>
      <c r="C3313" s="26">
        <v>1</v>
      </c>
      <c r="D3313" s="27" t="s">
        <v>201</v>
      </c>
      <c r="E3313" s="26">
        <v>1401.3</v>
      </c>
      <c r="F3313" s="28" t="s">
        <v>202</v>
      </c>
      <c r="G3313" s="26">
        <f t="shared" si="110"/>
        <v>1401</v>
      </c>
      <c r="H3313" t="s">
        <v>7655</v>
      </c>
    </row>
    <row r="3314" spans="1:8" ht="90" x14ac:dyDescent="0.25">
      <c r="A3314" s="21" t="s">
        <v>7763</v>
      </c>
      <c r="B3314" s="25" t="s">
        <v>7765</v>
      </c>
      <c r="C3314" s="26"/>
      <c r="D3314" s="27"/>
      <c r="E3314" s="26"/>
      <c r="F3314" s="28"/>
      <c r="G3314" s="26"/>
      <c r="H3314" t="s">
        <v>7764</v>
      </c>
    </row>
    <row r="3315" spans="1:8" x14ac:dyDescent="0.25">
      <c r="A3315" s="21" t="s">
        <v>7766</v>
      </c>
      <c r="B3315" s="25" t="s">
        <v>7660</v>
      </c>
      <c r="C3315" s="26">
        <v>1</v>
      </c>
      <c r="D3315" s="27" t="s">
        <v>201</v>
      </c>
      <c r="E3315" s="26">
        <v>910.5</v>
      </c>
      <c r="F3315" s="28" t="s">
        <v>202</v>
      </c>
      <c r="G3315" s="26">
        <f t="shared" ref="G3315:G3327" si="111">ROUND(C3315*E3315,0)</f>
        <v>911</v>
      </c>
      <c r="H3315" t="s">
        <v>7660</v>
      </c>
    </row>
    <row r="3316" spans="1:8" x14ac:dyDescent="0.25">
      <c r="A3316" s="21" t="s">
        <v>7767</v>
      </c>
      <c r="B3316" s="25" t="s">
        <v>7662</v>
      </c>
      <c r="C3316" s="26">
        <v>1</v>
      </c>
      <c r="D3316" s="27" t="s">
        <v>201</v>
      </c>
      <c r="E3316" s="26">
        <v>1131</v>
      </c>
      <c r="F3316" s="28" t="s">
        <v>202</v>
      </c>
      <c r="G3316" s="26">
        <f t="shared" si="111"/>
        <v>1131</v>
      </c>
      <c r="H3316" t="s">
        <v>7662</v>
      </c>
    </row>
    <row r="3317" spans="1:8" x14ac:dyDescent="0.25">
      <c r="A3317" s="21" t="s">
        <v>7768</v>
      </c>
      <c r="B3317" s="25" t="s">
        <v>7664</v>
      </c>
      <c r="C3317" s="26">
        <v>1</v>
      </c>
      <c r="D3317" s="27" t="s">
        <v>201</v>
      </c>
      <c r="E3317" s="26">
        <v>1138.0999999999999</v>
      </c>
      <c r="F3317" s="28" t="s">
        <v>202</v>
      </c>
      <c r="G3317" s="26">
        <f t="shared" si="111"/>
        <v>1138</v>
      </c>
      <c r="H3317" t="s">
        <v>7664</v>
      </c>
    </row>
    <row r="3318" spans="1:8" x14ac:dyDescent="0.25">
      <c r="A3318" s="21" t="s">
        <v>7769</v>
      </c>
      <c r="B3318" s="25" t="s">
        <v>7770</v>
      </c>
      <c r="C3318" s="26">
        <v>1</v>
      </c>
      <c r="D3318" s="27" t="s">
        <v>201</v>
      </c>
      <c r="E3318" s="26">
        <v>1429.75</v>
      </c>
      <c r="F3318" s="28" t="s">
        <v>202</v>
      </c>
      <c r="G3318" s="26">
        <f t="shared" si="111"/>
        <v>1430</v>
      </c>
      <c r="H3318" t="s">
        <v>7770</v>
      </c>
    </row>
    <row r="3319" spans="1:8" x14ac:dyDescent="0.25">
      <c r="A3319" s="21" t="s">
        <v>7771</v>
      </c>
      <c r="B3319" s="25" t="s">
        <v>7666</v>
      </c>
      <c r="C3319" s="26">
        <v>1</v>
      </c>
      <c r="D3319" s="27" t="s">
        <v>201</v>
      </c>
      <c r="E3319" s="26">
        <v>1436.85</v>
      </c>
      <c r="F3319" s="28" t="s">
        <v>202</v>
      </c>
      <c r="G3319" s="26">
        <f t="shared" si="111"/>
        <v>1437</v>
      </c>
      <c r="H3319" t="s">
        <v>7666</v>
      </c>
    </row>
    <row r="3320" spans="1:8" x14ac:dyDescent="0.25">
      <c r="A3320" s="21" t="s">
        <v>7772</v>
      </c>
      <c r="B3320" s="25" t="s">
        <v>7668</v>
      </c>
      <c r="C3320" s="26">
        <v>1</v>
      </c>
      <c r="D3320" s="27" t="s">
        <v>201</v>
      </c>
      <c r="E3320" s="26">
        <v>1451.1</v>
      </c>
      <c r="F3320" s="28" t="s">
        <v>202</v>
      </c>
      <c r="G3320" s="26">
        <f t="shared" si="111"/>
        <v>1451</v>
      </c>
      <c r="H3320" t="s">
        <v>7668</v>
      </c>
    </row>
    <row r="3321" spans="1:8" x14ac:dyDescent="0.25">
      <c r="A3321" s="21" t="s">
        <v>7773</v>
      </c>
      <c r="B3321" s="25" t="s">
        <v>7670</v>
      </c>
      <c r="C3321" s="26">
        <v>1</v>
      </c>
      <c r="D3321" s="27" t="s">
        <v>201</v>
      </c>
      <c r="E3321" s="26">
        <v>2013.05</v>
      </c>
      <c r="F3321" s="28" t="s">
        <v>202</v>
      </c>
      <c r="G3321" s="26">
        <f t="shared" si="111"/>
        <v>2013</v>
      </c>
      <c r="H3321" t="s">
        <v>7670</v>
      </c>
    </row>
    <row r="3322" spans="1:8" x14ac:dyDescent="0.25">
      <c r="A3322" s="21" t="s">
        <v>7774</v>
      </c>
      <c r="B3322" s="25" t="s">
        <v>7672</v>
      </c>
      <c r="C3322" s="26">
        <v>1</v>
      </c>
      <c r="D3322" s="27" t="s">
        <v>201</v>
      </c>
      <c r="E3322" s="26">
        <v>2034.35</v>
      </c>
      <c r="F3322" s="28" t="s">
        <v>202</v>
      </c>
      <c r="G3322" s="26">
        <f t="shared" si="111"/>
        <v>2034</v>
      </c>
      <c r="H3322" t="s">
        <v>7672</v>
      </c>
    </row>
    <row r="3323" spans="1:8" x14ac:dyDescent="0.25">
      <c r="A3323" s="21" t="s">
        <v>7775</v>
      </c>
      <c r="B3323" s="25" t="s">
        <v>7674</v>
      </c>
      <c r="C3323" s="26">
        <v>1</v>
      </c>
      <c r="D3323" s="27" t="s">
        <v>201</v>
      </c>
      <c r="E3323" s="26">
        <v>2048.6</v>
      </c>
      <c r="F3323" s="28" t="s">
        <v>202</v>
      </c>
      <c r="G3323" s="26">
        <f t="shared" si="111"/>
        <v>2049</v>
      </c>
      <c r="H3323" t="s">
        <v>7674</v>
      </c>
    </row>
    <row r="3324" spans="1:8" x14ac:dyDescent="0.25">
      <c r="A3324" s="21" t="s">
        <v>7776</v>
      </c>
      <c r="B3324" s="25" t="s">
        <v>7777</v>
      </c>
      <c r="C3324" s="26">
        <v>1</v>
      </c>
      <c r="D3324" s="27" t="s">
        <v>201</v>
      </c>
      <c r="E3324" s="26">
        <v>2390.0500000000002</v>
      </c>
      <c r="F3324" s="28" t="s">
        <v>202</v>
      </c>
      <c r="G3324" s="26">
        <f t="shared" si="111"/>
        <v>2390</v>
      </c>
      <c r="H3324" t="s">
        <v>7777</v>
      </c>
    </row>
    <row r="3325" spans="1:8" x14ac:dyDescent="0.25">
      <c r="A3325" s="21" t="s">
        <v>7778</v>
      </c>
      <c r="B3325" s="25" t="s">
        <v>7676</v>
      </c>
      <c r="C3325" s="26">
        <v>1</v>
      </c>
      <c r="D3325" s="27" t="s">
        <v>201</v>
      </c>
      <c r="E3325" s="26">
        <v>2446.9499999999998</v>
      </c>
      <c r="F3325" s="28" t="s">
        <v>202</v>
      </c>
      <c r="G3325" s="26">
        <f t="shared" si="111"/>
        <v>2447</v>
      </c>
      <c r="H3325" t="s">
        <v>7676</v>
      </c>
    </row>
    <row r="3326" spans="1:8" x14ac:dyDescent="0.25">
      <c r="A3326" s="21" t="s">
        <v>7779</v>
      </c>
      <c r="B3326" s="25" t="s">
        <v>7678</v>
      </c>
      <c r="C3326" s="26">
        <v>1</v>
      </c>
      <c r="D3326" s="27" t="s">
        <v>201</v>
      </c>
      <c r="E3326" s="26">
        <v>2468.25</v>
      </c>
      <c r="F3326" s="28" t="s">
        <v>202</v>
      </c>
      <c r="G3326" s="26">
        <f t="shared" si="111"/>
        <v>2468</v>
      </c>
      <c r="H3326" t="s">
        <v>7678</v>
      </c>
    </row>
    <row r="3327" spans="1:8" x14ac:dyDescent="0.25">
      <c r="A3327" s="21" t="s">
        <v>7780</v>
      </c>
      <c r="B3327" s="25" t="s">
        <v>7680</v>
      </c>
      <c r="C3327" s="26">
        <v>1</v>
      </c>
      <c r="D3327" s="27" t="s">
        <v>201</v>
      </c>
      <c r="E3327" s="26">
        <v>2496.75</v>
      </c>
      <c r="F3327" s="28" t="s">
        <v>202</v>
      </c>
      <c r="G3327" s="26">
        <f t="shared" si="111"/>
        <v>2497</v>
      </c>
      <c r="H3327" t="s">
        <v>7680</v>
      </c>
    </row>
    <row r="3328" spans="1:8" ht="105" x14ac:dyDescent="0.25">
      <c r="A3328" s="21" t="s">
        <v>7781</v>
      </c>
      <c r="B3328" s="25" t="s">
        <v>7783</v>
      </c>
      <c r="C3328" s="26"/>
      <c r="D3328" s="27"/>
      <c r="E3328" s="26"/>
      <c r="F3328" s="28"/>
      <c r="G3328" s="26"/>
      <c r="H3328" t="s">
        <v>7782</v>
      </c>
    </row>
    <row r="3329" spans="1:8" ht="30" x14ac:dyDescent="0.25">
      <c r="A3329" s="21" t="s">
        <v>7784</v>
      </c>
      <c r="B3329" s="25" t="s">
        <v>7785</v>
      </c>
      <c r="C3329" s="26">
        <v>1</v>
      </c>
      <c r="D3329" s="27" t="s">
        <v>201</v>
      </c>
      <c r="E3329" s="26">
        <v>291.64999999999998</v>
      </c>
      <c r="F3329" s="28" t="s">
        <v>202</v>
      </c>
      <c r="G3329" s="26">
        <f t="shared" ref="G3329:G3349" si="112">ROUND(C3329*E3329,0)</f>
        <v>292</v>
      </c>
      <c r="H3329" t="s">
        <v>7785</v>
      </c>
    </row>
    <row r="3330" spans="1:8" ht="30" x14ac:dyDescent="0.25">
      <c r="A3330" s="21" t="s">
        <v>7786</v>
      </c>
      <c r="B3330" s="25" t="s">
        <v>7787</v>
      </c>
      <c r="C3330" s="26">
        <v>1</v>
      </c>
      <c r="D3330" s="27" t="s">
        <v>201</v>
      </c>
      <c r="E3330" s="26">
        <v>334.3</v>
      </c>
      <c r="F3330" s="28" t="s">
        <v>202</v>
      </c>
      <c r="G3330" s="26">
        <f t="shared" si="112"/>
        <v>334</v>
      </c>
      <c r="H3330" t="s">
        <v>7787</v>
      </c>
    </row>
    <row r="3331" spans="1:8" ht="30" x14ac:dyDescent="0.25">
      <c r="A3331" s="21" t="s">
        <v>7788</v>
      </c>
      <c r="B3331" s="25" t="s">
        <v>7789</v>
      </c>
      <c r="C3331" s="26">
        <v>1</v>
      </c>
      <c r="D3331" s="27" t="s">
        <v>201</v>
      </c>
      <c r="E3331" s="26">
        <v>355.65</v>
      </c>
      <c r="F3331" s="28" t="s">
        <v>202</v>
      </c>
      <c r="G3331" s="26">
        <f t="shared" si="112"/>
        <v>356</v>
      </c>
      <c r="H3331" t="s">
        <v>7789</v>
      </c>
    </row>
    <row r="3332" spans="1:8" ht="30" x14ac:dyDescent="0.25">
      <c r="A3332" s="21" t="s">
        <v>7790</v>
      </c>
      <c r="B3332" s="25" t="s">
        <v>7791</v>
      </c>
      <c r="C3332" s="26">
        <v>1</v>
      </c>
      <c r="D3332" s="27" t="s">
        <v>201</v>
      </c>
      <c r="E3332" s="26">
        <v>448.15</v>
      </c>
      <c r="F3332" s="28" t="s">
        <v>202</v>
      </c>
      <c r="G3332" s="26">
        <f t="shared" si="112"/>
        <v>448</v>
      </c>
      <c r="H3332" t="s">
        <v>7791</v>
      </c>
    </row>
    <row r="3333" spans="1:8" ht="30" x14ac:dyDescent="0.25">
      <c r="A3333" s="21" t="s">
        <v>7792</v>
      </c>
      <c r="B3333" s="25" t="s">
        <v>7793</v>
      </c>
      <c r="C3333" s="26">
        <v>1</v>
      </c>
      <c r="D3333" s="27" t="s">
        <v>201</v>
      </c>
      <c r="E3333" s="26">
        <v>462.35</v>
      </c>
      <c r="F3333" s="28" t="s">
        <v>202</v>
      </c>
      <c r="G3333" s="26">
        <f t="shared" si="112"/>
        <v>462</v>
      </c>
      <c r="H3333" t="s">
        <v>7793</v>
      </c>
    </row>
    <row r="3334" spans="1:8" ht="30" x14ac:dyDescent="0.25">
      <c r="A3334" s="21" t="s">
        <v>7794</v>
      </c>
      <c r="B3334" s="25" t="s">
        <v>7795</v>
      </c>
      <c r="C3334" s="26">
        <v>1</v>
      </c>
      <c r="D3334" s="27" t="s">
        <v>201</v>
      </c>
      <c r="E3334" s="26">
        <v>476.6</v>
      </c>
      <c r="F3334" s="28" t="s">
        <v>202</v>
      </c>
      <c r="G3334" s="26">
        <f t="shared" si="112"/>
        <v>477</v>
      </c>
      <c r="H3334" t="s">
        <v>7795</v>
      </c>
    </row>
    <row r="3335" spans="1:8" ht="30" x14ac:dyDescent="0.25">
      <c r="A3335" s="21" t="s">
        <v>7796</v>
      </c>
      <c r="B3335" s="25" t="s">
        <v>7797</v>
      </c>
      <c r="C3335" s="26">
        <v>1</v>
      </c>
      <c r="D3335" s="27" t="s">
        <v>201</v>
      </c>
      <c r="E3335" s="26">
        <v>661.5</v>
      </c>
      <c r="F3335" s="28" t="s">
        <v>202</v>
      </c>
      <c r="G3335" s="26">
        <f t="shared" si="112"/>
        <v>662</v>
      </c>
      <c r="H3335" t="s">
        <v>7797</v>
      </c>
    </row>
    <row r="3336" spans="1:8" ht="30" x14ac:dyDescent="0.25">
      <c r="A3336" s="21" t="s">
        <v>7798</v>
      </c>
      <c r="B3336" s="25" t="s">
        <v>7799</v>
      </c>
      <c r="C3336" s="26">
        <v>1</v>
      </c>
      <c r="D3336" s="27" t="s">
        <v>201</v>
      </c>
      <c r="E3336" s="26">
        <v>675.75</v>
      </c>
      <c r="F3336" s="28" t="s">
        <v>202</v>
      </c>
      <c r="G3336" s="26">
        <f t="shared" si="112"/>
        <v>676</v>
      </c>
      <c r="H3336" t="s">
        <v>7799</v>
      </c>
    </row>
    <row r="3337" spans="1:8" ht="30" x14ac:dyDescent="0.25">
      <c r="A3337" s="21" t="s">
        <v>7800</v>
      </c>
      <c r="B3337" s="25" t="s">
        <v>7801</v>
      </c>
      <c r="C3337" s="26">
        <v>1</v>
      </c>
      <c r="D3337" s="27" t="s">
        <v>201</v>
      </c>
      <c r="E3337" s="26">
        <v>704.2</v>
      </c>
      <c r="F3337" s="28" t="s">
        <v>202</v>
      </c>
      <c r="G3337" s="26">
        <f t="shared" si="112"/>
        <v>704</v>
      </c>
      <c r="H3337" t="s">
        <v>7801</v>
      </c>
    </row>
    <row r="3338" spans="1:8" ht="30" x14ac:dyDescent="0.25">
      <c r="A3338" s="21" t="s">
        <v>7802</v>
      </c>
      <c r="B3338" s="25" t="s">
        <v>7803</v>
      </c>
      <c r="C3338" s="26">
        <v>1</v>
      </c>
      <c r="D3338" s="27" t="s">
        <v>201</v>
      </c>
      <c r="E3338" s="26">
        <v>732.65</v>
      </c>
      <c r="F3338" s="28" t="s">
        <v>202</v>
      </c>
      <c r="G3338" s="26">
        <f t="shared" si="112"/>
        <v>733</v>
      </c>
      <c r="H3338" t="s">
        <v>7803</v>
      </c>
    </row>
    <row r="3339" spans="1:8" ht="30" x14ac:dyDescent="0.25">
      <c r="A3339" s="21" t="s">
        <v>7804</v>
      </c>
      <c r="B3339" s="25" t="s">
        <v>7805</v>
      </c>
      <c r="C3339" s="26">
        <v>1</v>
      </c>
      <c r="D3339" s="27" t="s">
        <v>201</v>
      </c>
      <c r="E3339" s="26">
        <v>1010.05</v>
      </c>
      <c r="F3339" s="28" t="s">
        <v>202</v>
      </c>
      <c r="G3339" s="26">
        <f t="shared" si="112"/>
        <v>1010</v>
      </c>
      <c r="H3339" t="s">
        <v>7805</v>
      </c>
    </row>
    <row r="3340" spans="1:8" ht="30" x14ac:dyDescent="0.25">
      <c r="A3340" s="21" t="s">
        <v>7806</v>
      </c>
      <c r="B3340" s="25" t="s">
        <v>7807</v>
      </c>
      <c r="C3340" s="26">
        <v>1</v>
      </c>
      <c r="D3340" s="27" t="s">
        <v>201</v>
      </c>
      <c r="E3340" s="26">
        <v>1031.4000000000001</v>
      </c>
      <c r="F3340" s="28" t="s">
        <v>202</v>
      </c>
      <c r="G3340" s="26">
        <f t="shared" si="112"/>
        <v>1031</v>
      </c>
      <c r="H3340" t="s">
        <v>7807</v>
      </c>
    </row>
    <row r="3341" spans="1:8" ht="30" x14ac:dyDescent="0.25">
      <c r="A3341" s="21" t="s">
        <v>7808</v>
      </c>
      <c r="B3341" s="25" t="s">
        <v>7809</v>
      </c>
      <c r="C3341" s="26">
        <v>1</v>
      </c>
      <c r="D3341" s="27" t="s">
        <v>201</v>
      </c>
      <c r="E3341" s="26">
        <v>1088.3</v>
      </c>
      <c r="F3341" s="28" t="s">
        <v>202</v>
      </c>
      <c r="G3341" s="26">
        <f t="shared" si="112"/>
        <v>1088</v>
      </c>
      <c r="H3341" t="s">
        <v>7809</v>
      </c>
    </row>
    <row r="3342" spans="1:8" ht="30" x14ac:dyDescent="0.25">
      <c r="A3342" s="21" t="s">
        <v>7810</v>
      </c>
      <c r="B3342" s="25" t="s">
        <v>7811</v>
      </c>
      <c r="C3342" s="26">
        <v>1</v>
      </c>
      <c r="D3342" s="27" t="s">
        <v>201</v>
      </c>
      <c r="E3342" s="26">
        <v>1131</v>
      </c>
      <c r="F3342" s="28" t="s">
        <v>202</v>
      </c>
      <c r="G3342" s="26">
        <f t="shared" si="112"/>
        <v>1131</v>
      </c>
      <c r="H3342" t="s">
        <v>7811</v>
      </c>
    </row>
    <row r="3343" spans="1:8" ht="30" x14ac:dyDescent="0.25">
      <c r="A3343" s="21" t="s">
        <v>7812</v>
      </c>
      <c r="B3343" s="25" t="s">
        <v>7813</v>
      </c>
      <c r="C3343" s="26">
        <v>1</v>
      </c>
      <c r="D3343" s="27" t="s">
        <v>201</v>
      </c>
      <c r="E3343" s="26">
        <v>1173.6500000000001</v>
      </c>
      <c r="F3343" s="28" t="s">
        <v>202</v>
      </c>
      <c r="G3343" s="26">
        <f t="shared" si="112"/>
        <v>1174</v>
      </c>
      <c r="H3343" t="s">
        <v>7813</v>
      </c>
    </row>
    <row r="3344" spans="1:8" ht="30" x14ac:dyDescent="0.25">
      <c r="A3344" s="21" t="s">
        <v>7814</v>
      </c>
      <c r="B3344" s="25" t="s">
        <v>7815</v>
      </c>
      <c r="C3344" s="26">
        <v>1</v>
      </c>
      <c r="D3344" s="27" t="s">
        <v>201</v>
      </c>
      <c r="E3344" s="26">
        <v>1415.55</v>
      </c>
      <c r="F3344" s="28" t="s">
        <v>202</v>
      </c>
      <c r="G3344" s="26">
        <f t="shared" si="112"/>
        <v>1416</v>
      </c>
      <c r="H3344" t="s">
        <v>7815</v>
      </c>
    </row>
    <row r="3345" spans="1:8" ht="30" x14ac:dyDescent="0.25">
      <c r="A3345" s="21" t="s">
        <v>7816</v>
      </c>
      <c r="B3345" s="25" t="s">
        <v>7817</v>
      </c>
      <c r="C3345" s="26">
        <v>1</v>
      </c>
      <c r="D3345" s="27" t="s">
        <v>201</v>
      </c>
      <c r="E3345" s="26">
        <v>1442.55</v>
      </c>
      <c r="F3345" s="28" t="s">
        <v>202</v>
      </c>
      <c r="G3345" s="26">
        <f t="shared" si="112"/>
        <v>1443</v>
      </c>
      <c r="H3345" t="s">
        <v>7817</v>
      </c>
    </row>
    <row r="3346" spans="1:8" ht="30" x14ac:dyDescent="0.25">
      <c r="A3346" s="21" t="s">
        <v>7818</v>
      </c>
      <c r="B3346" s="25" t="s">
        <v>7819</v>
      </c>
      <c r="C3346" s="26">
        <v>1</v>
      </c>
      <c r="D3346" s="27" t="s">
        <v>201</v>
      </c>
      <c r="E3346" s="26">
        <v>1458.2</v>
      </c>
      <c r="F3346" s="28" t="s">
        <v>202</v>
      </c>
      <c r="G3346" s="26">
        <f t="shared" si="112"/>
        <v>1458</v>
      </c>
      <c r="H3346" t="s">
        <v>7819</v>
      </c>
    </row>
    <row r="3347" spans="1:8" ht="30" x14ac:dyDescent="0.25">
      <c r="A3347" s="21" t="s">
        <v>7820</v>
      </c>
      <c r="B3347" s="25" t="s">
        <v>7821</v>
      </c>
      <c r="C3347" s="26">
        <v>1</v>
      </c>
      <c r="D3347" s="27" t="s">
        <v>201</v>
      </c>
      <c r="E3347" s="26">
        <v>1493.75</v>
      </c>
      <c r="F3347" s="28" t="s">
        <v>202</v>
      </c>
      <c r="G3347" s="26">
        <f t="shared" si="112"/>
        <v>1494</v>
      </c>
      <c r="H3347" t="s">
        <v>7821</v>
      </c>
    </row>
    <row r="3348" spans="1:8" ht="30" x14ac:dyDescent="0.25">
      <c r="A3348" s="21" t="s">
        <v>7822</v>
      </c>
      <c r="B3348" s="25" t="s">
        <v>7823</v>
      </c>
      <c r="C3348" s="26">
        <v>1</v>
      </c>
      <c r="D3348" s="27" t="s">
        <v>201</v>
      </c>
      <c r="E3348" s="26">
        <v>1536.45</v>
      </c>
      <c r="F3348" s="28" t="s">
        <v>202</v>
      </c>
      <c r="G3348" s="26">
        <f t="shared" si="112"/>
        <v>1536</v>
      </c>
      <c r="H3348" t="s">
        <v>7823</v>
      </c>
    </row>
    <row r="3349" spans="1:8" ht="30" x14ac:dyDescent="0.25">
      <c r="A3349" s="21" t="s">
        <v>7824</v>
      </c>
      <c r="B3349" s="25" t="s">
        <v>7825</v>
      </c>
      <c r="C3349" s="26">
        <v>1</v>
      </c>
      <c r="D3349" s="27" t="s">
        <v>201</v>
      </c>
      <c r="E3349" s="26">
        <v>1586.25</v>
      </c>
      <c r="F3349" s="28" t="s">
        <v>202</v>
      </c>
      <c r="G3349" s="26">
        <f t="shared" si="112"/>
        <v>1586</v>
      </c>
      <c r="H3349" t="s">
        <v>7825</v>
      </c>
    </row>
    <row r="3350" spans="1:8" ht="105" x14ac:dyDescent="0.25">
      <c r="A3350" s="21" t="s">
        <v>7826</v>
      </c>
      <c r="B3350" s="25" t="s">
        <v>7828</v>
      </c>
      <c r="C3350" s="26"/>
      <c r="D3350" s="27"/>
      <c r="E3350" s="26"/>
      <c r="F3350" s="28"/>
      <c r="G3350" s="26"/>
      <c r="H3350" t="s">
        <v>7827</v>
      </c>
    </row>
    <row r="3351" spans="1:8" ht="30" x14ac:dyDescent="0.25">
      <c r="A3351" s="21" t="s">
        <v>7829</v>
      </c>
      <c r="B3351" s="25" t="s">
        <v>7785</v>
      </c>
      <c r="C3351" s="26">
        <v>1</v>
      </c>
      <c r="D3351" s="27" t="s">
        <v>201</v>
      </c>
      <c r="E3351" s="26">
        <v>277.39999999999998</v>
      </c>
      <c r="F3351" s="28" t="s">
        <v>202</v>
      </c>
      <c r="G3351" s="26">
        <f t="shared" ref="G3351:G3371" si="113">ROUND(C3351*E3351,0)</f>
        <v>277</v>
      </c>
      <c r="H3351" t="s">
        <v>7785</v>
      </c>
    </row>
    <row r="3352" spans="1:8" ht="30" x14ac:dyDescent="0.25">
      <c r="A3352" s="21" t="s">
        <v>7830</v>
      </c>
      <c r="B3352" s="25" t="s">
        <v>7787</v>
      </c>
      <c r="C3352" s="26">
        <v>1</v>
      </c>
      <c r="D3352" s="27" t="s">
        <v>201</v>
      </c>
      <c r="E3352" s="26">
        <v>305.85000000000002</v>
      </c>
      <c r="F3352" s="28" t="s">
        <v>202</v>
      </c>
      <c r="G3352" s="26">
        <f t="shared" si="113"/>
        <v>306</v>
      </c>
      <c r="H3352" t="s">
        <v>7787</v>
      </c>
    </row>
    <row r="3353" spans="1:8" ht="30" x14ac:dyDescent="0.25">
      <c r="A3353" s="21" t="s">
        <v>7831</v>
      </c>
      <c r="B3353" s="25" t="s">
        <v>7789</v>
      </c>
      <c r="C3353" s="26">
        <v>1</v>
      </c>
      <c r="D3353" s="27" t="s">
        <v>201</v>
      </c>
      <c r="E3353" s="26">
        <v>320.10000000000002</v>
      </c>
      <c r="F3353" s="28" t="s">
        <v>202</v>
      </c>
      <c r="G3353" s="26">
        <f t="shared" si="113"/>
        <v>320</v>
      </c>
      <c r="H3353" t="s">
        <v>7789</v>
      </c>
    </row>
    <row r="3354" spans="1:8" ht="30" x14ac:dyDescent="0.25">
      <c r="A3354" s="21" t="s">
        <v>7832</v>
      </c>
      <c r="B3354" s="25" t="s">
        <v>7791</v>
      </c>
      <c r="C3354" s="26">
        <v>1</v>
      </c>
      <c r="D3354" s="27" t="s">
        <v>201</v>
      </c>
      <c r="E3354" s="26">
        <v>405.45</v>
      </c>
      <c r="F3354" s="28" t="s">
        <v>202</v>
      </c>
      <c r="G3354" s="26">
        <f t="shared" si="113"/>
        <v>405</v>
      </c>
      <c r="H3354" t="s">
        <v>7791</v>
      </c>
    </row>
    <row r="3355" spans="1:8" ht="30" x14ac:dyDescent="0.25">
      <c r="A3355" s="21" t="s">
        <v>7833</v>
      </c>
      <c r="B3355" s="25" t="s">
        <v>7793</v>
      </c>
      <c r="C3355" s="26">
        <v>1</v>
      </c>
      <c r="D3355" s="27" t="s">
        <v>201</v>
      </c>
      <c r="E3355" s="26">
        <v>419.7</v>
      </c>
      <c r="F3355" s="28" t="s">
        <v>202</v>
      </c>
      <c r="G3355" s="26">
        <f t="shared" si="113"/>
        <v>420</v>
      </c>
      <c r="H3355" t="s">
        <v>7793</v>
      </c>
    </row>
    <row r="3356" spans="1:8" ht="30" x14ac:dyDescent="0.25">
      <c r="A3356" s="21" t="s">
        <v>7834</v>
      </c>
      <c r="B3356" s="25" t="s">
        <v>7795</v>
      </c>
      <c r="C3356" s="26">
        <v>1</v>
      </c>
      <c r="D3356" s="27" t="s">
        <v>201</v>
      </c>
      <c r="E3356" s="26">
        <v>433.9</v>
      </c>
      <c r="F3356" s="28" t="s">
        <v>202</v>
      </c>
      <c r="G3356" s="26">
        <f t="shared" si="113"/>
        <v>434</v>
      </c>
      <c r="H3356" t="s">
        <v>7795</v>
      </c>
    </row>
    <row r="3357" spans="1:8" ht="30" x14ac:dyDescent="0.25">
      <c r="A3357" s="21" t="s">
        <v>7835</v>
      </c>
      <c r="B3357" s="25" t="s">
        <v>7797</v>
      </c>
      <c r="C3357" s="26">
        <v>1</v>
      </c>
      <c r="D3357" s="27" t="s">
        <v>201</v>
      </c>
      <c r="E3357" s="26">
        <v>647.29999999999995</v>
      </c>
      <c r="F3357" s="28" t="s">
        <v>202</v>
      </c>
      <c r="G3357" s="26">
        <f t="shared" si="113"/>
        <v>647</v>
      </c>
      <c r="H3357" t="s">
        <v>7797</v>
      </c>
    </row>
    <row r="3358" spans="1:8" ht="30" x14ac:dyDescent="0.25">
      <c r="A3358" s="21" t="s">
        <v>7836</v>
      </c>
      <c r="B3358" s="25" t="s">
        <v>7799</v>
      </c>
      <c r="C3358" s="26">
        <v>1</v>
      </c>
      <c r="D3358" s="27" t="s">
        <v>201</v>
      </c>
      <c r="E3358" s="26">
        <v>690</v>
      </c>
      <c r="F3358" s="28" t="s">
        <v>202</v>
      </c>
      <c r="G3358" s="26">
        <f t="shared" si="113"/>
        <v>690</v>
      </c>
      <c r="H3358" t="s">
        <v>7799</v>
      </c>
    </row>
    <row r="3359" spans="1:8" ht="30" x14ac:dyDescent="0.25">
      <c r="A3359" s="21" t="s">
        <v>7837</v>
      </c>
      <c r="B3359" s="25" t="s">
        <v>7801</v>
      </c>
      <c r="C3359" s="26">
        <v>1</v>
      </c>
      <c r="D3359" s="27" t="s">
        <v>201</v>
      </c>
      <c r="E3359" s="26">
        <v>732.65</v>
      </c>
      <c r="F3359" s="28" t="s">
        <v>202</v>
      </c>
      <c r="G3359" s="26">
        <f t="shared" si="113"/>
        <v>733</v>
      </c>
      <c r="H3359" t="s">
        <v>7801</v>
      </c>
    </row>
    <row r="3360" spans="1:8" ht="30" x14ac:dyDescent="0.25">
      <c r="A3360" s="21" t="s">
        <v>7838</v>
      </c>
      <c r="B3360" s="25" t="s">
        <v>7803</v>
      </c>
      <c r="C3360" s="26">
        <v>1</v>
      </c>
      <c r="D3360" s="27" t="s">
        <v>201</v>
      </c>
      <c r="E3360" s="26">
        <v>775.35</v>
      </c>
      <c r="F3360" s="28" t="s">
        <v>202</v>
      </c>
      <c r="G3360" s="26">
        <f t="shared" si="113"/>
        <v>775</v>
      </c>
      <c r="H3360" t="s">
        <v>7803</v>
      </c>
    </row>
    <row r="3361" spans="1:8" ht="30" x14ac:dyDescent="0.25">
      <c r="A3361" s="21" t="s">
        <v>7839</v>
      </c>
      <c r="B3361" s="25" t="s">
        <v>7805</v>
      </c>
      <c r="C3361" s="26">
        <v>1</v>
      </c>
      <c r="D3361" s="27" t="s">
        <v>201</v>
      </c>
      <c r="E3361" s="26">
        <v>995.85</v>
      </c>
      <c r="F3361" s="28" t="s">
        <v>202</v>
      </c>
      <c r="G3361" s="26">
        <f t="shared" si="113"/>
        <v>996</v>
      </c>
      <c r="H3361" t="s">
        <v>7805</v>
      </c>
    </row>
    <row r="3362" spans="1:8" ht="30" x14ac:dyDescent="0.25">
      <c r="A3362" s="21" t="s">
        <v>7840</v>
      </c>
      <c r="B3362" s="25" t="s">
        <v>7807</v>
      </c>
      <c r="C3362" s="26">
        <v>1</v>
      </c>
      <c r="D3362" s="27" t="s">
        <v>201</v>
      </c>
      <c r="E3362" s="26">
        <v>1010.05</v>
      </c>
      <c r="F3362" s="28" t="s">
        <v>202</v>
      </c>
      <c r="G3362" s="26">
        <f t="shared" si="113"/>
        <v>1010</v>
      </c>
      <c r="H3362" t="s">
        <v>7807</v>
      </c>
    </row>
    <row r="3363" spans="1:8" ht="30" x14ac:dyDescent="0.25">
      <c r="A3363" s="21" t="s">
        <v>7841</v>
      </c>
      <c r="B3363" s="25" t="s">
        <v>7809</v>
      </c>
      <c r="C3363" s="26">
        <v>1</v>
      </c>
      <c r="D3363" s="27" t="s">
        <v>201</v>
      </c>
      <c r="E3363" s="26">
        <v>1038.5</v>
      </c>
      <c r="F3363" s="28" t="s">
        <v>202</v>
      </c>
      <c r="G3363" s="26">
        <f t="shared" si="113"/>
        <v>1039</v>
      </c>
      <c r="H3363" t="s">
        <v>7809</v>
      </c>
    </row>
    <row r="3364" spans="1:8" ht="30" x14ac:dyDescent="0.25">
      <c r="A3364" s="21" t="s">
        <v>7842</v>
      </c>
      <c r="B3364" s="25" t="s">
        <v>7811</v>
      </c>
      <c r="C3364" s="26">
        <v>1</v>
      </c>
      <c r="D3364" s="27" t="s">
        <v>201</v>
      </c>
      <c r="E3364" s="26">
        <v>1066.95</v>
      </c>
      <c r="F3364" s="28" t="s">
        <v>202</v>
      </c>
      <c r="G3364" s="26">
        <f t="shared" si="113"/>
        <v>1067</v>
      </c>
      <c r="H3364" t="s">
        <v>7811</v>
      </c>
    </row>
    <row r="3365" spans="1:8" ht="30" x14ac:dyDescent="0.25">
      <c r="A3365" s="21" t="s">
        <v>7843</v>
      </c>
      <c r="B3365" s="25" t="s">
        <v>7813</v>
      </c>
      <c r="C3365" s="26">
        <v>1</v>
      </c>
      <c r="D3365" s="27" t="s">
        <v>201</v>
      </c>
      <c r="E3365" s="26">
        <v>1145.25</v>
      </c>
      <c r="F3365" s="28" t="s">
        <v>202</v>
      </c>
      <c r="G3365" s="26">
        <f t="shared" si="113"/>
        <v>1145</v>
      </c>
      <c r="H3365" t="s">
        <v>7813</v>
      </c>
    </row>
    <row r="3366" spans="1:8" ht="30" x14ac:dyDescent="0.25">
      <c r="A3366" s="21" t="s">
        <v>7844</v>
      </c>
      <c r="B3366" s="25" t="s">
        <v>7815</v>
      </c>
      <c r="C3366" s="26">
        <v>1</v>
      </c>
      <c r="D3366" s="27" t="s">
        <v>201</v>
      </c>
      <c r="E3366" s="26">
        <v>1287.5</v>
      </c>
      <c r="F3366" s="28" t="s">
        <v>202</v>
      </c>
      <c r="G3366" s="26">
        <f t="shared" si="113"/>
        <v>1288</v>
      </c>
      <c r="H3366" t="s">
        <v>7815</v>
      </c>
    </row>
    <row r="3367" spans="1:8" ht="30" x14ac:dyDescent="0.25">
      <c r="A3367" s="21" t="s">
        <v>7845</v>
      </c>
      <c r="B3367" s="25" t="s">
        <v>7817</v>
      </c>
      <c r="C3367" s="26">
        <v>1</v>
      </c>
      <c r="D3367" s="27" t="s">
        <v>201</v>
      </c>
      <c r="E3367" s="26">
        <v>1301.7</v>
      </c>
      <c r="F3367" s="28" t="s">
        <v>202</v>
      </c>
      <c r="G3367" s="26">
        <f t="shared" si="113"/>
        <v>1302</v>
      </c>
      <c r="H3367" t="s">
        <v>7817</v>
      </c>
    </row>
    <row r="3368" spans="1:8" ht="30" x14ac:dyDescent="0.25">
      <c r="A3368" s="21" t="s">
        <v>7846</v>
      </c>
      <c r="B3368" s="25" t="s">
        <v>7819</v>
      </c>
      <c r="C3368" s="26">
        <v>1</v>
      </c>
      <c r="D3368" s="27" t="s">
        <v>201</v>
      </c>
      <c r="E3368" s="26">
        <v>1323.05</v>
      </c>
      <c r="F3368" s="28" t="s">
        <v>202</v>
      </c>
      <c r="G3368" s="26">
        <f t="shared" si="113"/>
        <v>1323</v>
      </c>
      <c r="H3368" t="s">
        <v>7819</v>
      </c>
    </row>
    <row r="3369" spans="1:8" ht="30" x14ac:dyDescent="0.25">
      <c r="A3369" s="21" t="s">
        <v>7847</v>
      </c>
      <c r="B3369" s="25" t="s">
        <v>7821</v>
      </c>
      <c r="C3369" s="26">
        <v>1</v>
      </c>
      <c r="D3369" s="27" t="s">
        <v>201</v>
      </c>
      <c r="E3369" s="26">
        <v>1394.2</v>
      </c>
      <c r="F3369" s="28" t="s">
        <v>202</v>
      </c>
      <c r="G3369" s="26">
        <f t="shared" si="113"/>
        <v>1394</v>
      </c>
      <c r="H3369" t="s">
        <v>7821</v>
      </c>
    </row>
    <row r="3370" spans="1:8" ht="30" x14ac:dyDescent="0.25">
      <c r="A3370" s="21" t="s">
        <v>7848</v>
      </c>
      <c r="B3370" s="25" t="s">
        <v>7823</v>
      </c>
      <c r="C3370" s="26">
        <v>1</v>
      </c>
      <c r="D3370" s="27" t="s">
        <v>201</v>
      </c>
      <c r="E3370" s="26">
        <v>1429.75</v>
      </c>
      <c r="F3370" s="28" t="s">
        <v>202</v>
      </c>
      <c r="G3370" s="26">
        <f t="shared" si="113"/>
        <v>1430</v>
      </c>
      <c r="H3370" t="s">
        <v>7823</v>
      </c>
    </row>
    <row r="3371" spans="1:8" ht="30" x14ac:dyDescent="0.25">
      <c r="A3371" s="21" t="s">
        <v>7849</v>
      </c>
      <c r="B3371" s="25" t="s">
        <v>7825</v>
      </c>
      <c r="C3371" s="26">
        <v>1</v>
      </c>
      <c r="D3371" s="27" t="s">
        <v>201</v>
      </c>
      <c r="E3371" s="26">
        <v>1543.55</v>
      </c>
      <c r="F3371" s="28" t="s">
        <v>202</v>
      </c>
      <c r="G3371" s="26">
        <f t="shared" si="113"/>
        <v>1544</v>
      </c>
      <c r="H3371" t="s">
        <v>7825</v>
      </c>
    </row>
    <row r="3372" spans="1:8" ht="90" x14ac:dyDescent="0.25">
      <c r="A3372" s="21" t="s">
        <v>7850</v>
      </c>
      <c r="B3372" s="25" t="s">
        <v>7852</v>
      </c>
      <c r="C3372" s="26"/>
      <c r="D3372" s="27"/>
      <c r="E3372" s="26"/>
      <c r="F3372" s="28"/>
      <c r="G3372" s="26"/>
      <c r="H3372" t="s">
        <v>7851</v>
      </c>
    </row>
    <row r="3373" spans="1:8" x14ac:dyDescent="0.25">
      <c r="A3373" s="21" t="s">
        <v>7853</v>
      </c>
      <c r="B3373" s="25" t="s">
        <v>7854</v>
      </c>
      <c r="C3373" s="26">
        <v>1</v>
      </c>
      <c r="D3373" s="27" t="s">
        <v>201</v>
      </c>
      <c r="E3373" s="26">
        <v>889.15</v>
      </c>
      <c r="F3373" s="28" t="s">
        <v>7855</v>
      </c>
      <c r="G3373" s="26">
        <f t="shared" ref="G3373:G3383" si="114">ROUND(C3373*E3373,0)</f>
        <v>889</v>
      </c>
      <c r="H3373" t="s">
        <v>7854</v>
      </c>
    </row>
    <row r="3374" spans="1:8" x14ac:dyDescent="0.25">
      <c r="A3374" s="21" t="s">
        <v>7856</v>
      </c>
      <c r="B3374" s="25" t="s">
        <v>7857</v>
      </c>
      <c r="C3374" s="26">
        <v>1</v>
      </c>
      <c r="D3374" s="27" t="s">
        <v>201</v>
      </c>
      <c r="E3374" s="26">
        <v>967.4</v>
      </c>
      <c r="F3374" s="28" t="s">
        <v>7855</v>
      </c>
      <c r="G3374" s="26">
        <f t="shared" si="114"/>
        <v>967</v>
      </c>
      <c r="H3374" t="s">
        <v>7857</v>
      </c>
    </row>
    <row r="3375" spans="1:8" x14ac:dyDescent="0.25">
      <c r="A3375" s="21" t="s">
        <v>7858</v>
      </c>
      <c r="B3375" s="25" t="s">
        <v>7859</v>
      </c>
      <c r="C3375" s="26">
        <v>1</v>
      </c>
      <c r="D3375" s="27" t="s">
        <v>201</v>
      </c>
      <c r="E3375" s="26">
        <v>1095.45</v>
      </c>
      <c r="F3375" s="28" t="s">
        <v>7855</v>
      </c>
      <c r="G3375" s="26">
        <f t="shared" si="114"/>
        <v>1095</v>
      </c>
      <c r="H3375" t="s">
        <v>7859</v>
      </c>
    </row>
    <row r="3376" spans="1:8" x14ac:dyDescent="0.25">
      <c r="A3376" s="21" t="s">
        <v>7860</v>
      </c>
      <c r="B3376" s="25" t="s">
        <v>7861</v>
      </c>
      <c r="C3376" s="26">
        <v>1</v>
      </c>
      <c r="D3376" s="27" t="s">
        <v>201</v>
      </c>
      <c r="E3376" s="26">
        <v>1159.45</v>
      </c>
      <c r="F3376" s="28" t="s">
        <v>7855</v>
      </c>
      <c r="G3376" s="26">
        <f t="shared" si="114"/>
        <v>1159</v>
      </c>
      <c r="H3376" t="s">
        <v>7861</v>
      </c>
    </row>
    <row r="3377" spans="1:8" x14ac:dyDescent="0.25">
      <c r="A3377" s="21" t="s">
        <v>7862</v>
      </c>
      <c r="B3377" s="25" t="s">
        <v>7863</v>
      </c>
      <c r="C3377" s="26">
        <v>1</v>
      </c>
      <c r="D3377" s="27" t="s">
        <v>201</v>
      </c>
      <c r="E3377" s="26">
        <v>1202.1500000000001</v>
      </c>
      <c r="F3377" s="28" t="s">
        <v>7855</v>
      </c>
      <c r="G3377" s="26">
        <f t="shared" si="114"/>
        <v>1202</v>
      </c>
      <c r="H3377" t="s">
        <v>7863</v>
      </c>
    </row>
    <row r="3378" spans="1:8" x14ac:dyDescent="0.25">
      <c r="A3378" s="21" t="s">
        <v>7864</v>
      </c>
      <c r="B3378" s="25" t="s">
        <v>7865</v>
      </c>
      <c r="C3378" s="26">
        <v>1</v>
      </c>
      <c r="D3378" s="27" t="s">
        <v>201</v>
      </c>
      <c r="E3378" s="26">
        <v>1330.15</v>
      </c>
      <c r="F3378" s="28" t="s">
        <v>7855</v>
      </c>
      <c r="G3378" s="26">
        <f t="shared" si="114"/>
        <v>1330</v>
      </c>
      <c r="H3378" t="s">
        <v>7865</v>
      </c>
    </row>
    <row r="3379" spans="1:8" x14ac:dyDescent="0.25">
      <c r="A3379" s="21" t="s">
        <v>7866</v>
      </c>
      <c r="B3379" s="25" t="s">
        <v>7867</v>
      </c>
      <c r="C3379" s="26">
        <v>1</v>
      </c>
      <c r="D3379" s="27" t="s">
        <v>201</v>
      </c>
      <c r="E3379" s="26">
        <v>1337.3</v>
      </c>
      <c r="F3379" s="28" t="s">
        <v>7855</v>
      </c>
      <c r="G3379" s="26">
        <f t="shared" si="114"/>
        <v>1337</v>
      </c>
      <c r="H3379" t="s">
        <v>7867</v>
      </c>
    </row>
    <row r="3380" spans="1:8" ht="30" x14ac:dyDescent="0.25">
      <c r="A3380" s="21" t="s">
        <v>7868</v>
      </c>
      <c r="B3380" s="25" t="s">
        <v>7869</v>
      </c>
      <c r="C3380" s="26">
        <v>1</v>
      </c>
      <c r="D3380" s="27" t="s">
        <v>201</v>
      </c>
      <c r="E3380" s="26">
        <v>1842.3</v>
      </c>
      <c r="F3380" s="28" t="s">
        <v>7855</v>
      </c>
      <c r="G3380" s="26">
        <f t="shared" si="114"/>
        <v>1842</v>
      </c>
      <c r="H3380" t="s">
        <v>7869</v>
      </c>
    </row>
    <row r="3381" spans="1:8" ht="30" x14ac:dyDescent="0.25">
      <c r="A3381" s="21" t="s">
        <v>7870</v>
      </c>
      <c r="B3381" s="25" t="s">
        <v>7871</v>
      </c>
      <c r="C3381" s="26">
        <v>1</v>
      </c>
      <c r="D3381" s="27" t="s">
        <v>201</v>
      </c>
      <c r="E3381" s="26">
        <v>2141.0500000000002</v>
      </c>
      <c r="F3381" s="28" t="s">
        <v>7855</v>
      </c>
      <c r="G3381" s="26">
        <f t="shared" si="114"/>
        <v>2141</v>
      </c>
      <c r="H3381" t="s">
        <v>7871</v>
      </c>
    </row>
    <row r="3382" spans="1:8" ht="30" x14ac:dyDescent="0.25">
      <c r="A3382" s="21" t="s">
        <v>7872</v>
      </c>
      <c r="B3382" s="25" t="s">
        <v>7873</v>
      </c>
      <c r="C3382" s="26">
        <v>1</v>
      </c>
      <c r="D3382" s="27" t="s">
        <v>201</v>
      </c>
      <c r="E3382" s="26">
        <v>3058.65</v>
      </c>
      <c r="F3382" s="28" t="s">
        <v>7855</v>
      </c>
      <c r="G3382" s="26">
        <f t="shared" si="114"/>
        <v>3059</v>
      </c>
      <c r="H3382" t="s">
        <v>7873</v>
      </c>
    </row>
    <row r="3383" spans="1:8" x14ac:dyDescent="0.25">
      <c r="A3383" s="21" t="s">
        <v>7874</v>
      </c>
      <c r="B3383" s="25" t="s">
        <v>7875</v>
      </c>
      <c r="C3383" s="26">
        <v>1</v>
      </c>
      <c r="D3383" s="27" t="s">
        <v>201</v>
      </c>
      <c r="E3383" s="26">
        <v>3670.4</v>
      </c>
      <c r="F3383" s="28" t="s">
        <v>7855</v>
      </c>
      <c r="G3383" s="26">
        <f t="shared" si="114"/>
        <v>3670</v>
      </c>
      <c r="H3383" t="s">
        <v>7875</v>
      </c>
    </row>
    <row r="3384" spans="1:8" ht="105" x14ac:dyDescent="0.25">
      <c r="A3384" s="21" t="s">
        <v>7876</v>
      </c>
      <c r="B3384" s="25" t="s">
        <v>7878</v>
      </c>
      <c r="C3384" s="26"/>
      <c r="D3384" s="27"/>
      <c r="E3384" s="26"/>
      <c r="F3384" s="28"/>
      <c r="G3384" s="26"/>
      <c r="H3384" t="s">
        <v>7877</v>
      </c>
    </row>
    <row r="3385" spans="1:8" ht="30" x14ac:dyDescent="0.25">
      <c r="A3385" s="21" t="s">
        <v>7879</v>
      </c>
      <c r="B3385" s="25" t="s">
        <v>7785</v>
      </c>
      <c r="C3385" s="26">
        <v>1</v>
      </c>
      <c r="D3385" s="27" t="s">
        <v>201</v>
      </c>
      <c r="E3385" s="26">
        <v>264.60000000000002</v>
      </c>
      <c r="F3385" s="28" t="s">
        <v>202</v>
      </c>
      <c r="G3385" s="26">
        <f t="shared" ref="G3385:G3396" si="115">ROUND(C3385*E3385,0)</f>
        <v>265</v>
      </c>
      <c r="H3385" t="s">
        <v>7785</v>
      </c>
    </row>
    <row r="3386" spans="1:8" ht="30" x14ac:dyDescent="0.25">
      <c r="A3386" s="21" t="s">
        <v>7880</v>
      </c>
      <c r="B3386" s="25" t="s">
        <v>7787</v>
      </c>
      <c r="C3386" s="26">
        <v>1</v>
      </c>
      <c r="D3386" s="27" t="s">
        <v>201</v>
      </c>
      <c r="E3386" s="26">
        <v>291.64999999999998</v>
      </c>
      <c r="F3386" s="28" t="s">
        <v>202</v>
      </c>
      <c r="G3386" s="26">
        <f t="shared" si="115"/>
        <v>292</v>
      </c>
      <c r="H3386" t="s">
        <v>7787</v>
      </c>
    </row>
    <row r="3387" spans="1:8" ht="30" x14ac:dyDescent="0.25">
      <c r="A3387" s="21" t="s">
        <v>7881</v>
      </c>
      <c r="B3387" s="25" t="s">
        <v>7789</v>
      </c>
      <c r="C3387" s="26">
        <v>1</v>
      </c>
      <c r="D3387" s="27" t="s">
        <v>201</v>
      </c>
      <c r="E3387" s="26">
        <v>337.15</v>
      </c>
      <c r="F3387" s="28" t="s">
        <v>202</v>
      </c>
      <c r="G3387" s="26">
        <f t="shared" si="115"/>
        <v>337</v>
      </c>
      <c r="H3387" t="s">
        <v>7789</v>
      </c>
    </row>
    <row r="3388" spans="1:8" ht="30" x14ac:dyDescent="0.25">
      <c r="A3388" s="21" t="s">
        <v>7882</v>
      </c>
      <c r="B3388" s="25" t="s">
        <v>7791</v>
      </c>
      <c r="C3388" s="26">
        <v>1</v>
      </c>
      <c r="D3388" s="27" t="s">
        <v>201</v>
      </c>
      <c r="E3388" s="26">
        <v>394.05</v>
      </c>
      <c r="F3388" s="28" t="s">
        <v>202</v>
      </c>
      <c r="G3388" s="26">
        <f t="shared" si="115"/>
        <v>394</v>
      </c>
      <c r="H3388" t="s">
        <v>7791</v>
      </c>
    </row>
    <row r="3389" spans="1:8" ht="30" x14ac:dyDescent="0.25">
      <c r="A3389" s="21" t="s">
        <v>7883</v>
      </c>
      <c r="B3389" s="25" t="s">
        <v>7793</v>
      </c>
      <c r="C3389" s="26">
        <v>1</v>
      </c>
      <c r="D3389" s="27" t="s">
        <v>201</v>
      </c>
      <c r="E3389" s="26">
        <v>412.55</v>
      </c>
      <c r="F3389" s="28" t="s">
        <v>202</v>
      </c>
      <c r="G3389" s="26">
        <f t="shared" si="115"/>
        <v>413</v>
      </c>
      <c r="H3389" t="s">
        <v>7793</v>
      </c>
    </row>
    <row r="3390" spans="1:8" ht="30" x14ac:dyDescent="0.25">
      <c r="A3390" s="21" t="s">
        <v>7884</v>
      </c>
      <c r="B3390" s="25" t="s">
        <v>7795</v>
      </c>
      <c r="C3390" s="26">
        <v>1</v>
      </c>
      <c r="D3390" s="27" t="s">
        <v>201</v>
      </c>
      <c r="E3390" s="26">
        <v>505.05</v>
      </c>
      <c r="F3390" s="28" t="s">
        <v>202</v>
      </c>
      <c r="G3390" s="26">
        <f t="shared" si="115"/>
        <v>505</v>
      </c>
      <c r="H3390" t="s">
        <v>7795</v>
      </c>
    </row>
    <row r="3391" spans="1:8" ht="30" x14ac:dyDescent="0.25">
      <c r="A3391" s="21" t="s">
        <v>7885</v>
      </c>
      <c r="B3391" s="25" t="s">
        <v>7801</v>
      </c>
      <c r="C3391" s="26">
        <v>1</v>
      </c>
      <c r="D3391" s="27" t="s">
        <v>201</v>
      </c>
      <c r="E3391" s="26">
        <v>640.20000000000005</v>
      </c>
      <c r="F3391" s="28" t="s">
        <v>202</v>
      </c>
      <c r="G3391" s="26">
        <f t="shared" si="115"/>
        <v>640</v>
      </c>
      <c r="H3391" t="s">
        <v>7801</v>
      </c>
    </row>
    <row r="3392" spans="1:8" ht="30" x14ac:dyDescent="0.25">
      <c r="A3392" s="21" t="s">
        <v>7886</v>
      </c>
      <c r="B3392" s="25" t="s">
        <v>7803</v>
      </c>
      <c r="C3392" s="26">
        <v>1</v>
      </c>
      <c r="D3392" s="27" t="s">
        <v>201</v>
      </c>
      <c r="E3392" s="26">
        <v>768.25</v>
      </c>
      <c r="F3392" s="28" t="s">
        <v>202</v>
      </c>
      <c r="G3392" s="26">
        <f t="shared" si="115"/>
        <v>768</v>
      </c>
      <c r="H3392" t="s">
        <v>7803</v>
      </c>
    </row>
    <row r="3393" spans="1:8" ht="30" x14ac:dyDescent="0.25">
      <c r="A3393" s="21" t="s">
        <v>7887</v>
      </c>
      <c r="B3393" s="25" t="s">
        <v>7811</v>
      </c>
      <c r="C3393" s="26">
        <v>1</v>
      </c>
      <c r="D3393" s="27" t="s">
        <v>201</v>
      </c>
      <c r="E3393" s="26">
        <v>953.15</v>
      </c>
      <c r="F3393" s="28" t="s">
        <v>202</v>
      </c>
      <c r="G3393" s="26">
        <f t="shared" si="115"/>
        <v>953</v>
      </c>
      <c r="H3393" t="s">
        <v>7811</v>
      </c>
    </row>
    <row r="3394" spans="1:8" ht="30" x14ac:dyDescent="0.25">
      <c r="A3394" s="21" t="s">
        <v>7888</v>
      </c>
      <c r="B3394" s="25" t="s">
        <v>7813</v>
      </c>
      <c r="C3394" s="26">
        <v>1</v>
      </c>
      <c r="D3394" s="27" t="s">
        <v>201</v>
      </c>
      <c r="E3394" s="26">
        <v>1002.95</v>
      </c>
      <c r="F3394" s="28" t="s">
        <v>202</v>
      </c>
      <c r="G3394" s="26">
        <f t="shared" si="115"/>
        <v>1003</v>
      </c>
      <c r="H3394" t="s">
        <v>7813</v>
      </c>
    </row>
    <row r="3395" spans="1:8" ht="30" x14ac:dyDescent="0.25">
      <c r="A3395" s="21" t="s">
        <v>7889</v>
      </c>
      <c r="B3395" s="25" t="s">
        <v>7823</v>
      </c>
      <c r="C3395" s="26">
        <v>1</v>
      </c>
      <c r="D3395" s="27" t="s">
        <v>201</v>
      </c>
      <c r="E3395" s="26">
        <v>1287.5</v>
      </c>
      <c r="F3395" s="28" t="s">
        <v>202</v>
      </c>
      <c r="G3395" s="26">
        <f t="shared" si="115"/>
        <v>1288</v>
      </c>
      <c r="H3395" t="s">
        <v>7823</v>
      </c>
    </row>
    <row r="3396" spans="1:8" ht="30" x14ac:dyDescent="0.25">
      <c r="A3396" s="21" t="s">
        <v>7890</v>
      </c>
      <c r="B3396" s="25" t="s">
        <v>7825</v>
      </c>
      <c r="C3396" s="26">
        <v>1</v>
      </c>
      <c r="D3396" s="27" t="s">
        <v>201</v>
      </c>
      <c r="E3396" s="26">
        <v>1387.05</v>
      </c>
      <c r="F3396" s="28" t="s">
        <v>202</v>
      </c>
      <c r="G3396" s="26">
        <f t="shared" si="115"/>
        <v>1387</v>
      </c>
      <c r="H3396" t="s">
        <v>7825</v>
      </c>
    </row>
    <row r="3397" spans="1:8" ht="105" x14ac:dyDescent="0.25">
      <c r="A3397" s="21" t="s">
        <v>7891</v>
      </c>
      <c r="B3397" s="25" t="s">
        <v>7893</v>
      </c>
      <c r="C3397" s="26"/>
      <c r="D3397" s="27"/>
      <c r="E3397" s="26"/>
      <c r="F3397" s="28"/>
      <c r="G3397" s="26"/>
      <c r="H3397" t="s">
        <v>7892</v>
      </c>
    </row>
    <row r="3398" spans="1:8" x14ac:dyDescent="0.25">
      <c r="A3398" s="21" t="s">
        <v>7894</v>
      </c>
      <c r="B3398" s="25" t="s">
        <v>7854</v>
      </c>
      <c r="C3398" s="26">
        <v>1</v>
      </c>
      <c r="D3398" s="27" t="s">
        <v>201</v>
      </c>
      <c r="E3398" s="26">
        <v>697.1</v>
      </c>
      <c r="F3398" s="28" t="s">
        <v>7855</v>
      </c>
      <c r="G3398" s="26">
        <f t="shared" ref="G3398:G3404" si="116">ROUND(C3398*E3398,0)</f>
        <v>697</v>
      </c>
      <c r="H3398" t="s">
        <v>7854</v>
      </c>
    </row>
    <row r="3399" spans="1:8" x14ac:dyDescent="0.25">
      <c r="A3399" s="21" t="s">
        <v>7895</v>
      </c>
      <c r="B3399" s="25" t="s">
        <v>7857</v>
      </c>
      <c r="C3399" s="26">
        <v>1</v>
      </c>
      <c r="D3399" s="27" t="s">
        <v>201</v>
      </c>
      <c r="E3399" s="26">
        <v>782.45</v>
      </c>
      <c r="F3399" s="28" t="s">
        <v>7855</v>
      </c>
      <c r="G3399" s="26">
        <f t="shared" si="116"/>
        <v>782</v>
      </c>
      <c r="H3399" t="s">
        <v>7857</v>
      </c>
    </row>
    <row r="3400" spans="1:8" x14ac:dyDescent="0.25">
      <c r="A3400" s="21" t="s">
        <v>7896</v>
      </c>
      <c r="B3400" s="25" t="s">
        <v>7859</v>
      </c>
      <c r="C3400" s="26">
        <v>1</v>
      </c>
      <c r="D3400" s="27" t="s">
        <v>201</v>
      </c>
      <c r="E3400" s="26">
        <v>917.6</v>
      </c>
      <c r="F3400" s="28" t="s">
        <v>7855</v>
      </c>
      <c r="G3400" s="26">
        <f t="shared" si="116"/>
        <v>918</v>
      </c>
      <c r="H3400" t="s">
        <v>7859</v>
      </c>
    </row>
    <row r="3401" spans="1:8" x14ac:dyDescent="0.25">
      <c r="A3401" s="21" t="s">
        <v>7897</v>
      </c>
      <c r="B3401" s="25" t="s">
        <v>7898</v>
      </c>
      <c r="C3401" s="26">
        <v>1</v>
      </c>
      <c r="D3401" s="27" t="s">
        <v>201</v>
      </c>
      <c r="E3401" s="26">
        <v>1515.1</v>
      </c>
      <c r="F3401" s="28" t="s">
        <v>7855</v>
      </c>
      <c r="G3401" s="26">
        <f t="shared" si="116"/>
        <v>1515</v>
      </c>
      <c r="H3401" t="s">
        <v>7898</v>
      </c>
    </row>
    <row r="3402" spans="1:8" ht="30" x14ac:dyDescent="0.25">
      <c r="A3402" s="21" t="s">
        <v>7899</v>
      </c>
      <c r="B3402" s="25" t="s">
        <v>7869</v>
      </c>
      <c r="C3402" s="26">
        <v>1</v>
      </c>
      <c r="D3402" s="27" t="s">
        <v>201</v>
      </c>
      <c r="E3402" s="26">
        <v>1621.8</v>
      </c>
      <c r="F3402" s="28" t="s">
        <v>7855</v>
      </c>
      <c r="G3402" s="26">
        <f t="shared" si="116"/>
        <v>1622</v>
      </c>
      <c r="H3402" t="s">
        <v>7869</v>
      </c>
    </row>
    <row r="3403" spans="1:8" ht="30" x14ac:dyDescent="0.25">
      <c r="A3403" s="21" t="s">
        <v>7900</v>
      </c>
      <c r="B3403" s="25" t="s">
        <v>7901</v>
      </c>
      <c r="C3403" s="26">
        <v>1</v>
      </c>
      <c r="D3403" s="27" t="s">
        <v>201</v>
      </c>
      <c r="E3403" s="26">
        <v>2489.6</v>
      </c>
      <c r="F3403" s="28" t="s">
        <v>7855</v>
      </c>
      <c r="G3403" s="26">
        <f t="shared" si="116"/>
        <v>2490</v>
      </c>
      <c r="H3403" t="s">
        <v>7901</v>
      </c>
    </row>
    <row r="3404" spans="1:8" x14ac:dyDescent="0.25">
      <c r="A3404" s="21" t="s">
        <v>7902</v>
      </c>
      <c r="B3404" s="25" t="s">
        <v>7875</v>
      </c>
      <c r="C3404" s="26">
        <v>1</v>
      </c>
      <c r="D3404" s="27" t="s">
        <v>201</v>
      </c>
      <c r="E3404" s="26">
        <v>3819.8</v>
      </c>
      <c r="F3404" s="28" t="s">
        <v>7855</v>
      </c>
      <c r="G3404" s="26">
        <f t="shared" si="116"/>
        <v>3820</v>
      </c>
      <c r="H3404" t="s">
        <v>7875</v>
      </c>
    </row>
    <row r="3405" spans="1:8" ht="105" x14ac:dyDescent="0.25">
      <c r="A3405" s="21" t="s">
        <v>7903</v>
      </c>
      <c r="B3405" s="25" t="s">
        <v>7905</v>
      </c>
      <c r="C3405" s="26"/>
      <c r="D3405" s="27"/>
      <c r="E3405" s="26"/>
      <c r="F3405" s="28"/>
      <c r="G3405" s="26"/>
      <c r="H3405" t="s">
        <v>7904</v>
      </c>
    </row>
    <row r="3406" spans="1:8" ht="30" x14ac:dyDescent="0.25">
      <c r="A3406" s="21" t="s">
        <v>7906</v>
      </c>
      <c r="B3406" s="25" t="s">
        <v>7785</v>
      </c>
      <c r="C3406" s="26">
        <v>1</v>
      </c>
      <c r="D3406" s="27" t="s">
        <v>201</v>
      </c>
      <c r="E3406" s="26">
        <v>250.4</v>
      </c>
      <c r="F3406" s="28" t="s">
        <v>202</v>
      </c>
      <c r="G3406" s="26">
        <f t="shared" ref="G3406:G3416" si="117">ROUND(C3406*E3406,0)</f>
        <v>250</v>
      </c>
      <c r="H3406" t="s">
        <v>7785</v>
      </c>
    </row>
    <row r="3407" spans="1:8" ht="30" x14ac:dyDescent="0.25">
      <c r="A3407" s="21" t="s">
        <v>7907</v>
      </c>
      <c r="B3407" s="25" t="s">
        <v>7787</v>
      </c>
      <c r="C3407" s="26">
        <v>1</v>
      </c>
      <c r="D3407" s="27" t="s">
        <v>201</v>
      </c>
      <c r="E3407" s="26">
        <v>268.85000000000002</v>
      </c>
      <c r="F3407" s="28" t="s">
        <v>202</v>
      </c>
      <c r="G3407" s="26">
        <f t="shared" si="117"/>
        <v>269</v>
      </c>
      <c r="H3407" t="s">
        <v>7787</v>
      </c>
    </row>
    <row r="3408" spans="1:8" ht="30" x14ac:dyDescent="0.25">
      <c r="A3408" s="21" t="s">
        <v>7908</v>
      </c>
      <c r="B3408" s="25" t="s">
        <v>7789</v>
      </c>
      <c r="C3408" s="26">
        <v>1</v>
      </c>
      <c r="D3408" s="27" t="s">
        <v>201</v>
      </c>
      <c r="E3408" s="26">
        <v>300.2</v>
      </c>
      <c r="F3408" s="28" t="s">
        <v>202</v>
      </c>
      <c r="G3408" s="26">
        <f t="shared" si="117"/>
        <v>300</v>
      </c>
      <c r="H3408" t="s">
        <v>7789</v>
      </c>
    </row>
    <row r="3409" spans="1:8" ht="30" x14ac:dyDescent="0.25">
      <c r="A3409" s="21" t="s">
        <v>7909</v>
      </c>
      <c r="B3409" s="25" t="s">
        <v>7793</v>
      </c>
      <c r="C3409" s="26">
        <v>1</v>
      </c>
      <c r="D3409" s="27" t="s">
        <v>201</v>
      </c>
      <c r="E3409" s="26">
        <v>458.1</v>
      </c>
      <c r="F3409" s="28" t="s">
        <v>202</v>
      </c>
      <c r="G3409" s="26">
        <f t="shared" si="117"/>
        <v>458</v>
      </c>
      <c r="H3409" t="s">
        <v>7793</v>
      </c>
    </row>
    <row r="3410" spans="1:8" ht="30" x14ac:dyDescent="0.25">
      <c r="A3410" s="21" t="s">
        <v>7910</v>
      </c>
      <c r="B3410" s="25" t="s">
        <v>7795</v>
      </c>
      <c r="C3410" s="26">
        <v>1</v>
      </c>
      <c r="D3410" s="27" t="s">
        <v>201</v>
      </c>
      <c r="E3410" s="26">
        <v>460.95</v>
      </c>
      <c r="F3410" s="28" t="s">
        <v>202</v>
      </c>
      <c r="G3410" s="26">
        <f t="shared" si="117"/>
        <v>461</v>
      </c>
      <c r="H3410" t="s">
        <v>7795</v>
      </c>
    </row>
    <row r="3411" spans="1:8" ht="30" x14ac:dyDescent="0.25">
      <c r="A3411" s="21" t="s">
        <v>7911</v>
      </c>
      <c r="B3411" s="25" t="s">
        <v>7801</v>
      </c>
      <c r="C3411" s="26">
        <v>1</v>
      </c>
      <c r="D3411" s="27" t="s">
        <v>201</v>
      </c>
      <c r="E3411" s="26">
        <v>675.75</v>
      </c>
      <c r="F3411" s="28" t="s">
        <v>202</v>
      </c>
      <c r="G3411" s="26">
        <f t="shared" si="117"/>
        <v>676</v>
      </c>
      <c r="H3411" t="s">
        <v>7801</v>
      </c>
    </row>
    <row r="3412" spans="1:8" ht="30" x14ac:dyDescent="0.25">
      <c r="A3412" s="21" t="s">
        <v>7912</v>
      </c>
      <c r="B3412" s="25" t="s">
        <v>7803</v>
      </c>
      <c r="C3412" s="26">
        <v>1</v>
      </c>
      <c r="D3412" s="27" t="s">
        <v>201</v>
      </c>
      <c r="E3412" s="26">
        <v>803.8</v>
      </c>
      <c r="F3412" s="28" t="s">
        <v>202</v>
      </c>
      <c r="G3412" s="26">
        <f t="shared" si="117"/>
        <v>804</v>
      </c>
      <c r="H3412" t="s">
        <v>7803</v>
      </c>
    </row>
    <row r="3413" spans="1:8" ht="30" x14ac:dyDescent="0.25">
      <c r="A3413" s="21" t="s">
        <v>7913</v>
      </c>
      <c r="B3413" s="25" t="s">
        <v>7811</v>
      </c>
      <c r="C3413" s="26">
        <v>1</v>
      </c>
      <c r="D3413" s="27" t="s">
        <v>201</v>
      </c>
      <c r="E3413" s="26">
        <v>1017.2</v>
      </c>
      <c r="F3413" s="28" t="s">
        <v>202</v>
      </c>
      <c r="G3413" s="26">
        <f t="shared" si="117"/>
        <v>1017</v>
      </c>
      <c r="H3413" t="s">
        <v>7811</v>
      </c>
    </row>
    <row r="3414" spans="1:8" ht="30" x14ac:dyDescent="0.25">
      <c r="A3414" s="21" t="s">
        <v>7914</v>
      </c>
      <c r="B3414" s="25" t="s">
        <v>7813</v>
      </c>
      <c r="C3414" s="26">
        <v>1</v>
      </c>
      <c r="D3414" s="27" t="s">
        <v>201</v>
      </c>
      <c r="E3414" s="26">
        <v>1038.5</v>
      </c>
      <c r="F3414" s="28" t="s">
        <v>202</v>
      </c>
      <c r="G3414" s="26">
        <f t="shared" si="117"/>
        <v>1039</v>
      </c>
      <c r="H3414" t="s">
        <v>7813</v>
      </c>
    </row>
    <row r="3415" spans="1:8" ht="30" x14ac:dyDescent="0.25">
      <c r="A3415" s="21" t="s">
        <v>7915</v>
      </c>
      <c r="B3415" s="25" t="s">
        <v>7823</v>
      </c>
      <c r="C3415" s="26">
        <v>1</v>
      </c>
      <c r="D3415" s="27" t="s">
        <v>201</v>
      </c>
      <c r="E3415" s="26">
        <v>1330.15</v>
      </c>
      <c r="F3415" s="28" t="s">
        <v>202</v>
      </c>
      <c r="G3415" s="26">
        <f t="shared" si="117"/>
        <v>1330</v>
      </c>
      <c r="H3415" t="s">
        <v>7823</v>
      </c>
    </row>
    <row r="3416" spans="1:8" ht="30" x14ac:dyDescent="0.25">
      <c r="A3416" s="21" t="s">
        <v>7916</v>
      </c>
      <c r="B3416" s="25" t="s">
        <v>7825</v>
      </c>
      <c r="C3416" s="26">
        <v>1</v>
      </c>
      <c r="D3416" s="27" t="s">
        <v>201</v>
      </c>
      <c r="E3416" s="26">
        <v>1621.8</v>
      </c>
      <c r="F3416" s="28" t="s">
        <v>202</v>
      </c>
      <c r="G3416" s="26">
        <f t="shared" si="117"/>
        <v>1622</v>
      </c>
      <c r="H3416" t="s">
        <v>7825</v>
      </c>
    </row>
    <row r="3417" spans="1:8" ht="105" x14ac:dyDescent="0.25">
      <c r="A3417" s="21" t="s">
        <v>7917</v>
      </c>
      <c r="B3417" s="25" t="s">
        <v>7919</v>
      </c>
      <c r="C3417" s="26"/>
      <c r="D3417" s="27"/>
      <c r="E3417" s="26"/>
      <c r="F3417" s="28"/>
      <c r="G3417" s="26"/>
      <c r="H3417" t="s">
        <v>7918</v>
      </c>
    </row>
    <row r="3418" spans="1:8" x14ac:dyDescent="0.25">
      <c r="A3418" s="21" t="s">
        <v>7920</v>
      </c>
      <c r="B3418" s="25" t="s">
        <v>7854</v>
      </c>
      <c r="C3418" s="26">
        <v>1</v>
      </c>
      <c r="D3418" s="27" t="s">
        <v>201</v>
      </c>
      <c r="E3418" s="26">
        <v>640.20000000000005</v>
      </c>
      <c r="F3418" s="28" t="s">
        <v>7855</v>
      </c>
      <c r="G3418" s="26">
        <f t="shared" ref="G3418:G3424" si="118">ROUND(C3418*E3418,0)</f>
        <v>640</v>
      </c>
      <c r="H3418" t="s">
        <v>7854</v>
      </c>
    </row>
    <row r="3419" spans="1:8" x14ac:dyDescent="0.25">
      <c r="A3419" s="21" t="s">
        <v>7921</v>
      </c>
      <c r="B3419" s="25" t="s">
        <v>7857</v>
      </c>
      <c r="C3419" s="26">
        <v>1</v>
      </c>
      <c r="D3419" s="27" t="s">
        <v>201</v>
      </c>
      <c r="E3419" s="26">
        <v>761.1</v>
      </c>
      <c r="F3419" s="28" t="s">
        <v>7855</v>
      </c>
      <c r="G3419" s="26">
        <f t="shared" si="118"/>
        <v>761</v>
      </c>
      <c r="H3419" t="s">
        <v>7857</v>
      </c>
    </row>
    <row r="3420" spans="1:8" x14ac:dyDescent="0.25">
      <c r="A3420" s="21" t="s">
        <v>7922</v>
      </c>
      <c r="B3420" s="25" t="s">
        <v>7859</v>
      </c>
      <c r="C3420" s="26">
        <v>1</v>
      </c>
      <c r="D3420" s="27" t="s">
        <v>201</v>
      </c>
      <c r="E3420" s="26">
        <v>803.8</v>
      </c>
      <c r="F3420" s="28" t="s">
        <v>7855</v>
      </c>
      <c r="G3420" s="26">
        <f t="shared" si="118"/>
        <v>804</v>
      </c>
      <c r="H3420" t="s">
        <v>7859</v>
      </c>
    </row>
    <row r="3421" spans="1:8" x14ac:dyDescent="0.25">
      <c r="A3421" s="21" t="s">
        <v>7923</v>
      </c>
      <c r="B3421" s="25" t="s">
        <v>7898</v>
      </c>
      <c r="C3421" s="26">
        <v>1</v>
      </c>
      <c r="D3421" s="27" t="s">
        <v>201</v>
      </c>
      <c r="E3421" s="26">
        <v>1052.75</v>
      </c>
      <c r="F3421" s="28" t="s">
        <v>7855</v>
      </c>
      <c r="G3421" s="26">
        <f t="shared" si="118"/>
        <v>1053</v>
      </c>
      <c r="H3421" t="s">
        <v>7898</v>
      </c>
    </row>
    <row r="3422" spans="1:8" ht="30" x14ac:dyDescent="0.25">
      <c r="A3422" s="21" t="s">
        <v>7924</v>
      </c>
      <c r="B3422" s="25" t="s">
        <v>7869</v>
      </c>
      <c r="C3422" s="26">
        <v>1</v>
      </c>
      <c r="D3422" s="27" t="s">
        <v>201</v>
      </c>
      <c r="E3422" s="26">
        <v>1543.55</v>
      </c>
      <c r="F3422" s="28" t="s">
        <v>7855</v>
      </c>
      <c r="G3422" s="26">
        <f t="shared" si="118"/>
        <v>1544</v>
      </c>
      <c r="H3422" t="s">
        <v>7869</v>
      </c>
    </row>
    <row r="3423" spans="1:8" ht="30" x14ac:dyDescent="0.25">
      <c r="A3423" s="21" t="s">
        <v>7925</v>
      </c>
      <c r="B3423" s="25" t="s">
        <v>7901</v>
      </c>
      <c r="C3423" s="26">
        <v>1</v>
      </c>
      <c r="D3423" s="27" t="s">
        <v>201</v>
      </c>
      <c r="E3423" s="26">
        <v>2247.75</v>
      </c>
      <c r="F3423" s="28" t="s">
        <v>7855</v>
      </c>
      <c r="G3423" s="26">
        <f t="shared" si="118"/>
        <v>2248</v>
      </c>
      <c r="H3423" t="s">
        <v>7901</v>
      </c>
    </row>
    <row r="3424" spans="1:8" x14ac:dyDescent="0.25">
      <c r="A3424" s="21" t="s">
        <v>7926</v>
      </c>
      <c r="B3424" s="25" t="s">
        <v>7875</v>
      </c>
      <c r="C3424" s="26">
        <v>1</v>
      </c>
      <c r="D3424" s="27" t="s">
        <v>201</v>
      </c>
      <c r="E3424" s="26">
        <v>3016</v>
      </c>
      <c r="F3424" s="28" t="s">
        <v>7855</v>
      </c>
      <c r="G3424" s="26">
        <f t="shared" si="118"/>
        <v>3016</v>
      </c>
      <c r="H3424" t="s">
        <v>7875</v>
      </c>
    </row>
    <row r="3425" spans="1:8" ht="90" x14ac:dyDescent="0.25">
      <c r="A3425" s="21" t="s">
        <v>7927</v>
      </c>
      <c r="B3425" s="25" t="s">
        <v>7929</v>
      </c>
      <c r="C3425" s="26"/>
      <c r="D3425" s="27"/>
      <c r="E3425" s="26"/>
      <c r="F3425" s="28"/>
      <c r="G3425" s="26"/>
      <c r="H3425" t="s">
        <v>7928</v>
      </c>
    </row>
    <row r="3426" spans="1:8" ht="30" x14ac:dyDescent="0.25">
      <c r="A3426" s="21" t="s">
        <v>7930</v>
      </c>
      <c r="B3426" s="25" t="s">
        <v>7785</v>
      </c>
      <c r="C3426" s="26">
        <v>1</v>
      </c>
      <c r="D3426" s="27" t="s">
        <v>201</v>
      </c>
      <c r="E3426" s="26">
        <v>317.25</v>
      </c>
      <c r="F3426" s="28" t="s">
        <v>202</v>
      </c>
      <c r="G3426" s="26">
        <f t="shared" ref="G3426:G3432" si="119">ROUND(C3426*E3426,0)</f>
        <v>317</v>
      </c>
      <c r="H3426" t="s">
        <v>7785</v>
      </c>
    </row>
    <row r="3427" spans="1:8" ht="30" x14ac:dyDescent="0.25">
      <c r="A3427" s="21" t="s">
        <v>7931</v>
      </c>
      <c r="B3427" s="25" t="s">
        <v>7787</v>
      </c>
      <c r="C3427" s="26">
        <v>1</v>
      </c>
      <c r="D3427" s="27" t="s">
        <v>201</v>
      </c>
      <c r="E3427" s="26">
        <v>364.2</v>
      </c>
      <c r="F3427" s="28" t="s">
        <v>202</v>
      </c>
      <c r="G3427" s="26">
        <f t="shared" si="119"/>
        <v>364</v>
      </c>
      <c r="H3427" t="s">
        <v>7787</v>
      </c>
    </row>
    <row r="3428" spans="1:8" ht="30" x14ac:dyDescent="0.25">
      <c r="A3428" s="21" t="s">
        <v>7932</v>
      </c>
      <c r="B3428" s="25" t="s">
        <v>7789</v>
      </c>
      <c r="C3428" s="26">
        <v>1</v>
      </c>
      <c r="D3428" s="27" t="s">
        <v>201</v>
      </c>
      <c r="E3428" s="26">
        <v>395.5</v>
      </c>
      <c r="F3428" s="28" t="s">
        <v>202</v>
      </c>
      <c r="G3428" s="26">
        <f t="shared" si="119"/>
        <v>396</v>
      </c>
      <c r="H3428" t="s">
        <v>7789</v>
      </c>
    </row>
    <row r="3429" spans="1:8" ht="30" x14ac:dyDescent="0.25">
      <c r="A3429" s="21" t="s">
        <v>7933</v>
      </c>
      <c r="B3429" s="25" t="s">
        <v>7795</v>
      </c>
      <c r="C3429" s="26">
        <v>1</v>
      </c>
      <c r="D3429" s="27" t="s">
        <v>201</v>
      </c>
      <c r="E3429" s="26">
        <v>604.6</v>
      </c>
      <c r="F3429" s="28" t="s">
        <v>202</v>
      </c>
      <c r="G3429" s="26">
        <f t="shared" si="119"/>
        <v>605</v>
      </c>
      <c r="H3429" t="s">
        <v>7795</v>
      </c>
    </row>
    <row r="3430" spans="1:8" ht="30" x14ac:dyDescent="0.25">
      <c r="A3430" s="21" t="s">
        <v>7934</v>
      </c>
      <c r="B3430" s="25" t="s">
        <v>7803</v>
      </c>
      <c r="C3430" s="26">
        <v>1</v>
      </c>
      <c r="D3430" s="27" t="s">
        <v>201</v>
      </c>
      <c r="E3430" s="26">
        <v>917.6</v>
      </c>
      <c r="F3430" s="28" t="s">
        <v>202</v>
      </c>
      <c r="G3430" s="26">
        <f t="shared" si="119"/>
        <v>918</v>
      </c>
      <c r="H3430" t="s">
        <v>7803</v>
      </c>
    </row>
    <row r="3431" spans="1:8" ht="30" x14ac:dyDescent="0.25">
      <c r="A3431" s="21" t="s">
        <v>7935</v>
      </c>
      <c r="B3431" s="25" t="s">
        <v>7813</v>
      </c>
      <c r="C3431" s="26">
        <v>1</v>
      </c>
      <c r="D3431" s="27" t="s">
        <v>201</v>
      </c>
      <c r="E3431" s="26">
        <v>1298.8499999999999</v>
      </c>
      <c r="F3431" s="28" t="s">
        <v>202</v>
      </c>
      <c r="G3431" s="26">
        <f t="shared" si="119"/>
        <v>1299</v>
      </c>
      <c r="H3431" t="s">
        <v>7813</v>
      </c>
    </row>
    <row r="3432" spans="1:8" ht="30" x14ac:dyDescent="0.25">
      <c r="A3432" s="21" t="s">
        <v>7936</v>
      </c>
      <c r="B3432" s="25" t="s">
        <v>7825</v>
      </c>
      <c r="C3432" s="26">
        <v>1</v>
      </c>
      <c r="D3432" s="27" t="s">
        <v>201</v>
      </c>
      <c r="E3432" s="26">
        <v>1756.95</v>
      </c>
      <c r="F3432" s="28" t="s">
        <v>202</v>
      </c>
      <c r="G3432" s="26">
        <f t="shared" si="119"/>
        <v>1757</v>
      </c>
      <c r="H3432" t="s">
        <v>7825</v>
      </c>
    </row>
    <row r="3433" spans="1:8" ht="105" x14ac:dyDescent="0.25">
      <c r="A3433" s="21" t="s">
        <v>7937</v>
      </c>
      <c r="B3433" s="25" t="s">
        <v>7939</v>
      </c>
      <c r="C3433" s="26"/>
      <c r="D3433" s="27"/>
      <c r="E3433" s="26"/>
      <c r="F3433" s="28"/>
      <c r="G3433" s="26"/>
      <c r="H3433" t="s">
        <v>7938</v>
      </c>
    </row>
    <row r="3434" spans="1:8" ht="30" x14ac:dyDescent="0.25">
      <c r="A3434" s="21" t="s">
        <v>7940</v>
      </c>
      <c r="B3434" s="25" t="s">
        <v>7785</v>
      </c>
      <c r="C3434" s="26">
        <v>1</v>
      </c>
      <c r="D3434" s="27" t="s">
        <v>201</v>
      </c>
      <c r="E3434" s="26">
        <v>270.3</v>
      </c>
      <c r="F3434" s="28" t="s">
        <v>202</v>
      </c>
      <c r="G3434" s="26">
        <f t="shared" ref="G3434:G3442" si="120">ROUND(C3434*E3434,0)</f>
        <v>270</v>
      </c>
      <c r="H3434" t="s">
        <v>7785</v>
      </c>
    </row>
    <row r="3435" spans="1:8" ht="30" x14ac:dyDescent="0.25">
      <c r="A3435" s="21" t="s">
        <v>7941</v>
      </c>
      <c r="B3435" s="25" t="s">
        <v>7787</v>
      </c>
      <c r="C3435" s="26">
        <v>1</v>
      </c>
      <c r="D3435" s="27" t="s">
        <v>201</v>
      </c>
      <c r="E3435" s="26">
        <v>305.85000000000002</v>
      </c>
      <c r="F3435" s="28" t="s">
        <v>202</v>
      </c>
      <c r="G3435" s="26">
        <f t="shared" si="120"/>
        <v>306</v>
      </c>
      <c r="H3435" t="s">
        <v>7787</v>
      </c>
    </row>
    <row r="3436" spans="1:8" ht="30" x14ac:dyDescent="0.25">
      <c r="A3436" s="21" t="s">
        <v>7942</v>
      </c>
      <c r="B3436" s="25" t="s">
        <v>7789</v>
      </c>
      <c r="C3436" s="26">
        <v>1</v>
      </c>
      <c r="D3436" s="27" t="s">
        <v>201</v>
      </c>
      <c r="E3436" s="26">
        <v>341.45</v>
      </c>
      <c r="F3436" s="28" t="s">
        <v>202</v>
      </c>
      <c r="G3436" s="26">
        <f t="shared" si="120"/>
        <v>341</v>
      </c>
      <c r="H3436" t="s">
        <v>7789</v>
      </c>
    </row>
    <row r="3437" spans="1:8" ht="30" x14ac:dyDescent="0.25">
      <c r="A3437" s="21" t="s">
        <v>7943</v>
      </c>
      <c r="B3437" s="25" t="s">
        <v>7795</v>
      </c>
      <c r="C3437" s="26">
        <v>1</v>
      </c>
      <c r="D3437" s="27" t="s">
        <v>201</v>
      </c>
      <c r="E3437" s="26">
        <v>369.9</v>
      </c>
      <c r="F3437" s="28" t="s">
        <v>202</v>
      </c>
      <c r="G3437" s="26">
        <f t="shared" si="120"/>
        <v>370</v>
      </c>
      <c r="H3437" t="s">
        <v>7795</v>
      </c>
    </row>
    <row r="3438" spans="1:8" ht="30" x14ac:dyDescent="0.25">
      <c r="A3438" s="21" t="s">
        <v>7944</v>
      </c>
      <c r="B3438" s="25" t="s">
        <v>7803</v>
      </c>
      <c r="C3438" s="26">
        <v>1</v>
      </c>
      <c r="D3438" s="27" t="s">
        <v>201</v>
      </c>
      <c r="E3438" s="26">
        <v>476.6</v>
      </c>
      <c r="F3438" s="28" t="s">
        <v>202</v>
      </c>
      <c r="G3438" s="26">
        <f t="shared" si="120"/>
        <v>477</v>
      </c>
      <c r="H3438" t="s">
        <v>7803</v>
      </c>
    </row>
    <row r="3439" spans="1:8" ht="30" x14ac:dyDescent="0.25">
      <c r="A3439" s="21" t="s">
        <v>7945</v>
      </c>
      <c r="B3439" s="25" t="s">
        <v>7811</v>
      </c>
      <c r="C3439" s="26">
        <v>1</v>
      </c>
      <c r="D3439" s="27" t="s">
        <v>201</v>
      </c>
      <c r="E3439" s="26">
        <v>754</v>
      </c>
      <c r="F3439" s="28" t="s">
        <v>202</v>
      </c>
      <c r="G3439" s="26">
        <f t="shared" si="120"/>
        <v>754</v>
      </c>
      <c r="H3439" t="s">
        <v>7811</v>
      </c>
    </row>
    <row r="3440" spans="1:8" ht="30" x14ac:dyDescent="0.25">
      <c r="A3440" s="21" t="s">
        <v>7946</v>
      </c>
      <c r="B3440" s="25" t="s">
        <v>7813</v>
      </c>
      <c r="C3440" s="26">
        <v>1</v>
      </c>
      <c r="D3440" s="27" t="s">
        <v>201</v>
      </c>
      <c r="E3440" s="26">
        <v>754</v>
      </c>
      <c r="F3440" s="28" t="s">
        <v>202</v>
      </c>
      <c r="G3440" s="26">
        <f t="shared" si="120"/>
        <v>754</v>
      </c>
      <c r="H3440" t="s">
        <v>7813</v>
      </c>
    </row>
    <row r="3441" spans="1:8" ht="30" x14ac:dyDescent="0.25">
      <c r="A3441" s="21" t="s">
        <v>7947</v>
      </c>
      <c r="B3441" s="25" t="s">
        <v>7823</v>
      </c>
      <c r="C3441" s="26">
        <v>1</v>
      </c>
      <c r="D3441" s="27" t="s">
        <v>201</v>
      </c>
      <c r="E3441" s="26">
        <v>1123.9000000000001</v>
      </c>
      <c r="F3441" s="28" t="s">
        <v>202</v>
      </c>
      <c r="G3441" s="26">
        <f t="shared" si="120"/>
        <v>1124</v>
      </c>
      <c r="H3441" t="s">
        <v>7823</v>
      </c>
    </row>
    <row r="3442" spans="1:8" ht="30" x14ac:dyDescent="0.25">
      <c r="A3442" s="21" t="s">
        <v>7948</v>
      </c>
      <c r="B3442" s="25" t="s">
        <v>7825</v>
      </c>
      <c r="C3442" s="26">
        <v>1</v>
      </c>
      <c r="D3442" s="27" t="s">
        <v>201</v>
      </c>
      <c r="E3442" s="26">
        <v>1123.9000000000001</v>
      </c>
      <c r="F3442" s="28" t="s">
        <v>202</v>
      </c>
      <c r="G3442" s="26">
        <f t="shared" si="120"/>
        <v>1124</v>
      </c>
      <c r="H3442" t="s">
        <v>7825</v>
      </c>
    </row>
    <row r="3443" spans="1:8" ht="105" x14ac:dyDescent="0.25">
      <c r="A3443" s="21" t="s">
        <v>7949</v>
      </c>
      <c r="B3443" s="25" t="s">
        <v>7951</v>
      </c>
      <c r="C3443" s="26"/>
      <c r="D3443" s="27"/>
      <c r="E3443" s="26"/>
      <c r="F3443" s="28"/>
      <c r="G3443" s="26"/>
      <c r="H3443" t="s">
        <v>7950</v>
      </c>
    </row>
    <row r="3444" spans="1:8" x14ac:dyDescent="0.25">
      <c r="A3444" s="21" t="s">
        <v>7952</v>
      </c>
      <c r="B3444" s="25" t="s">
        <v>7854</v>
      </c>
      <c r="C3444" s="26">
        <v>1</v>
      </c>
      <c r="D3444" s="27" t="s">
        <v>201</v>
      </c>
      <c r="E3444" s="26">
        <v>1017.2</v>
      </c>
      <c r="F3444" s="28" t="s">
        <v>7855</v>
      </c>
      <c r="G3444" s="26">
        <f t="shared" ref="G3444:G3449" si="121">ROUND(C3444*E3444,0)</f>
        <v>1017</v>
      </c>
      <c r="H3444" t="s">
        <v>7854</v>
      </c>
    </row>
    <row r="3445" spans="1:8" x14ac:dyDescent="0.25">
      <c r="A3445" s="21" t="s">
        <v>7953</v>
      </c>
      <c r="B3445" s="25" t="s">
        <v>7859</v>
      </c>
      <c r="C3445" s="26">
        <v>1</v>
      </c>
      <c r="D3445" s="27" t="s">
        <v>201</v>
      </c>
      <c r="E3445" s="26">
        <v>1365.7</v>
      </c>
      <c r="F3445" s="28" t="s">
        <v>7855</v>
      </c>
      <c r="G3445" s="26">
        <f t="shared" si="121"/>
        <v>1366</v>
      </c>
      <c r="H3445" t="s">
        <v>7859</v>
      </c>
    </row>
    <row r="3446" spans="1:8" x14ac:dyDescent="0.25">
      <c r="A3446" s="21" t="s">
        <v>7954</v>
      </c>
      <c r="B3446" s="25" t="s">
        <v>7865</v>
      </c>
      <c r="C3446" s="26">
        <v>1</v>
      </c>
      <c r="D3446" s="27" t="s">
        <v>201</v>
      </c>
      <c r="E3446" s="26">
        <v>1877.9</v>
      </c>
      <c r="F3446" s="28" t="s">
        <v>7855</v>
      </c>
      <c r="G3446" s="26">
        <f t="shared" si="121"/>
        <v>1878</v>
      </c>
      <c r="H3446" t="s">
        <v>7865</v>
      </c>
    </row>
    <row r="3447" spans="1:8" ht="30" x14ac:dyDescent="0.25">
      <c r="A3447" s="21" t="s">
        <v>7955</v>
      </c>
      <c r="B3447" s="25" t="s">
        <v>7956</v>
      </c>
      <c r="C3447" s="26">
        <v>1</v>
      </c>
      <c r="D3447" s="27" t="s">
        <v>201</v>
      </c>
      <c r="E3447" s="26">
        <v>3051.55</v>
      </c>
      <c r="F3447" s="28" t="s">
        <v>7855</v>
      </c>
      <c r="G3447" s="26">
        <f t="shared" si="121"/>
        <v>3052</v>
      </c>
      <c r="H3447" t="s">
        <v>7956</v>
      </c>
    </row>
    <row r="3448" spans="1:8" ht="30" x14ac:dyDescent="0.25">
      <c r="A3448" s="21" t="s">
        <v>7957</v>
      </c>
      <c r="B3448" s="25" t="s">
        <v>7958</v>
      </c>
      <c r="C3448" s="26">
        <v>1</v>
      </c>
      <c r="D3448" s="27" t="s">
        <v>201</v>
      </c>
      <c r="E3448" s="26">
        <v>3321.85</v>
      </c>
      <c r="F3448" s="28" t="s">
        <v>7855</v>
      </c>
      <c r="G3448" s="26">
        <f t="shared" si="121"/>
        <v>3322</v>
      </c>
      <c r="H3448" t="s">
        <v>7958</v>
      </c>
    </row>
    <row r="3449" spans="1:8" x14ac:dyDescent="0.25">
      <c r="A3449" s="21" t="s">
        <v>7959</v>
      </c>
      <c r="B3449" s="25" t="s">
        <v>7875</v>
      </c>
      <c r="C3449" s="26">
        <v>1</v>
      </c>
      <c r="D3449" s="27" t="s">
        <v>201</v>
      </c>
      <c r="E3449" s="26">
        <v>5135.7</v>
      </c>
      <c r="F3449" s="28" t="s">
        <v>7855</v>
      </c>
      <c r="G3449" s="26">
        <f t="shared" si="121"/>
        <v>5136</v>
      </c>
      <c r="H3449" t="s">
        <v>7875</v>
      </c>
    </row>
    <row r="3450" spans="1:8" ht="105" x14ac:dyDescent="0.25">
      <c r="A3450" s="21" t="s">
        <v>7960</v>
      </c>
      <c r="B3450" s="25" t="s">
        <v>7962</v>
      </c>
      <c r="C3450" s="26"/>
      <c r="D3450" s="27"/>
      <c r="E3450" s="26"/>
      <c r="F3450" s="28"/>
      <c r="G3450" s="26"/>
      <c r="H3450" t="s">
        <v>7961</v>
      </c>
    </row>
    <row r="3451" spans="1:8" ht="30" x14ac:dyDescent="0.25">
      <c r="A3451" s="21" t="s">
        <v>7963</v>
      </c>
      <c r="B3451" s="25" t="s">
        <v>7785</v>
      </c>
      <c r="C3451" s="26">
        <v>1</v>
      </c>
      <c r="D3451" s="27" t="s">
        <v>201</v>
      </c>
      <c r="E3451" s="26">
        <v>325.8</v>
      </c>
      <c r="F3451" s="28" t="s">
        <v>202</v>
      </c>
      <c r="G3451" s="26">
        <f t="shared" ref="G3451:G3460" si="122">ROUND(C3451*E3451,0)</f>
        <v>326</v>
      </c>
      <c r="H3451" t="s">
        <v>7785</v>
      </c>
    </row>
    <row r="3452" spans="1:8" ht="30" x14ac:dyDescent="0.25">
      <c r="A3452" s="21" t="s">
        <v>7964</v>
      </c>
      <c r="B3452" s="25" t="s">
        <v>7787</v>
      </c>
      <c r="C3452" s="26">
        <v>1</v>
      </c>
      <c r="D3452" s="27" t="s">
        <v>201</v>
      </c>
      <c r="E3452" s="26">
        <v>355.65</v>
      </c>
      <c r="F3452" s="28" t="s">
        <v>202</v>
      </c>
      <c r="G3452" s="26">
        <f t="shared" si="122"/>
        <v>356</v>
      </c>
      <c r="H3452" t="s">
        <v>7787</v>
      </c>
    </row>
    <row r="3453" spans="1:8" ht="30" x14ac:dyDescent="0.25">
      <c r="A3453" s="21" t="s">
        <v>7965</v>
      </c>
      <c r="B3453" s="25" t="s">
        <v>7789</v>
      </c>
      <c r="C3453" s="26">
        <v>1</v>
      </c>
      <c r="D3453" s="27" t="s">
        <v>201</v>
      </c>
      <c r="E3453" s="26">
        <v>377</v>
      </c>
      <c r="F3453" s="28" t="s">
        <v>202</v>
      </c>
      <c r="G3453" s="26">
        <f t="shared" si="122"/>
        <v>377</v>
      </c>
      <c r="H3453" t="s">
        <v>7789</v>
      </c>
    </row>
    <row r="3454" spans="1:8" ht="30" x14ac:dyDescent="0.25">
      <c r="A3454" s="21" t="s">
        <v>7966</v>
      </c>
      <c r="B3454" s="25" t="s">
        <v>7795</v>
      </c>
      <c r="C3454" s="26">
        <v>1</v>
      </c>
      <c r="D3454" s="27" t="s">
        <v>201</v>
      </c>
      <c r="E3454" s="26">
        <v>405.45</v>
      </c>
      <c r="F3454" s="28" t="s">
        <v>202</v>
      </c>
      <c r="G3454" s="26">
        <f t="shared" si="122"/>
        <v>405</v>
      </c>
      <c r="H3454" t="s">
        <v>7795</v>
      </c>
    </row>
    <row r="3455" spans="1:8" ht="30" x14ac:dyDescent="0.25">
      <c r="A3455" s="21" t="s">
        <v>7967</v>
      </c>
      <c r="B3455" s="25" t="s">
        <v>7801</v>
      </c>
      <c r="C3455" s="26">
        <v>1</v>
      </c>
      <c r="D3455" s="27" t="s">
        <v>201</v>
      </c>
      <c r="E3455" s="26">
        <v>448.15</v>
      </c>
      <c r="F3455" s="28" t="s">
        <v>202</v>
      </c>
      <c r="G3455" s="26">
        <f t="shared" si="122"/>
        <v>448</v>
      </c>
      <c r="H3455" t="s">
        <v>7801</v>
      </c>
    </row>
    <row r="3456" spans="1:8" ht="30" x14ac:dyDescent="0.25">
      <c r="A3456" s="21" t="s">
        <v>7968</v>
      </c>
      <c r="B3456" s="25" t="s">
        <v>7803</v>
      </c>
      <c r="C3456" s="26">
        <v>1</v>
      </c>
      <c r="D3456" s="27" t="s">
        <v>201</v>
      </c>
      <c r="E3456" s="26">
        <v>448.15</v>
      </c>
      <c r="F3456" s="28" t="s">
        <v>202</v>
      </c>
      <c r="G3456" s="26">
        <f t="shared" si="122"/>
        <v>448</v>
      </c>
      <c r="H3456" t="s">
        <v>7803</v>
      </c>
    </row>
    <row r="3457" spans="1:8" ht="30" x14ac:dyDescent="0.25">
      <c r="A3457" s="21" t="s">
        <v>7969</v>
      </c>
      <c r="B3457" s="25" t="s">
        <v>7811</v>
      </c>
      <c r="C3457" s="26">
        <v>1</v>
      </c>
      <c r="D3457" s="27" t="s">
        <v>201</v>
      </c>
      <c r="E3457" s="26">
        <v>682.85</v>
      </c>
      <c r="F3457" s="28" t="s">
        <v>202</v>
      </c>
      <c r="G3457" s="26">
        <f t="shared" si="122"/>
        <v>683</v>
      </c>
      <c r="H3457" t="s">
        <v>7811</v>
      </c>
    </row>
    <row r="3458" spans="1:8" ht="30" x14ac:dyDescent="0.25">
      <c r="A3458" s="21" t="s">
        <v>7970</v>
      </c>
      <c r="B3458" s="25" t="s">
        <v>7813</v>
      </c>
      <c r="C3458" s="26">
        <v>1</v>
      </c>
      <c r="D3458" s="27" t="s">
        <v>201</v>
      </c>
      <c r="E3458" s="26">
        <v>754</v>
      </c>
      <c r="F3458" s="28" t="s">
        <v>202</v>
      </c>
      <c r="G3458" s="26">
        <f t="shared" si="122"/>
        <v>754</v>
      </c>
      <c r="H3458" t="s">
        <v>7813</v>
      </c>
    </row>
    <row r="3459" spans="1:8" ht="30" x14ac:dyDescent="0.25">
      <c r="A3459" s="21" t="s">
        <v>7971</v>
      </c>
      <c r="B3459" s="25" t="s">
        <v>7823</v>
      </c>
      <c r="C3459" s="26">
        <v>1</v>
      </c>
      <c r="D3459" s="27" t="s">
        <v>201</v>
      </c>
      <c r="E3459" s="26">
        <v>1088.3</v>
      </c>
      <c r="F3459" s="28" t="s">
        <v>202</v>
      </c>
      <c r="G3459" s="26">
        <f t="shared" si="122"/>
        <v>1088</v>
      </c>
      <c r="H3459" t="s">
        <v>7823</v>
      </c>
    </row>
    <row r="3460" spans="1:8" ht="30" x14ac:dyDescent="0.25">
      <c r="A3460" s="21" t="s">
        <v>7972</v>
      </c>
      <c r="B3460" s="25" t="s">
        <v>7825</v>
      </c>
      <c r="C3460" s="26">
        <v>1</v>
      </c>
      <c r="D3460" s="27" t="s">
        <v>201</v>
      </c>
      <c r="E3460" s="26">
        <v>1187.9000000000001</v>
      </c>
      <c r="F3460" s="28" t="s">
        <v>202</v>
      </c>
      <c r="G3460" s="26">
        <f t="shared" si="122"/>
        <v>1188</v>
      </c>
      <c r="H3460" t="s">
        <v>7825</v>
      </c>
    </row>
    <row r="3461" spans="1:8" ht="105" x14ac:dyDescent="0.25">
      <c r="A3461" s="21" t="s">
        <v>7973</v>
      </c>
      <c r="B3461" s="25" t="s">
        <v>7975</v>
      </c>
      <c r="C3461" s="26"/>
      <c r="D3461" s="27"/>
      <c r="E3461" s="26"/>
      <c r="F3461" s="28"/>
      <c r="G3461" s="26"/>
      <c r="H3461" t="s">
        <v>7974</v>
      </c>
    </row>
    <row r="3462" spans="1:8" x14ac:dyDescent="0.25">
      <c r="A3462" s="21" t="s">
        <v>7976</v>
      </c>
      <c r="B3462" s="25" t="s">
        <v>7854</v>
      </c>
      <c r="C3462" s="26">
        <v>1</v>
      </c>
      <c r="D3462" s="27" t="s">
        <v>201</v>
      </c>
      <c r="E3462" s="26">
        <v>832.25</v>
      </c>
      <c r="F3462" s="28" t="s">
        <v>7855</v>
      </c>
      <c r="G3462" s="26">
        <f t="shared" ref="G3462:G3467" si="123">ROUND(C3462*E3462,0)</f>
        <v>832</v>
      </c>
      <c r="H3462" t="s">
        <v>7854</v>
      </c>
    </row>
    <row r="3463" spans="1:8" x14ac:dyDescent="0.25">
      <c r="A3463" s="21" t="s">
        <v>7977</v>
      </c>
      <c r="B3463" s="25" t="s">
        <v>7859</v>
      </c>
      <c r="C3463" s="26">
        <v>1</v>
      </c>
      <c r="D3463" s="27" t="s">
        <v>201</v>
      </c>
      <c r="E3463" s="26">
        <v>1251.95</v>
      </c>
      <c r="F3463" s="28" t="s">
        <v>7855</v>
      </c>
      <c r="G3463" s="26">
        <f t="shared" si="123"/>
        <v>1252</v>
      </c>
      <c r="H3463" t="s">
        <v>7859</v>
      </c>
    </row>
    <row r="3464" spans="1:8" x14ac:dyDescent="0.25">
      <c r="A3464" s="21" t="s">
        <v>7978</v>
      </c>
      <c r="B3464" s="25" t="s">
        <v>7865</v>
      </c>
      <c r="C3464" s="26">
        <v>1</v>
      </c>
      <c r="D3464" s="27" t="s">
        <v>201</v>
      </c>
      <c r="E3464" s="26">
        <v>1664.5</v>
      </c>
      <c r="F3464" s="28" t="s">
        <v>7855</v>
      </c>
      <c r="G3464" s="26">
        <f t="shared" si="123"/>
        <v>1665</v>
      </c>
      <c r="H3464" t="s">
        <v>7865</v>
      </c>
    </row>
    <row r="3465" spans="1:8" ht="30" x14ac:dyDescent="0.25">
      <c r="A3465" s="21" t="s">
        <v>7979</v>
      </c>
      <c r="B3465" s="25" t="s">
        <v>7956</v>
      </c>
      <c r="C3465" s="26">
        <v>1</v>
      </c>
      <c r="D3465" s="27" t="s">
        <v>201</v>
      </c>
      <c r="E3465" s="26">
        <v>2290.4499999999998</v>
      </c>
      <c r="F3465" s="28" t="s">
        <v>7855</v>
      </c>
      <c r="G3465" s="26">
        <f t="shared" si="123"/>
        <v>2290</v>
      </c>
      <c r="H3465" t="s">
        <v>7956</v>
      </c>
    </row>
    <row r="3466" spans="1:8" ht="30" x14ac:dyDescent="0.25">
      <c r="A3466" s="21" t="s">
        <v>7980</v>
      </c>
      <c r="B3466" s="25" t="s">
        <v>7958</v>
      </c>
      <c r="C3466" s="26">
        <v>1</v>
      </c>
      <c r="D3466" s="27" t="s">
        <v>201</v>
      </c>
      <c r="E3466" s="26">
        <v>4196.8</v>
      </c>
      <c r="F3466" s="28" t="s">
        <v>7855</v>
      </c>
      <c r="G3466" s="26">
        <f t="shared" si="123"/>
        <v>4197</v>
      </c>
      <c r="H3466" t="s">
        <v>7958</v>
      </c>
    </row>
    <row r="3467" spans="1:8" x14ac:dyDescent="0.25">
      <c r="A3467" s="21" t="s">
        <v>7981</v>
      </c>
      <c r="B3467" s="25" t="s">
        <v>7875</v>
      </c>
      <c r="C3467" s="26">
        <v>1</v>
      </c>
      <c r="D3467" s="27" t="s">
        <v>201</v>
      </c>
      <c r="E3467" s="26">
        <v>4772.95</v>
      </c>
      <c r="F3467" s="28" t="s">
        <v>7855</v>
      </c>
      <c r="G3467" s="26">
        <f t="shared" si="123"/>
        <v>4773</v>
      </c>
      <c r="H3467" t="s">
        <v>7875</v>
      </c>
    </row>
    <row r="3468" spans="1:8" ht="90" x14ac:dyDescent="0.25">
      <c r="A3468" s="21" t="s">
        <v>7982</v>
      </c>
      <c r="B3468" s="25" t="s">
        <v>7984</v>
      </c>
      <c r="C3468" s="26"/>
      <c r="D3468" s="27"/>
      <c r="E3468" s="26"/>
      <c r="F3468" s="28"/>
      <c r="G3468" s="26"/>
      <c r="H3468" t="s">
        <v>7983</v>
      </c>
    </row>
    <row r="3469" spans="1:8" x14ac:dyDescent="0.25">
      <c r="A3469" s="21" t="s">
        <v>7985</v>
      </c>
      <c r="B3469" s="25" t="s">
        <v>7597</v>
      </c>
      <c r="C3469" s="26">
        <v>1</v>
      </c>
      <c r="D3469" s="27" t="s">
        <v>201</v>
      </c>
      <c r="E3469" s="26">
        <v>58.35</v>
      </c>
      <c r="F3469" s="28" t="s">
        <v>202</v>
      </c>
      <c r="G3469" s="26">
        <f t="shared" ref="G3469:G3474" si="124">ROUND(C3469*E3469,0)</f>
        <v>58</v>
      </c>
      <c r="H3469" t="s">
        <v>7597</v>
      </c>
    </row>
    <row r="3470" spans="1:8" x14ac:dyDescent="0.25">
      <c r="A3470" s="21" t="s">
        <v>7986</v>
      </c>
      <c r="B3470" s="25" t="s">
        <v>7599</v>
      </c>
      <c r="C3470" s="26">
        <v>1</v>
      </c>
      <c r="D3470" s="27" t="s">
        <v>201</v>
      </c>
      <c r="E3470" s="26">
        <v>85.35</v>
      </c>
      <c r="F3470" s="28" t="s">
        <v>202</v>
      </c>
      <c r="G3470" s="26">
        <f t="shared" si="124"/>
        <v>85</v>
      </c>
      <c r="H3470" t="s">
        <v>7599</v>
      </c>
    </row>
    <row r="3471" spans="1:8" x14ac:dyDescent="0.25">
      <c r="A3471" s="21" t="s">
        <v>7987</v>
      </c>
      <c r="B3471" s="25" t="s">
        <v>7601</v>
      </c>
      <c r="C3471" s="26">
        <v>1</v>
      </c>
      <c r="D3471" s="27" t="s">
        <v>201</v>
      </c>
      <c r="E3471" s="26">
        <v>122.35</v>
      </c>
      <c r="F3471" s="28" t="s">
        <v>202</v>
      </c>
      <c r="G3471" s="26">
        <f t="shared" si="124"/>
        <v>122</v>
      </c>
      <c r="H3471" t="s">
        <v>7601</v>
      </c>
    </row>
    <row r="3472" spans="1:8" x14ac:dyDescent="0.25">
      <c r="A3472" s="21" t="s">
        <v>7988</v>
      </c>
      <c r="B3472" s="25" t="s">
        <v>7603</v>
      </c>
      <c r="C3472" s="26">
        <v>1</v>
      </c>
      <c r="D3472" s="27" t="s">
        <v>201</v>
      </c>
      <c r="E3472" s="26">
        <v>234.75</v>
      </c>
      <c r="F3472" s="28" t="s">
        <v>202</v>
      </c>
      <c r="G3472" s="26">
        <f t="shared" si="124"/>
        <v>235</v>
      </c>
      <c r="H3472" t="s">
        <v>7603</v>
      </c>
    </row>
    <row r="3473" spans="1:8" x14ac:dyDescent="0.25">
      <c r="A3473" s="21" t="s">
        <v>7989</v>
      </c>
      <c r="B3473" s="25" t="s">
        <v>7605</v>
      </c>
      <c r="C3473" s="26">
        <v>1</v>
      </c>
      <c r="D3473" s="27" t="s">
        <v>201</v>
      </c>
      <c r="E3473" s="26">
        <v>342.85</v>
      </c>
      <c r="F3473" s="28" t="s">
        <v>202</v>
      </c>
      <c r="G3473" s="26">
        <f t="shared" si="124"/>
        <v>343</v>
      </c>
      <c r="H3473" t="s">
        <v>7605</v>
      </c>
    </row>
    <row r="3474" spans="1:8" x14ac:dyDescent="0.25">
      <c r="A3474" s="21" t="s">
        <v>7990</v>
      </c>
      <c r="B3474" s="25" t="s">
        <v>7607</v>
      </c>
      <c r="C3474" s="26">
        <v>1</v>
      </c>
      <c r="D3474" s="27" t="s">
        <v>201</v>
      </c>
      <c r="E3474" s="26">
        <v>426.8</v>
      </c>
      <c r="F3474" s="28" t="s">
        <v>202</v>
      </c>
      <c r="G3474" s="26">
        <f t="shared" si="124"/>
        <v>427</v>
      </c>
      <c r="H3474" t="s">
        <v>7607</v>
      </c>
    </row>
    <row r="3475" spans="1:8" ht="90" x14ac:dyDescent="0.25">
      <c r="A3475" s="21" t="s">
        <v>7991</v>
      </c>
      <c r="B3475" s="25" t="s">
        <v>7993</v>
      </c>
      <c r="C3475" s="26"/>
      <c r="D3475" s="27"/>
      <c r="E3475" s="26"/>
      <c r="F3475" s="28"/>
      <c r="G3475" s="26"/>
      <c r="H3475" t="s">
        <v>7992</v>
      </c>
    </row>
    <row r="3476" spans="1:8" x14ac:dyDescent="0.25">
      <c r="A3476" s="21" t="s">
        <v>7994</v>
      </c>
      <c r="B3476" s="25" t="s">
        <v>7611</v>
      </c>
      <c r="C3476" s="26">
        <v>1</v>
      </c>
      <c r="D3476" s="27" t="s">
        <v>201</v>
      </c>
      <c r="E3476" s="26">
        <v>505.05</v>
      </c>
      <c r="F3476" s="28" t="s">
        <v>7855</v>
      </c>
      <c r="G3476" s="26">
        <f t="shared" ref="G3476:G3481" si="125">ROUND(C3476*E3476,0)</f>
        <v>505</v>
      </c>
      <c r="H3476" t="s">
        <v>7611</v>
      </c>
    </row>
    <row r="3477" spans="1:8" x14ac:dyDescent="0.25">
      <c r="A3477" s="21" t="s">
        <v>7995</v>
      </c>
      <c r="B3477" s="25" t="s">
        <v>7613</v>
      </c>
      <c r="C3477" s="26">
        <v>1</v>
      </c>
      <c r="D3477" s="27" t="s">
        <v>201</v>
      </c>
      <c r="E3477" s="26">
        <v>654.4</v>
      </c>
      <c r="F3477" s="28" t="s">
        <v>7855</v>
      </c>
      <c r="G3477" s="26">
        <f t="shared" si="125"/>
        <v>654</v>
      </c>
      <c r="H3477" t="s">
        <v>7613</v>
      </c>
    </row>
    <row r="3478" spans="1:8" x14ac:dyDescent="0.25">
      <c r="A3478" s="21" t="s">
        <v>7996</v>
      </c>
      <c r="B3478" s="25" t="s">
        <v>7615</v>
      </c>
      <c r="C3478" s="26">
        <v>1</v>
      </c>
      <c r="D3478" s="27" t="s">
        <v>201</v>
      </c>
      <c r="E3478" s="26">
        <v>818</v>
      </c>
      <c r="F3478" s="28" t="s">
        <v>7855</v>
      </c>
      <c r="G3478" s="26">
        <f t="shared" si="125"/>
        <v>818</v>
      </c>
      <c r="H3478" t="s">
        <v>7615</v>
      </c>
    </row>
    <row r="3479" spans="1:8" x14ac:dyDescent="0.25">
      <c r="A3479" s="21" t="s">
        <v>7997</v>
      </c>
      <c r="B3479" s="25" t="s">
        <v>7617</v>
      </c>
      <c r="C3479" s="26">
        <v>1</v>
      </c>
      <c r="D3479" s="27" t="s">
        <v>201</v>
      </c>
      <c r="E3479" s="26">
        <v>1145.25</v>
      </c>
      <c r="F3479" s="28" t="s">
        <v>7855</v>
      </c>
      <c r="G3479" s="26">
        <f t="shared" si="125"/>
        <v>1145</v>
      </c>
      <c r="H3479" t="s">
        <v>7617</v>
      </c>
    </row>
    <row r="3480" spans="1:8" x14ac:dyDescent="0.25">
      <c r="A3480" s="21" t="s">
        <v>7998</v>
      </c>
      <c r="B3480" s="25" t="s">
        <v>7619</v>
      </c>
      <c r="C3480" s="26">
        <v>1</v>
      </c>
      <c r="D3480" s="27" t="s">
        <v>201</v>
      </c>
      <c r="E3480" s="26">
        <v>2489.6</v>
      </c>
      <c r="F3480" s="28" t="s">
        <v>7855</v>
      </c>
      <c r="G3480" s="26">
        <f t="shared" si="125"/>
        <v>2490</v>
      </c>
      <c r="H3480" t="s">
        <v>7619</v>
      </c>
    </row>
    <row r="3481" spans="1:8" x14ac:dyDescent="0.25">
      <c r="A3481" s="21" t="s">
        <v>7999</v>
      </c>
      <c r="B3481" s="25" t="s">
        <v>7621</v>
      </c>
      <c r="C3481" s="26">
        <v>1</v>
      </c>
      <c r="D3481" s="27" t="s">
        <v>201</v>
      </c>
      <c r="E3481" s="26">
        <v>2738.55</v>
      </c>
      <c r="F3481" s="28" t="s">
        <v>7855</v>
      </c>
      <c r="G3481" s="26">
        <f t="shared" si="125"/>
        <v>2739</v>
      </c>
      <c r="H3481" t="s">
        <v>7621</v>
      </c>
    </row>
    <row r="3482" spans="1:8" ht="90" x14ac:dyDescent="0.25">
      <c r="A3482" s="21" t="s">
        <v>8000</v>
      </c>
      <c r="B3482" s="25" t="s">
        <v>8002</v>
      </c>
      <c r="C3482" s="26"/>
      <c r="D3482" s="27"/>
      <c r="E3482" s="26"/>
      <c r="F3482" s="28"/>
      <c r="G3482" s="26"/>
      <c r="H3482" t="s">
        <v>8001</v>
      </c>
    </row>
    <row r="3483" spans="1:8" x14ac:dyDescent="0.25">
      <c r="A3483" s="21" t="s">
        <v>8003</v>
      </c>
      <c r="B3483" s="25" t="s">
        <v>7597</v>
      </c>
      <c r="C3483" s="26">
        <v>1</v>
      </c>
      <c r="D3483" s="27" t="s">
        <v>201</v>
      </c>
      <c r="E3483" s="26">
        <v>136.55000000000001</v>
      </c>
      <c r="F3483" s="28" t="s">
        <v>202</v>
      </c>
      <c r="G3483" s="26">
        <f>ROUND(C3483*E3483,0)</f>
        <v>137</v>
      </c>
      <c r="H3483" t="s">
        <v>7597</v>
      </c>
    </row>
    <row r="3484" spans="1:8" x14ac:dyDescent="0.25">
      <c r="A3484" s="21" t="s">
        <v>8004</v>
      </c>
      <c r="B3484" s="25" t="s">
        <v>7599</v>
      </c>
      <c r="C3484" s="26">
        <v>1</v>
      </c>
      <c r="D3484" s="27" t="s">
        <v>201</v>
      </c>
      <c r="E3484" s="26">
        <v>240.45</v>
      </c>
      <c r="F3484" s="28" t="s">
        <v>202</v>
      </c>
      <c r="G3484" s="26">
        <f>ROUND(C3484*E3484,0)</f>
        <v>240</v>
      </c>
      <c r="H3484" t="s">
        <v>7599</v>
      </c>
    </row>
    <row r="3485" spans="1:8" x14ac:dyDescent="0.25">
      <c r="A3485" s="21" t="s">
        <v>8005</v>
      </c>
      <c r="B3485" s="25" t="s">
        <v>7601</v>
      </c>
      <c r="C3485" s="26">
        <v>1</v>
      </c>
      <c r="D3485" s="27" t="s">
        <v>201</v>
      </c>
      <c r="E3485" s="26">
        <v>386.95</v>
      </c>
      <c r="F3485" s="28" t="s">
        <v>202</v>
      </c>
      <c r="G3485" s="26">
        <f>ROUND(C3485*E3485,0)</f>
        <v>387</v>
      </c>
      <c r="H3485" t="s">
        <v>7601</v>
      </c>
    </row>
    <row r="3486" spans="1:8" ht="90" x14ac:dyDescent="0.25">
      <c r="A3486" s="21" t="s">
        <v>8006</v>
      </c>
      <c r="B3486" s="25" t="s">
        <v>8008</v>
      </c>
      <c r="C3486" s="26"/>
      <c r="D3486" s="27"/>
      <c r="E3486" s="26"/>
      <c r="F3486" s="28"/>
      <c r="G3486" s="26"/>
      <c r="H3486" t="s">
        <v>8007</v>
      </c>
    </row>
    <row r="3487" spans="1:8" x14ac:dyDescent="0.25">
      <c r="A3487" s="21" t="s">
        <v>8009</v>
      </c>
      <c r="B3487" s="25" t="s">
        <v>7611</v>
      </c>
      <c r="C3487" s="26">
        <v>1</v>
      </c>
      <c r="D3487" s="27" t="s">
        <v>201</v>
      </c>
      <c r="E3487" s="26">
        <v>654.4</v>
      </c>
      <c r="F3487" s="28" t="s">
        <v>7855</v>
      </c>
      <c r="G3487" s="26">
        <f>ROUND(C3487*E3487,0)</f>
        <v>654</v>
      </c>
      <c r="H3487" t="s">
        <v>7611</v>
      </c>
    </row>
    <row r="3488" spans="1:8" x14ac:dyDescent="0.25">
      <c r="A3488" s="21" t="s">
        <v>8010</v>
      </c>
      <c r="B3488" s="25" t="s">
        <v>7613</v>
      </c>
      <c r="C3488" s="26">
        <v>1</v>
      </c>
      <c r="D3488" s="27" t="s">
        <v>201</v>
      </c>
      <c r="E3488" s="26">
        <v>1764.1</v>
      </c>
      <c r="F3488" s="28" t="s">
        <v>7855</v>
      </c>
      <c r="G3488" s="26">
        <f>ROUND(C3488*E3488,0)</f>
        <v>1764</v>
      </c>
      <c r="H3488" t="s">
        <v>7613</v>
      </c>
    </row>
    <row r="3489" spans="1:8" x14ac:dyDescent="0.25">
      <c r="A3489" s="21" t="s">
        <v>8011</v>
      </c>
      <c r="B3489" s="25" t="s">
        <v>7615</v>
      </c>
      <c r="C3489" s="26">
        <v>1</v>
      </c>
      <c r="D3489" s="27" t="s">
        <v>201</v>
      </c>
      <c r="E3489" s="26">
        <v>2425.6</v>
      </c>
      <c r="F3489" s="28" t="s">
        <v>7855</v>
      </c>
      <c r="G3489" s="26">
        <f>ROUND(C3489*E3489,0)</f>
        <v>2426</v>
      </c>
      <c r="H3489" t="s">
        <v>7615</v>
      </c>
    </row>
    <row r="3490" spans="1:8" ht="90" x14ac:dyDescent="0.25">
      <c r="A3490" s="21" t="s">
        <v>8012</v>
      </c>
      <c r="B3490" s="25" t="s">
        <v>8014</v>
      </c>
      <c r="C3490" s="26"/>
      <c r="D3490" s="27"/>
      <c r="E3490" s="26"/>
      <c r="F3490" s="28"/>
      <c r="G3490" s="26"/>
      <c r="H3490" t="s">
        <v>8013</v>
      </c>
    </row>
    <row r="3491" spans="1:8" x14ac:dyDescent="0.25">
      <c r="A3491" s="21" t="s">
        <v>8015</v>
      </c>
      <c r="B3491" s="25" t="s">
        <v>7854</v>
      </c>
      <c r="C3491" s="26">
        <v>1</v>
      </c>
      <c r="D3491" s="27" t="s">
        <v>201</v>
      </c>
      <c r="E3491" s="26">
        <v>1408.4</v>
      </c>
      <c r="F3491" s="28" t="s">
        <v>7855</v>
      </c>
      <c r="G3491" s="26">
        <f t="shared" ref="G3491:G3497" si="126">ROUND(C3491*E3491,0)</f>
        <v>1408</v>
      </c>
      <c r="H3491" t="s">
        <v>7854</v>
      </c>
    </row>
    <row r="3492" spans="1:8" x14ac:dyDescent="0.25">
      <c r="A3492" s="21" t="s">
        <v>8016</v>
      </c>
      <c r="B3492" s="25" t="s">
        <v>7857</v>
      </c>
      <c r="C3492" s="26">
        <v>1</v>
      </c>
      <c r="D3492" s="27" t="s">
        <v>201</v>
      </c>
      <c r="E3492" s="26">
        <v>1422.65</v>
      </c>
      <c r="F3492" s="28" t="s">
        <v>7855</v>
      </c>
      <c r="G3492" s="26">
        <f t="shared" si="126"/>
        <v>1423</v>
      </c>
      <c r="H3492" t="s">
        <v>7857</v>
      </c>
    </row>
    <row r="3493" spans="1:8" x14ac:dyDescent="0.25">
      <c r="A3493" s="21" t="s">
        <v>8017</v>
      </c>
      <c r="B3493" s="25" t="s">
        <v>7859</v>
      </c>
      <c r="C3493" s="26">
        <v>1</v>
      </c>
      <c r="D3493" s="27" t="s">
        <v>201</v>
      </c>
      <c r="E3493" s="26">
        <v>1628.9</v>
      </c>
      <c r="F3493" s="28" t="s">
        <v>7855</v>
      </c>
      <c r="G3493" s="26">
        <f t="shared" si="126"/>
        <v>1629</v>
      </c>
      <c r="H3493" t="s">
        <v>7859</v>
      </c>
    </row>
    <row r="3494" spans="1:8" x14ac:dyDescent="0.25">
      <c r="A3494" s="21" t="s">
        <v>8018</v>
      </c>
      <c r="B3494" s="25" t="s">
        <v>7898</v>
      </c>
      <c r="C3494" s="26">
        <v>1</v>
      </c>
      <c r="D3494" s="27" t="s">
        <v>201</v>
      </c>
      <c r="E3494" s="26">
        <v>2873.7</v>
      </c>
      <c r="F3494" s="28" t="s">
        <v>7855</v>
      </c>
      <c r="G3494" s="26">
        <f t="shared" si="126"/>
        <v>2874</v>
      </c>
      <c r="H3494" t="s">
        <v>7898</v>
      </c>
    </row>
    <row r="3495" spans="1:8" ht="30" x14ac:dyDescent="0.25">
      <c r="A3495" s="21" t="s">
        <v>8019</v>
      </c>
      <c r="B3495" s="25" t="s">
        <v>7869</v>
      </c>
      <c r="C3495" s="26">
        <v>1</v>
      </c>
      <c r="D3495" s="27" t="s">
        <v>201</v>
      </c>
      <c r="E3495" s="26">
        <v>3001.75</v>
      </c>
      <c r="F3495" s="28" t="s">
        <v>7855</v>
      </c>
      <c r="G3495" s="26">
        <f t="shared" si="126"/>
        <v>3002</v>
      </c>
      <c r="H3495" t="s">
        <v>7869</v>
      </c>
    </row>
    <row r="3496" spans="1:8" ht="30" x14ac:dyDescent="0.25">
      <c r="A3496" s="21" t="s">
        <v>8020</v>
      </c>
      <c r="B3496" s="25" t="s">
        <v>7901</v>
      </c>
      <c r="C3496" s="26">
        <v>1</v>
      </c>
      <c r="D3496" s="27" t="s">
        <v>201</v>
      </c>
      <c r="E3496" s="26">
        <v>3385.85</v>
      </c>
      <c r="F3496" s="28" t="s">
        <v>7855</v>
      </c>
      <c r="G3496" s="26">
        <f t="shared" si="126"/>
        <v>3386</v>
      </c>
      <c r="H3496" t="s">
        <v>7901</v>
      </c>
    </row>
    <row r="3497" spans="1:8" x14ac:dyDescent="0.25">
      <c r="A3497" s="21" t="s">
        <v>8021</v>
      </c>
      <c r="B3497" s="25" t="s">
        <v>7875</v>
      </c>
      <c r="C3497" s="26">
        <v>1</v>
      </c>
      <c r="D3497" s="27" t="s">
        <v>201</v>
      </c>
      <c r="E3497" s="26">
        <v>5861.25</v>
      </c>
      <c r="F3497" s="28" t="s">
        <v>7855</v>
      </c>
      <c r="G3497" s="26">
        <f t="shared" si="126"/>
        <v>5861</v>
      </c>
      <c r="H3497" t="s">
        <v>7875</v>
      </c>
    </row>
    <row r="3498" spans="1:8" ht="90" x14ac:dyDescent="0.25">
      <c r="A3498" s="21" t="s">
        <v>8022</v>
      </c>
      <c r="B3498" s="25" t="s">
        <v>8024</v>
      </c>
      <c r="C3498" s="26"/>
      <c r="D3498" s="27"/>
      <c r="E3498" s="26"/>
      <c r="F3498" s="28"/>
      <c r="G3498" s="26"/>
      <c r="H3498" t="s">
        <v>8023</v>
      </c>
    </row>
    <row r="3499" spans="1:8" x14ac:dyDescent="0.25">
      <c r="A3499" s="21" t="s">
        <v>8025</v>
      </c>
      <c r="B3499" s="25" t="s">
        <v>7859</v>
      </c>
      <c r="C3499" s="26">
        <v>1</v>
      </c>
      <c r="D3499" s="27" t="s">
        <v>201</v>
      </c>
      <c r="E3499" s="26">
        <v>1508</v>
      </c>
      <c r="F3499" s="28" t="s">
        <v>7855</v>
      </c>
      <c r="G3499" s="26">
        <f>ROUND(C3499*E3499,0)</f>
        <v>1508</v>
      </c>
      <c r="H3499" t="s">
        <v>7859</v>
      </c>
    </row>
    <row r="3500" spans="1:8" x14ac:dyDescent="0.25">
      <c r="A3500" s="21" t="s">
        <v>8026</v>
      </c>
      <c r="B3500" s="25" t="s">
        <v>7865</v>
      </c>
      <c r="C3500" s="26">
        <v>1</v>
      </c>
      <c r="D3500" s="27" t="s">
        <v>201</v>
      </c>
      <c r="E3500" s="26">
        <v>2034.35</v>
      </c>
      <c r="F3500" s="28" t="s">
        <v>7855</v>
      </c>
      <c r="G3500" s="26">
        <f>ROUND(C3500*E3500,0)</f>
        <v>2034</v>
      </c>
      <c r="H3500" t="s">
        <v>7865</v>
      </c>
    </row>
    <row r="3501" spans="1:8" ht="105" x14ac:dyDescent="0.25">
      <c r="A3501" s="21" t="s">
        <v>8027</v>
      </c>
      <c r="B3501" s="25" t="s">
        <v>8029</v>
      </c>
      <c r="C3501" s="26"/>
      <c r="D3501" s="27"/>
      <c r="E3501" s="26"/>
      <c r="F3501" s="28"/>
      <c r="G3501" s="26"/>
      <c r="H3501" t="s">
        <v>8028</v>
      </c>
    </row>
    <row r="3502" spans="1:8" x14ac:dyDescent="0.25">
      <c r="A3502" s="21" t="s">
        <v>8030</v>
      </c>
      <c r="B3502" s="25" t="s">
        <v>7854</v>
      </c>
      <c r="C3502" s="26">
        <v>1</v>
      </c>
      <c r="D3502" s="27" t="s">
        <v>201</v>
      </c>
      <c r="E3502" s="26">
        <v>1031.4000000000001</v>
      </c>
      <c r="F3502" s="28" t="s">
        <v>7855</v>
      </c>
      <c r="G3502" s="26">
        <f>ROUND(C3502*E3502,0)</f>
        <v>1031</v>
      </c>
      <c r="H3502" t="s">
        <v>7854</v>
      </c>
    </row>
    <row r="3503" spans="1:8" x14ac:dyDescent="0.25">
      <c r="A3503" s="21" t="s">
        <v>8031</v>
      </c>
      <c r="B3503" s="25" t="s">
        <v>7857</v>
      </c>
      <c r="C3503" s="26">
        <v>1</v>
      </c>
      <c r="D3503" s="27" t="s">
        <v>201</v>
      </c>
      <c r="E3503" s="26">
        <v>1379.95</v>
      </c>
      <c r="F3503" s="28" t="s">
        <v>7855</v>
      </c>
      <c r="G3503" s="26">
        <f>ROUND(C3503*E3503,0)</f>
        <v>1380</v>
      </c>
      <c r="H3503" t="s">
        <v>7857</v>
      </c>
    </row>
    <row r="3504" spans="1:8" x14ac:dyDescent="0.25">
      <c r="A3504" s="21" t="s">
        <v>8032</v>
      </c>
      <c r="B3504" s="25" t="s">
        <v>7859</v>
      </c>
      <c r="C3504" s="26">
        <v>1</v>
      </c>
      <c r="D3504" s="27" t="s">
        <v>201</v>
      </c>
      <c r="E3504" s="26">
        <v>1429.75</v>
      </c>
      <c r="F3504" s="28" t="s">
        <v>7855</v>
      </c>
      <c r="G3504" s="26">
        <f>ROUND(C3504*E3504,0)</f>
        <v>1430</v>
      </c>
      <c r="H3504" t="s">
        <v>7859</v>
      </c>
    </row>
    <row r="3505" spans="1:8" x14ac:dyDescent="0.25">
      <c r="A3505" s="21"/>
      <c r="B3505" s="45" t="s">
        <v>8033</v>
      </c>
      <c r="C3505" s="45"/>
      <c r="D3505" s="45"/>
      <c r="E3505" s="45"/>
      <c r="F3505" s="45"/>
      <c r="G3505" s="29">
        <f>SUM(G2679:G3504)</f>
        <v>1952347</v>
      </c>
    </row>
    <row r="3506" spans="1:8" x14ac:dyDescent="0.25">
      <c r="A3506" s="46" t="s">
        <v>8034</v>
      </c>
      <c r="B3506" s="47"/>
      <c r="C3506" s="47"/>
      <c r="D3506" s="47"/>
      <c r="E3506" s="47"/>
      <c r="F3506" s="47"/>
      <c r="G3506" s="47"/>
    </row>
    <row r="3507" spans="1:8" ht="60" x14ac:dyDescent="0.25">
      <c r="A3507" s="21" t="s">
        <v>8035</v>
      </c>
      <c r="B3507" s="25" t="s">
        <v>8037</v>
      </c>
      <c r="C3507" s="26"/>
      <c r="D3507" s="27"/>
      <c r="E3507" s="26"/>
      <c r="F3507" s="28"/>
      <c r="G3507" s="26"/>
      <c r="H3507" t="s">
        <v>8036</v>
      </c>
    </row>
    <row r="3508" spans="1:8" ht="45" x14ac:dyDescent="0.25">
      <c r="A3508" s="21" t="s">
        <v>8038</v>
      </c>
      <c r="B3508" s="25" t="s">
        <v>3677</v>
      </c>
      <c r="C3508" s="26">
        <v>1</v>
      </c>
      <c r="D3508" s="27" t="s">
        <v>110</v>
      </c>
      <c r="E3508" s="26">
        <v>443.6</v>
      </c>
      <c r="F3508" s="28" t="s">
        <v>618</v>
      </c>
      <c r="G3508" s="26">
        <f>ROUND(C3508*E3508,0)</f>
        <v>444</v>
      </c>
      <c r="H3508" t="s">
        <v>5989</v>
      </c>
    </row>
    <row r="3509" spans="1:8" ht="45" x14ac:dyDescent="0.25">
      <c r="A3509" s="21" t="s">
        <v>8039</v>
      </c>
      <c r="B3509" s="25" t="s">
        <v>3680</v>
      </c>
      <c r="C3509" s="26">
        <v>1</v>
      </c>
      <c r="D3509" s="27" t="s">
        <v>110</v>
      </c>
      <c r="E3509" s="26">
        <v>695.8</v>
      </c>
      <c r="F3509" s="28" t="s">
        <v>618</v>
      </c>
      <c r="G3509" s="26">
        <f>ROUND(C3509*E3509,0)</f>
        <v>696</v>
      </c>
      <c r="H3509" t="s">
        <v>6725</v>
      </c>
    </row>
    <row r="3510" spans="1:8" ht="45" x14ac:dyDescent="0.25">
      <c r="A3510" s="21" t="s">
        <v>8040</v>
      </c>
      <c r="B3510" s="25" t="s">
        <v>6855</v>
      </c>
      <c r="C3510" s="26">
        <v>1</v>
      </c>
      <c r="D3510" s="27" t="s">
        <v>110</v>
      </c>
      <c r="E3510" s="26">
        <v>970.35</v>
      </c>
      <c r="F3510" s="28" t="s">
        <v>618</v>
      </c>
      <c r="G3510" s="26">
        <f>ROUND(C3510*E3510,0)</f>
        <v>970</v>
      </c>
      <c r="H3510" t="s">
        <v>7120</v>
      </c>
    </row>
    <row r="3511" spans="1:8" ht="45" x14ac:dyDescent="0.25">
      <c r="A3511" s="21" t="s">
        <v>8041</v>
      </c>
      <c r="B3511" s="25" t="s">
        <v>6860</v>
      </c>
      <c r="C3511" s="26">
        <v>1</v>
      </c>
      <c r="D3511" s="27" t="s">
        <v>110</v>
      </c>
      <c r="E3511" s="26">
        <v>1505.6</v>
      </c>
      <c r="F3511" s="28" t="s">
        <v>618</v>
      </c>
      <c r="G3511" s="26">
        <f>ROUND(C3511*E3511,0)</f>
        <v>1506</v>
      </c>
      <c r="H3511" t="s">
        <v>8042</v>
      </c>
    </row>
    <row r="3512" spans="1:8" ht="45" x14ac:dyDescent="0.25">
      <c r="A3512" s="21" t="s">
        <v>8043</v>
      </c>
      <c r="B3512" s="25" t="s">
        <v>6865</v>
      </c>
      <c r="C3512" s="26">
        <v>1</v>
      </c>
      <c r="D3512" s="27" t="s">
        <v>110</v>
      </c>
      <c r="E3512" s="26">
        <v>2064.15</v>
      </c>
      <c r="F3512" s="28" t="s">
        <v>618</v>
      </c>
      <c r="G3512" s="26">
        <f>ROUND(C3512*E3512,0)</f>
        <v>2064</v>
      </c>
      <c r="H3512" t="s">
        <v>8044</v>
      </c>
    </row>
    <row r="3513" spans="1:8" ht="75" x14ac:dyDescent="0.25">
      <c r="A3513" s="21" t="s">
        <v>8045</v>
      </c>
      <c r="B3513" s="25" t="s">
        <v>8047</v>
      </c>
      <c r="C3513" s="26"/>
      <c r="D3513" s="27"/>
      <c r="E3513" s="26"/>
      <c r="F3513" s="28"/>
      <c r="G3513" s="26"/>
      <c r="H3513" t="s">
        <v>8046</v>
      </c>
    </row>
    <row r="3514" spans="1:8" ht="45" x14ac:dyDescent="0.25">
      <c r="A3514" s="21" t="s">
        <v>8048</v>
      </c>
      <c r="B3514" s="25" t="s">
        <v>8049</v>
      </c>
      <c r="C3514" s="26">
        <v>1</v>
      </c>
      <c r="D3514" s="27" t="s">
        <v>110</v>
      </c>
      <c r="E3514" s="26">
        <v>964.75</v>
      </c>
      <c r="F3514" s="28" t="s">
        <v>618</v>
      </c>
      <c r="G3514" s="26">
        <f>ROUND(C3514*E3514,0)</f>
        <v>965</v>
      </c>
      <c r="H3514" t="s">
        <v>5989</v>
      </c>
    </row>
    <row r="3515" spans="1:8" ht="45" x14ac:dyDescent="0.25">
      <c r="A3515" s="21" t="s">
        <v>8050</v>
      </c>
      <c r="B3515" s="25" t="s">
        <v>8051</v>
      </c>
      <c r="C3515" s="26">
        <v>1</v>
      </c>
      <c r="D3515" s="27" t="s">
        <v>110</v>
      </c>
      <c r="E3515" s="26">
        <v>1179.8499999999999</v>
      </c>
      <c r="F3515" s="28" t="s">
        <v>618</v>
      </c>
      <c r="G3515" s="26">
        <f>ROUND(C3515*E3515,0)</f>
        <v>1180</v>
      </c>
      <c r="H3515" t="s">
        <v>6725</v>
      </c>
    </row>
    <row r="3516" spans="1:8" ht="45" x14ac:dyDescent="0.25">
      <c r="A3516" s="21" t="s">
        <v>8052</v>
      </c>
      <c r="B3516" s="25" t="s">
        <v>8053</v>
      </c>
      <c r="C3516" s="26">
        <v>1</v>
      </c>
      <c r="D3516" s="27" t="s">
        <v>110</v>
      </c>
      <c r="E3516" s="26">
        <v>1375.45</v>
      </c>
      <c r="F3516" s="28" t="s">
        <v>618</v>
      </c>
      <c r="G3516" s="26">
        <f>ROUND(C3516*E3516,0)</f>
        <v>1375</v>
      </c>
      <c r="H3516" t="s">
        <v>7120</v>
      </c>
    </row>
    <row r="3517" spans="1:8" ht="45" x14ac:dyDescent="0.25">
      <c r="A3517" s="21" t="s">
        <v>8054</v>
      </c>
      <c r="B3517" s="25" t="s">
        <v>8055</v>
      </c>
      <c r="C3517" s="26">
        <v>1</v>
      </c>
      <c r="D3517" s="27" t="s">
        <v>110</v>
      </c>
      <c r="E3517" s="26">
        <v>1590.55</v>
      </c>
      <c r="F3517" s="28" t="s">
        <v>618</v>
      </c>
      <c r="G3517" s="26">
        <f>ROUND(C3517*E3517,0)</f>
        <v>1591</v>
      </c>
      <c r="H3517" t="s">
        <v>8042</v>
      </c>
    </row>
    <row r="3518" spans="1:8" ht="75" x14ac:dyDescent="0.25">
      <c r="A3518" s="21" t="s">
        <v>8056</v>
      </c>
      <c r="B3518" s="25" t="s">
        <v>8058</v>
      </c>
      <c r="C3518" s="26"/>
      <c r="D3518" s="27"/>
      <c r="E3518" s="26"/>
      <c r="F3518" s="28"/>
      <c r="G3518" s="26"/>
      <c r="H3518" t="s">
        <v>8057</v>
      </c>
    </row>
    <row r="3519" spans="1:8" ht="45" x14ac:dyDescent="0.25">
      <c r="A3519" s="21" t="s">
        <v>8059</v>
      </c>
      <c r="B3519" s="25" t="s">
        <v>8049</v>
      </c>
      <c r="C3519" s="26">
        <v>1</v>
      </c>
      <c r="D3519" s="27" t="s">
        <v>110</v>
      </c>
      <c r="E3519" s="26">
        <v>458.5</v>
      </c>
      <c r="F3519" s="28" t="s">
        <v>618</v>
      </c>
      <c r="G3519" s="26">
        <f>ROUND(C3519*E3519,0)</f>
        <v>459</v>
      </c>
      <c r="H3519" t="s">
        <v>5989</v>
      </c>
    </row>
    <row r="3520" spans="1:8" ht="45" x14ac:dyDescent="0.25">
      <c r="A3520" s="21" t="s">
        <v>8060</v>
      </c>
      <c r="B3520" s="25" t="s">
        <v>8051</v>
      </c>
      <c r="C3520" s="26">
        <v>1</v>
      </c>
      <c r="D3520" s="27" t="s">
        <v>110</v>
      </c>
      <c r="E3520" s="26">
        <v>743.1</v>
      </c>
      <c r="F3520" s="28" t="s">
        <v>618</v>
      </c>
      <c r="G3520" s="26">
        <f>ROUND(C3520*E3520,0)</f>
        <v>743</v>
      </c>
      <c r="H3520" t="s">
        <v>6725</v>
      </c>
    </row>
    <row r="3521" spans="1:8" ht="45" x14ac:dyDescent="0.25">
      <c r="A3521" s="21" t="s">
        <v>8061</v>
      </c>
      <c r="B3521" s="25" t="s">
        <v>8053</v>
      </c>
      <c r="C3521" s="26">
        <v>1</v>
      </c>
      <c r="D3521" s="27" t="s">
        <v>110</v>
      </c>
      <c r="E3521" s="26">
        <v>873.5</v>
      </c>
      <c r="F3521" s="28" t="s">
        <v>618</v>
      </c>
      <c r="G3521" s="26">
        <f>ROUND(C3521*E3521,0)</f>
        <v>874</v>
      </c>
      <c r="H3521" t="s">
        <v>7120</v>
      </c>
    </row>
    <row r="3522" spans="1:8" ht="45" x14ac:dyDescent="0.25">
      <c r="A3522" s="21" t="s">
        <v>8062</v>
      </c>
      <c r="B3522" s="25" t="s">
        <v>8055</v>
      </c>
      <c r="C3522" s="26">
        <v>1</v>
      </c>
      <c r="D3522" s="27" t="s">
        <v>110</v>
      </c>
      <c r="E3522" s="26">
        <v>1016.9</v>
      </c>
      <c r="F3522" s="28" t="s">
        <v>618</v>
      </c>
      <c r="G3522" s="26">
        <f>ROUND(C3522*E3522,0)</f>
        <v>1017</v>
      </c>
      <c r="H3522" t="s">
        <v>8042</v>
      </c>
    </row>
    <row r="3523" spans="1:8" ht="45" x14ac:dyDescent="0.25">
      <c r="A3523" s="21" t="s">
        <v>8063</v>
      </c>
      <c r="B3523" s="25" t="s">
        <v>8064</v>
      </c>
      <c r="C3523" s="26">
        <v>1</v>
      </c>
      <c r="D3523" s="27" t="s">
        <v>110</v>
      </c>
      <c r="E3523" s="26">
        <v>1173.3499999999999</v>
      </c>
      <c r="F3523" s="28" t="s">
        <v>618</v>
      </c>
      <c r="G3523" s="26">
        <f>ROUND(C3523*E3523,0)</f>
        <v>1173</v>
      </c>
      <c r="H3523" t="s">
        <v>8044</v>
      </c>
    </row>
    <row r="3524" spans="1:8" ht="90" x14ac:dyDescent="0.25">
      <c r="A3524" s="21" t="s">
        <v>8065</v>
      </c>
      <c r="B3524" s="25" t="s">
        <v>8067</v>
      </c>
      <c r="C3524" s="26"/>
      <c r="D3524" s="27"/>
      <c r="E3524" s="26"/>
      <c r="F3524" s="28"/>
      <c r="G3524" s="26"/>
      <c r="H3524" t="s">
        <v>8066</v>
      </c>
    </row>
    <row r="3525" spans="1:8" x14ac:dyDescent="0.25">
      <c r="A3525" s="21" t="s">
        <v>8068</v>
      </c>
      <c r="B3525" s="25" t="s">
        <v>8070</v>
      </c>
      <c r="C3525" s="26"/>
      <c r="D3525" s="27"/>
      <c r="E3525" s="26"/>
      <c r="F3525" s="28"/>
      <c r="G3525" s="26"/>
      <c r="H3525" t="s">
        <v>8069</v>
      </c>
    </row>
    <row r="3526" spans="1:8" ht="30" x14ac:dyDescent="0.25">
      <c r="A3526" s="21" t="s">
        <v>8071</v>
      </c>
      <c r="B3526" s="25" t="s">
        <v>5206</v>
      </c>
      <c r="C3526" s="26">
        <v>1</v>
      </c>
      <c r="D3526" s="27" t="s">
        <v>201</v>
      </c>
      <c r="E3526" s="26">
        <v>2707.65</v>
      </c>
      <c r="F3526" s="28" t="s">
        <v>202</v>
      </c>
      <c r="G3526" s="26">
        <f>ROUND(C3526*E3526,0)</f>
        <v>2708</v>
      </c>
      <c r="H3526" t="s">
        <v>1264</v>
      </c>
    </row>
    <row r="3527" spans="1:8" x14ac:dyDescent="0.25">
      <c r="A3527" s="21" t="s">
        <v>8072</v>
      </c>
      <c r="B3527" s="25" t="s">
        <v>8074</v>
      </c>
      <c r="C3527" s="26">
        <v>1</v>
      </c>
      <c r="D3527" s="27" t="s">
        <v>201</v>
      </c>
      <c r="E3527" s="26">
        <v>2685.2</v>
      </c>
      <c r="F3527" s="28" t="s">
        <v>202</v>
      </c>
      <c r="G3527" s="26">
        <f>ROUND(C3527*E3527,0)</f>
        <v>2685</v>
      </c>
      <c r="H3527" t="s">
        <v>8073</v>
      </c>
    </row>
    <row r="3528" spans="1:8" x14ac:dyDescent="0.25">
      <c r="A3528" s="21" t="s">
        <v>8075</v>
      </c>
      <c r="B3528" s="25" t="s">
        <v>8077</v>
      </c>
      <c r="C3528" s="26"/>
      <c r="D3528" s="27"/>
      <c r="E3528" s="26"/>
      <c r="F3528" s="28"/>
      <c r="G3528" s="26"/>
      <c r="H3528" t="s">
        <v>8076</v>
      </c>
    </row>
    <row r="3529" spans="1:8" ht="30" x14ac:dyDescent="0.25">
      <c r="A3529" s="21" t="s">
        <v>8078</v>
      </c>
      <c r="B3529" s="25" t="s">
        <v>5206</v>
      </c>
      <c r="C3529" s="26">
        <v>1</v>
      </c>
      <c r="D3529" s="27" t="s">
        <v>201</v>
      </c>
      <c r="E3529" s="26">
        <v>2734.2</v>
      </c>
      <c r="F3529" s="28" t="s">
        <v>202</v>
      </c>
      <c r="G3529" s="26">
        <f>ROUND(C3529*E3529,0)</f>
        <v>2734</v>
      </c>
      <c r="H3529" t="s">
        <v>1264</v>
      </c>
    </row>
    <row r="3530" spans="1:8" x14ac:dyDescent="0.25">
      <c r="A3530" s="21" t="s">
        <v>8079</v>
      </c>
      <c r="B3530" s="25" t="s">
        <v>8080</v>
      </c>
      <c r="C3530" s="26">
        <v>1</v>
      </c>
      <c r="D3530" s="27" t="s">
        <v>201</v>
      </c>
      <c r="E3530" s="26">
        <v>2711.7</v>
      </c>
      <c r="F3530" s="28" t="s">
        <v>202</v>
      </c>
      <c r="G3530" s="26">
        <f>ROUND(C3530*E3530,0)</f>
        <v>2712</v>
      </c>
      <c r="H3530" t="s">
        <v>8073</v>
      </c>
    </row>
    <row r="3531" spans="1:8" x14ac:dyDescent="0.25">
      <c r="A3531" s="21" t="s">
        <v>8081</v>
      </c>
      <c r="B3531" s="25" t="s">
        <v>8083</v>
      </c>
      <c r="C3531" s="26"/>
      <c r="D3531" s="27"/>
      <c r="E3531" s="26"/>
      <c r="F3531" s="28"/>
      <c r="G3531" s="26"/>
      <c r="H3531" t="s">
        <v>8082</v>
      </c>
    </row>
    <row r="3532" spans="1:8" ht="30" x14ac:dyDescent="0.25">
      <c r="A3532" s="21" t="s">
        <v>8084</v>
      </c>
      <c r="B3532" s="25" t="s">
        <v>5206</v>
      </c>
      <c r="C3532" s="26">
        <v>1</v>
      </c>
      <c r="D3532" s="27" t="s">
        <v>201</v>
      </c>
      <c r="E3532" s="26">
        <v>2802.15</v>
      </c>
      <c r="F3532" s="28" t="s">
        <v>202</v>
      </c>
      <c r="G3532" s="26">
        <f>ROUND(C3532*E3532,0)</f>
        <v>2802</v>
      </c>
      <c r="H3532" t="s">
        <v>1264</v>
      </c>
    </row>
    <row r="3533" spans="1:8" x14ac:dyDescent="0.25">
      <c r="A3533" s="21" t="s">
        <v>8085</v>
      </c>
      <c r="B3533" s="25" t="s">
        <v>8074</v>
      </c>
      <c r="C3533" s="26">
        <v>1</v>
      </c>
      <c r="D3533" s="27" t="s">
        <v>201</v>
      </c>
      <c r="E3533" s="26">
        <v>2779.65</v>
      </c>
      <c r="F3533" s="28" t="s">
        <v>202</v>
      </c>
      <c r="G3533" s="26">
        <f>ROUND(C3533*E3533,0)</f>
        <v>2780</v>
      </c>
      <c r="H3533" t="s">
        <v>8073</v>
      </c>
    </row>
    <row r="3534" spans="1:8" ht="75" x14ac:dyDescent="0.25">
      <c r="A3534" s="21" t="s">
        <v>8086</v>
      </c>
      <c r="B3534" s="25" t="s">
        <v>8088</v>
      </c>
      <c r="C3534" s="26"/>
      <c r="D3534" s="27"/>
      <c r="E3534" s="26"/>
      <c r="F3534" s="28"/>
      <c r="G3534" s="26"/>
      <c r="H3534" t="s">
        <v>8087</v>
      </c>
    </row>
    <row r="3535" spans="1:8" ht="45" x14ac:dyDescent="0.25">
      <c r="A3535" s="21" t="s">
        <v>8089</v>
      </c>
      <c r="B3535" s="25" t="s">
        <v>3677</v>
      </c>
      <c r="C3535" s="26">
        <v>1</v>
      </c>
      <c r="D3535" s="27" t="s">
        <v>110</v>
      </c>
      <c r="E3535" s="26">
        <v>89</v>
      </c>
      <c r="F3535" s="28" t="s">
        <v>618</v>
      </c>
      <c r="G3535" s="26">
        <f t="shared" ref="G3535:G3542" si="127">ROUND(C3535*E3535,0)</f>
        <v>89</v>
      </c>
      <c r="H3535" t="s">
        <v>8090</v>
      </c>
    </row>
    <row r="3536" spans="1:8" ht="45" x14ac:dyDescent="0.25">
      <c r="A3536" s="21" t="s">
        <v>8091</v>
      </c>
      <c r="B3536" s="25" t="s">
        <v>3680</v>
      </c>
      <c r="C3536" s="26">
        <v>1</v>
      </c>
      <c r="D3536" s="27" t="s">
        <v>110</v>
      </c>
      <c r="E3536" s="26">
        <v>98.45</v>
      </c>
      <c r="F3536" s="28" t="s">
        <v>618</v>
      </c>
      <c r="G3536" s="26">
        <f t="shared" si="127"/>
        <v>98</v>
      </c>
      <c r="H3536" t="s">
        <v>8092</v>
      </c>
    </row>
    <row r="3537" spans="1:8" ht="45" x14ac:dyDescent="0.25">
      <c r="A3537" s="21" t="s">
        <v>8093</v>
      </c>
      <c r="B3537" s="25" t="s">
        <v>6855</v>
      </c>
      <c r="C3537" s="26">
        <v>1</v>
      </c>
      <c r="D3537" s="27" t="s">
        <v>110</v>
      </c>
      <c r="E3537" s="26">
        <v>104.7</v>
      </c>
      <c r="F3537" s="28" t="s">
        <v>618</v>
      </c>
      <c r="G3537" s="26">
        <f t="shared" si="127"/>
        <v>105</v>
      </c>
      <c r="H3537" t="s">
        <v>8094</v>
      </c>
    </row>
    <row r="3538" spans="1:8" ht="45" x14ac:dyDescent="0.25">
      <c r="A3538" s="21" t="s">
        <v>8095</v>
      </c>
      <c r="B3538" s="25" t="s">
        <v>6860</v>
      </c>
      <c r="C3538" s="26">
        <v>1</v>
      </c>
      <c r="D3538" s="27" t="s">
        <v>110</v>
      </c>
      <c r="E3538" s="26">
        <v>111</v>
      </c>
      <c r="F3538" s="28" t="s">
        <v>618</v>
      </c>
      <c r="G3538" s="26">
        <f t="shared" si="127"/>
        <v>111</v>
      </c>
      <c r="H3538" t="s">
        <v>8096</v>
      </c>
    </row>
    <row r="3539" spans="1:8" ht="45" x14ac:dyDescent="0.25">
      <c r="A3539" s="21" t="s">
        <v>8097</v>
      </c>
      <c r="B3539" s="25" t="s">
        <v>6865</v>
      </c>
      <c r="C3539" s="26">
        <v>1</v>
      </c>
      <c r="D3539" s="27" t="s">
        <v>110</v>
      </c>
      <c r="E3539" s="26">
        <v>117.25</v>
      </c>
      <c r="F3539" s="28" t="s">
        <v>618</v>
      </c>
      <c r="G3539" s="26">
        <f t="shared" si="127"/>
        <v>117</v>
      </c>
      <c r="H3539" t="s">
        <v>8098</v>
      </c>
    </row>
    <row r="3540" spans="1:8" ht="45" x14ac:dyDescent="0.25">
      <c r="A3540" s="21" t="s">
        <v>8099</v>
      </c>
      <c r="B3540" s="25" t="s">
        <v>8101</v>
      </c>
      <c r="C3540" s="26">
        <v>1</v>
      </c>
      <c r="D3540" s="27" t="s">
        <v>110</v>
      </c>
      <c r="E3540" s="26">
        <v>135.05000000000001</v>
      </c>
      <c r="F3540" s="28" t="s">
        <v>618</v>
      </c>
      <c r="G3540" s="26">
        <f t="shared" si="127"/>
        <v>135</v>
      </c>
      <c r="H3540" t="s">
        <v>8100</v>
      </c>
    </row>
    <row r="3541" spans="1:8" ht="45" x14ac:dyDescent="0.25">
      <c r="A3541" s="21" t="s">
        <v>8102</v>
      </c>
      <c r="B3541" s="25" t="s">
        <v>8104</v>
      </c>
      <c r="C3541" s="26">
        <v>1</v>
      </c>
      <c r="D3541" s="27" t="s">
        <v>110</v>
      </c>
      <c r="E3541" s="26">
        <v>147.65</v>
      </c>
      <c r="F3541" s="28" t="s">
        <v>618</v>
      </c>
      <c r="G3541" s="26">
        <f t="shared" si="127"/>
        <v>148</v>
      </c>
      <c r="H3541" t="s">
        <v>8103</v>
      </c>
    </row>
    <row r="3542" spans="1:8" ht="45" x14ac:dyDescent="0.25">
      <c r="A3542" s="21" t="s">
        <v>8105</v>
      </c>
      <c r="B3542" s="25" t="s">
        <v>8107</v>
      </c>
      <c r="C3542" s="26">
        <v>1</v>
      </c>
      <c r="D3542" s="27" t="s">
        <v>110</v>
      </c>
      <c r="E3542" s="26">
        <v>153.9</v>
      </c>
      <c r="F3542" s="28" t="s">
        <v>618</v>
      </c>
      <c r="G3542" s="26">
        <f t="shared" si="127"/>
        <v>154</v>
      </c>
      <c r="H3542" t="s">
        <v>8106</v>
      </c>
    </row>
    <row r="3543" spans="1:8" ht="75" x14ac:dyDescent="0.25">
      <c r="A3543" s="21" t="s">
        <v>8108</v>
      </c>
      <c r="B3543" s="25" t="s">
        <v>8110</v>
      </c>
      <c r="C3543" s="26"/>
      <c r="D3543" s="27"/>
      <c r="E3543" s="26"/>
      <c r="F3543" s="28"/>
      <c r="G3543" s="26"/>
      <c r="H3543" t="s">
        <v>8109</v>
      </c>
    </row>
    <row r="3544" spans="1:8" ht="45" x14ac:dyDescent="0.25">
      <c r="A3544" s="21" t="s">
        <v>8111</v>
      </c>
      <c r="B3544" s="25" t="s">
        <v>8113</v>
      </c>
      <c r="C3544" s="26">
        <v>1</v>
      </c>
      <c r="D3544" s="27" t="s">
        <v>110</v>
      </c>
      <c r="E3544" s="26">
        <v>507.05</v>
      </c>
      <c r="F3544" s="28" t="s">
        <v>618</v>
      </c>
      <c r="G3544" s="26">
        <f t="shared" ref="G3544:G3556" si="128">ROUND(C3544*E3544,0)</f>
        <v>507</v>
      </c>
      <c r="H3544" t="s">
        <v>8112</v>
      </c>
    </row>
    <row r="3545" spans="1:8" ht="45" x14ac:dyDescent="0.25">
      <c r="A3545" s="21" t="s">
        <v>8114</v>
      </c>
      <c r="B3545" s="25" t="s">
        <v>8116</v>
      </c>
      <c r="C3545" s="26">
        <v>1</v>
      </c>
      <c r="D3545" s="27" t="s">
        <v>110</v>
      </c>
      <c r="E3545" s="26">
        <v>556.45000000000005</v>
      </c>
      <c r="F3545" s="28" t="s">
        <v>618</v>
      </c>
      <c r="G3545" s="26">
        <f t="shared" si="128"/>
        <v>556</v>
      </c>
      <c r="H3545" t="s">
        <v>8115</v>
      </c>
    </row>
    <row r="3546" spans="1:8" ht="45" x14ac:dyDescent="0.25">
      <c r="A3546" s="21" t="s">
        <v>8117</v>
      </c>
      <c r="B3546" s="25" t="s">
        <v>8119</v>
      </c>
      <c r="C3546" s="26">
        <v>1</v>
      </c>
      <c r="D3546" s="27" t="s">
        <v>110</v>
      </c>
      <c r="E3546" s="26">
        <v>899.8</v>
      </c>
      <c r="F3546" s="28" t="s">
        <v>618</v>
      </c>
      <c r="G3546" s="26">
        <f t="shared" si="128"/>
        <v>900</v>
      </c>
      <c r="H3546" t="s">
        <v>8118</v>
      </c>
    </row>
    <row r="3547" spans="1:8" ht="45" x14ac:dyDescent="0.25">
      <c r="A3547" s="21" t="s">
        <v>8120</v>
      </c>
      <c r="B3547" s="25" t="s">
        <v>8122</v>
      </c>
      <c r="C3547" s="26">
        <v>1</v>
      </c>
      <c r="D3547" s="27" t="s">
        <v>110</v>
      </c>
      <c r="E3547" s="26">
        <v>994.3</v>
      </c>
      <c r="F3547" s="28" t="s">
        <v>618</v>
      </c>
      <c r="G3547" s="26">
        <f t="shared" si="128"/>
        <v>994</v>
      </c>
      <c r="H3547" t="s">
        <v>8121</v>
      </c>
    </row>
    <row r="3548" spans="1:8" ht="45" x14ac:dyDescent="0.25">
      <c r="A3548" s="21" t="s">
        <v>8123</v>
      </c>
      <c r="B3548" s="25" t="s">
        <v>8125</v>
      </c>
      <c r="C3548" s="26">
        <v>1</v>
      </c>
      <c r="D3548" s="27" t="s">
        <v>110</v>
      </c>
      <c r="E3548" s="26">
        <v>1620.95</v>
      </c>
      <c r="F3548" s="28" t="s">
        <v>618</v>
      </c>
      <c r="G3548" s="26">
        <f t="shared" si="128"/>
        <v>1621</v>
      </c>
      <c r="H3548" t="s">
        <v>8124</v>
      </c>
    </row>
    <row r="3549" spans="1:8" ht="45" x14ac:dyDescent="0.25">
      <c r="A3549" s="21" t="s">
        <v>8126</v>
      </c>
      <c r="B3549" s="25" t="s">
        <v>8128</v>
      </c>
      <c r="C3549" s="26">
        <v>1</v>
      </c>
      <c r="D3549" s="27" t="s">
        <v>110</v>
      </c>
      <c r="E3549" s="26">
        <v>1918.9</v>
      </c>
      <c r="F3549" s="28" t="s">
        <v>618</v>
      </c>
      <c r="G3549" s="26">
        <f t="shared" si="128"/>
        <v>1919</v>
      </c>
      <c r="H3549" t="s">
        <v>8127</v>
      </c>
    </row>
    <row r="3550" spans="1:8" ht="45" x14ac:dyDescent="0.25">
      <c r="A3550" s="21" t="s">
        <v>8129</v>
      </c>
      <c r="B3550" s="25" t="s">
        <v>8131</v>
      </c>
      <c r="C3550" s="26">
        <v>1</v>
      </c>
      <c r="D3550" s="27" t="s">
        <v>110</v>
      </c>
      <c r="E3550" s="26">
        <v>2243.4</v>
      </c>
      <c r="F3550" s="28" t="s">
        <v>618</v>
      </c>
      <c r="G3550" s="26">
        <f t="shared" si="128"/>
        <v>2243</v>
      </c>
      <c r="H3550" t="s">
        <v>8130</v>
      </c>
    </row>
    <row r="3551" spans="1:8" ht="45" x14ac:dyDescent="0.25">
      <c r="A3551" s="21" t="s">
        <v>8132</v>
      </c>
      <c r="B3551" s="25" t="s">
        <v>8134</v>
      </c>
      <c r="C3551" s="26">
        <v>1</v>
      </c>
      <c r="D3551" s="27" t="s">
        <v>110</v>
      </c>
      <c r="E3551" s="26">
        <v>2932.5</v>
      </c>
      <c r="F3551" s="28" t="s">
        <v>618</v>
      </c>
      <c r="G3551" s="26">
        <f t="shared" si="128"/>
        <v>2933</v>
      </c>
      <c r="H3551" t="s">
        <v>8133</v>
      </c>
    </row>
    <row r="3552" spans="1:8" ht="45" x14ac:dyDescent="0.25">
      <c r="A3552" s="21" t="s">
        <v>8135</v>
      </c>
      <c r="B3552" s="25" t="s">
        <v>8137</v>
      </c>
      <c r="C3552" s="26">
        <v>1</v>
      </c>
      <c r="D3552" s="27" t="s">
        <v>110</v>
      </c>
      <c r="E3552" s="26">
        <v>3511.95</v>
      </c>
      <c r="F3552" s="28" t="s">
        <v>618</v>
      </c>
      <c r="G3552" s="26">
        <f t="shared" si="128"/>
        <v>3512</v>
      </c>
      <c r="H3552" t="s">
        <v>8136</v>
      </c>
    </row>
    <row r="3553" spans="1:8" ht="45" x14ac:dyDescent="0.25">
      <c r="A3553" s="21" t="s">
        <v>8138</v>
      </c>
      <c r="B3553" s="25" t="s">
        <v>8140</v>
      </c>
      <c r="C3553" s="26">
        <v>1</v>
      </c>
      <c r="D3553" s="27" t="s">
        <v>110</v>
      </c>
      <c r="E3553" s="26">
        <v>4750.8500000000004</v>
      </c>
      <c r="F3553" s="28" t="s">
        <v>618</v>
      </c>
      <c r="G3553" s="26">
        <f t="shared" si="128"/>
        <v>4751</v>
      </c>
      <c r="H3553" t="s">
        <v>8139</v>
      </c>
    </row>
    <row r="3554" spans="1:8" ht="45" x14ac:dyDescent="0.25">
      <c r="A3554" s="21" t="s">
        <v>8141</v>
      </c>
      <c r="B3554" s="25" t="s">
        <v>8143</v>
      </c>
      <c r="C3554" s="26">
        <v>1</v>
      </c>
      <c r="D3554" s="27" t="s">
        <v>110</v>
      </c>
      <c r="E3554" s="26">
        <v>5562.6</v>
      </c>
      <c r="F3554" s="28" t="s">
        <v>618</v>
      </c>
      <c r="G3554" s="26">
        <f t="shared" si="128"/>
        <v>5563</v>
      </c>
      <c r="H3554" t="s">
        <v>8142</v>
      </c>
    </row>
    <row r="3555" spans="1:8" ht="45" x14ac:dyDescent="0.25">
      <c r="A3555" s="21" t="s">
        <v>8144</v>
      </c>
      <c r="B3555" s="25" t="s">
        <v>8146</v>
      </c>
      <c r="C3555" s="26">
        <v>1</v>
      </c>
      <c r="D3555" s="27" t="s">
        <v>110</v>
      </c>
      <c r="E3555" s="26">
        <v>6276.6</v>
      </c>
      <c r="F3555" s="28" t="s">
        <v>618</v>
      </c>
      <c r="G3555" s="26">
        <f t="shared" si="128"/>
        <v>6277</v>
      </c>
      <c r="H3555" t="s">
        <v>8145</v>
      </c>
    </row>
    <row r="3556" spans="1:8" ht="45" x14ac:dyDescent="0.25">
      <c r="A3556" s="21" t="s">
        <v>8147</v>
      </c>
      <c r="B3556" s="25" t="s">
        <v>8149</v>
      </c>
      <c r="C3556" s="26">
        <v>1</v>
      </c>
      <c r="D3556" s="27" t="s">
        <v>110</v>
      </c>
      <c r="E3556" s="26">
        <v>7102.15</v>
      </c>
      <c r="F3556" s="28" t="s">
        <v>618</v>
      </c>
      <c r="G3556" s="26">
        <f t="shared" si="128"/>
        <v>7102</v>
      </c>
      <c r="H3556" t="s">
        <v>8148</v>
      </c>
    </row>
    <row r="3557" spans="1:8" ht="210" x14ac:dyDescent="0.25">
      <c r="A3557" s="21" t="s">
        <v>8150</v>
      </c>
      <c r="B3557" s="25" t="s">
        <v>8152</v>
      </c>
      <c r="C3557" s="26"/>
      <c r="D3557" s="27"/>
      <c r="E3557" s="26"/>
      <c r="F3557" s="28"/>
      <c r="G3557" s="26"/>
      <c r="H3557" t="s">
        <v>8151</v>
      </c>
    </row>
    <row r="3558" spans="1:8" ht="75" x14ac:dyDescent="0.25">
      <c r="A3558" s="21" t="s">
        <v>8153</v>
      </c>
      <c r="B3558" s="25" t="s">
        <v>8155</v>
      </c>
      <c r="C3558" s="26"/>
      <c r="D3558" s="27"/>
      <c r="E3558" s="26"/>
      <c r="F3558" s="28"/>
      <c r="G3558" s="26"/>
      <c r="H3558" t="s">
        <v>8154</v>
      </c>
    </row>
    <row r="3559" spans="1:8" ht="30" x14ac:dyDescent="0.25">
      <c r="A3559" s="21" t="s">
        <v>8156</v>
      </c>
      <c r="B3559" s="25" t="s">
        <v>5206</v>
      </c>
      <c r="C3559" s="26">
        <v>1</v>
      </c>
      <c r="D3559" s="27" t="s">
        <v>201</v>
      </c>
      <c r="E3559" s="26">
        <v>12770.55</v>
      </c>
      <c r="F3559" s="28" t="s">
        <v>202</v>
      </c>
      <c r="G3559" s="26">
        <f>ROUND(C3559*E3559,0)</f>
        <v>12771</v>
      </c>
      <c r="H3559" t="s">
        <v>8157</v>
      </c>
    </row>
    <row r="3560" spans="1:8" x14ac:dyDescent="0.25">
      <c r="A3560" s="21" t="s">
        <v>8158</v>
      </c>
      <c r="B3560" s="25" t="s">
        <v>8074</v>
      </c>
      <c r="C3560" s="26">
        <v>1</v>
      </c>
      <c r="D3560" s="27" t="s">
        <v>201</v>
      </c>
      <c r="E3560" s="26">
        <v>12711.8</v>
      </c>
      <c r="F3560" s="28" t="s">
        <v>202</v>
      </c>
      <c r="G3560" s="26">
        <f>ROUND(C3560*E3560,0)</f>
        <v>12712</v>
      </c>
      <c r="H3560" t="s">
        <v>8073</v>
      </c>
    </row>
    <row r="3561" spans="1:8" ht="75" x14ac:dyDescent="0.25">
      <c r="A3561" s="21" t="s">
        <v>8159</v>
      </c>
      <c r="B3561" s="25" t="s">
        <v>8161</v>
      </c>
      <c r="C3561" s="26"/>
      <c r="D3561" s="27"/>
      <c r="E3561" s="26"/>
      <c r="F3561" s="28"/>
      <c r="G3561" s="26"/>
      <c r="H3561" t="s">
        <v>8160</v>
      </c>
    </row>
    <row r="3562" spans="1:8" ht="30" x14ac:dyDescent="0.25">
      <c r="A3562" s="21" t="s">
        <v>8162</v>
      </c>
      <c r="B3562" s="25" t="s">
        <v>5206</v>
      </c>
      <c r="C3562" s="26">
        <v>1</v>
      </c>
      <c r="D3562" s="27" t="s">
        <v>201</v>
      </c>
      <c r="E3562" s="26">
        <v>26405.5</v>
      </c>
      <c r="F3562" s="28" t="s">
        <v>202</v>
      </c>
      <c r="G3562" s="26">
        <f>ROUND(C3562*E3562,0)</f>
        <v>26406</v>
      </c>
      <c r="H3562" t="s">
        <v>8163</v>
      </c>
    </row>
    <row r="3563" spans="1:8" x14ac:dyDescent="0.25">
      <c r="A3563" s="21" t="s">
        <v>8164</v>
      </c>
      <c r="B3563" s="25" t="s">
        <v>8074</v>
      </c>
      <c r="C3563" s="26">
        <v>1</v>
      </c>
      <c r="D3563" s="27" t="s">
        <v>201</v>
      </c>
      <c r="E3563" s="26">
        <v>26244.7</v>
      </c>
      <c r="F3563" s="28" t="s">
        <v>202</v>
      </c>
      <c r="G3563" s="26">
        <f>ROUND(C3563*E3563,0)</f>
        <v>26245</v>
      </c>
      <c r="H3563" t="s">
        <v>8165</v>
      </c>
    </row>
    <row r="3564" spans="1:8" ht="75" x14ac:dyDescent="0.25">
      <c r="A3564" s="21" t="s">
        <v>8166</v>
      </c>
      <c r="B3564" s="25" t="s">
        <v>8168</v>
      </c>
      <c r="C3564" s="26"/>
      <c r="D3564" s="27"/>
      <c r="E3564" s="26"/>
      <c r="F3564" s="28"/>
      <c r="G3564" s="26"/>
      <c r="H3564" t="s">
        <v>8167</v>
      </c>
    </row>
    <row r="3565" spans="1:8" ht="30" x14ac:dyDescent="0.25">
      <c r="A3565" s="21" t="s">
        <v>8169</v>
      </c>
      <c r="B3565" s="25" t="s">
        <v>5206</v>
      </c>
      <c r="C3565" s="26">
        <v>1</v>
      </c>
      <c r="D3565" s="27" t="s">
        <v>201</v>
      </c>
      <c r="E3565" s="26">
        <v>32857.85</v>
      </c>
      <c r="F3565" s="28" t="s">
        <v>202</v>
      </c>
      <c r="G3565" s="26">
        <f>ROUND(C3565*E3565,0)</f>
        <v>32858</v>
      </c>
      <c r="H3565" t="s">
        <v>8163</v>
      </c>
    </row>
    <row r="3566" spans="1:8" x14ac:dyDescent="0.25">
      <c r="A3566" s="21" t="s">
        <v>8170</v>
      </c>
      <c r="B3566" s="25" t="s">
        <v>8074</v>
      </c>
      <c r="C3566" s="26">
        <v>1</v>
      </c>
      <c r="D3566" s="27" t="s">
        <v>201</v>
      </c>
      <c r="E3566" s="26">
        <v>32719.5</v>
      </c>
      <c r="F3566" s="28" t="s">
        <v>202</v>
      </c>
      <c r="G3566" s="26">
        <f>ROUND(C3566*E3566,0)</f>
        <v>32720</v>
      </c>
      <c r="H3566" t="s">
        <v>8171</v>
      </c>
    </row>
    <row r="3567" spans="1:8" x14ac:dyDescent="0.25">
      <c r="A3567" s="21" t="s">
        <v>8172</v>
      </c>
      <c r="B3567" s="25" t="s">
        <v>8174</v>
      </c>
      <c r="C3567" s="26"/>
      <c r="D3567" s="27"/>
      <c r="E3567" s="26"/>
      <c r="F3567" s="28"/>
      <c r="G3567" s="26"/>
      <c r="H3567" t="s">
        <v>8173</v>
      </c>
    </row>
    <row r="3568" spans="1:8" x14ac:dyDescent="0.25">
      <c r="A3568" s="21" t="s">
        <v>8175</v>
      </c>
      <c r="B3568" s="25" t="s">
        <v>8177</v>
      </c>
      <c r="C3568" s="26"/>
      <c r="D3568" s="27"/>
      <c r="E3568" s="26"/>
      <c r="F3568" s="28"/>
      <c r="G3568" s="26"/>
      <c r="H3568" t="s">
        <v>8176</v>
      </c>
    </row>
    <row r="3569" spans="1:8" ht="45" x14ac:dyDescent="0.25">
      <c r="A3569" s="21" t="s">
        <v>8178</v>
      </c>
      <c r="B3569" s="25" t="s">
        <v>5206</v>
      </c>
      <c r="C3569" s="26">
        <v>1</v>
      </c>
      <c r="D3569" s="27" t="s">
        <v>110</v>
      </c>
      <c r="E3569" s="26">
        <v>8825.4</v>
      </c>
      <c r="F3569" s="28" t="s">
        <v>618</v>
      </c>
      <c r="G3569" s="26">
        <f>ROUND(C3569*E3569,0)</f>
        <v>8825</v>
      </c>
      <c r="H3569" t="s">
        <v>8179</v>
      </c>
    </row>
    <row r="3570" spans="1:8" ht="45" x14ac:dyDescent="0.25">
      <c r="A3570" s="21" t="s">
        <v>8180</v>
      </c>
      <c r="B3570" s="25" t="s">
        <v>8074</v>
      </c>
      <c r="C3570" s="26">
        <v>1</v>
      </c>
      <c r="D3570" s="27" t="s">
        <v>110</v>
      </c>
      <c r="E3570" s="26">
        <v>8654.25</v>
      </c>
      <c r="F3570" s="28" t="s">
        <v>618</v>
      </c>
      <c r="G3570" s="26">
        <f>ROUND(C3570*E3570,0)</f>
        <v>8654</v>
      </c>
      <c r="H3570" t="s">
        <v>8181</v>
      </c>
    </row>
    <row r="3571" spans="1:8" x14ac:dyDescent="0.25">
      <c r="A3571" s="21" t="s">
        <v>8182</v>
      </c>
      <c r="B3571" s="25" t="s">
        <v>8184</v>
      </c>
      <c r="C3571" s="26"/>
      <c r="D3571" s="27"/>
      <c r="E3571" s="26"/>
      <c r="F3571" s="28"/>
      <c r="G3571" s="26"/>
      <c r="H3571" t="s">
        <v>8183</v>
      </c>
    </row>
    <row r="3572" spans="1:8" ht="45" x14ac:dyDescent="0.25">
      <c r="A3572" s="21" t="s">
        <v>8185</v>
      </c>
      <c r="B3572" s="25" t="s">
        <v>5206</v>
      </c>
      <c r="C3572" s="26">
        <v>1</v>
      </c>
      <c r="D3572" s="27" t="s">
        <v>110</v>
      </c>
      <c r="E3572" s="26">
        <v>10585.5</v>
      </c>
      <c r="F3572" s="28" t="s">
        <v>618</v>
      </c>
      <c r="G3572" s="26">
        <f>ROUND(C3572*E3572,0)</f>
        <v>10586</v>
      </c>
      <c r="H3572" t="s">
        <v>8186</v>
      </c>
    </row>
    <row r="3573" spans="1:8" ht="45" x14ac:dyDescent="0.25">
      <c r="A3573" s="21" t="s">
        <v>8187</v>
      </c>
      <c r="B3573" s="25" t="s">
        <v>8074</v>
      </c>
      <c r="C3573" s="26">
        <v>1</v>
      </c>
      <c r="D3573" s="27" t="s">
        <v>110</v>
      </c>
      <c r="E3573" s="26">
        <v>10381.450000000001</v>
      </c>
      <c r="F3573" s="28" t="s">
        <v>618</v>
      </c>
      <c r="G3573" s="26">
        <f>ROUND(C3573*E3573,0)</f>
        <v>10381</v>
      </c>
      <c r="H3573" t="s">
        <v>8181</v>
      </c>
    </row>
    <row r="3574" spans="1:8" ht="195" x14ac:dyDescent="0.25">
      <c r="A3574" s="21" t="s">
        <v>8188</v>
      </c>
      <c r="B3574" s="25" t="s">
        <v>8190</v>
      </c>
      <c r="C3574" s="26"/>
      <c r="D3574" s="27"/>
      <c r="E3574" s="26"/>
      <c r="F3574" s="28"/>
      <c r="G3574" s="26"/>
      <c r="H3574" t="s">
        <v>8189</v>
      </c>
    </row>
    <row r="3575" spans="1:8" ht="150" x14ac:dyDescent="0.25">
      <c r="A3575" s="21" t="s">
        <v>8191</v>
      </c>
      <c r="B3575" s="25" t="s">
        <v>8193</v>
      </c>
      <c r="C3575" s="26"/>
      <c r="D3575" s="27"/>
      <c r="E3575" s="26"/>
      <c r="F3575" s="28"/>
      <c r="G3575" s="26"/>
      <c r="H3575" t="s">
        <v>8192</v>
      </c>
    </row>
    <row r="3576" spans="1:8" ht="30" x14ac:dyDescent="0.25">
      <c r="A3576" s="21" t="s">
        <v>8194</v>
      </c>
      <c r="B3576" s="25" t="s">
        <v>5206</v>
      </c>
      <c r="C3576" s="26">
        <v>1</v>
      </c>
      <c r="D3576" s="27" t="s">
        <v>201</v>
      </c>
      <c r="E3576" s="26">
        <v>12725</v>
      </c>
      <c r="F3576" s="28" t="s">
        <v>202</v>
      </c>
      <c r="G3576" s="26">
        <f>ROUND(C3576*E3576,0)</f>
        <v>12725</v>
      </c>
      <c r="H3576" t="s">
        <v>8195</v>
      </c>
    </row>
    <row r="3577" spans="1:8" x14ac:dyDescent="0.25">
      <c r="A3577" s="21" t="s">
        <v>8196</v>
      </c>
      <c r="B3577" s="25" t="s">
        <v>8074</v>
      </c>
      <c r="C3577" s="26">
        <v>1</v>
      </c>
      <c r="D3577" s="27" t="s">
        <v>201</v>
      </c>
      <c r="E3577" s="26">
        <v>12600.4</v>
      </c>
      <c r="F3577" s="28" t="s">
        <v>202</v>
      </c>
      <c r="G3577" s="26">
        <f>ROUND(C3577*E3577,0)</f>
        <v>12600</v>
      </c>
      <c r="H3577" t="s">
        <v>8171</v>
      </c>
    </row>
    <row r="3578" spans="1:8" ht="30" x14ac:dyDescent="0.25">
      <c r="A3578" s="21" t="s">
        <v>8197</v>
      </c>
      <c r="B3578" s="25" t="s">
        <v>8199</v>
      </c>
      <c r="C3578" s="26"/>
      <c r="D3578" s="27"/>
      <c r="E3578" s="26"/>
      <c r="F3578" s="28"/>
      <c r="G3578" s="26"/>
      <c r="H3578" t="s">
        <v>8198</v>
      </c>
    </row>
    <row r="3579" spans="1:8" ht="45" x14ac:dyDescent="0.25">
      <c r="A3579" s="21" t="s">
        <v>8200</v>
      </c>
      <c r="B3579" s="25" t="s">
        <v>5206</v>
      </c>
      <c r="C3579" s="26">
        <v>1</v>
      </c>
      <c r="D3579" s="27" t="s">
        <v>110</v>
      </c>
      <c r="E3579" s="26">
        <v>7591.8</v>
      </c>
      <c r="F3579" s="28" t="s">
        <v>618</v>
      </c>
      <c r="G3579" s="26">
        <f>ROUND(C3579*E3579,0)</f>
        <v>7592</v>
      </c>
      <c r="H3579" t="s">
        <v>8201</v>
      </c>
    </row>
    <row r="3580" spans="1:8" ht="45" x14ac:dyDescent="0.25">
      <c r="A3580" s="21" t="s">
        <v>8202</v>
      </c>
      <c r="B3580" s="25" t="s">
        <v>8204</v>
      </c>
      <c r="C3580" s="26">
        <v>1</v>
      </c>
      <c r="D3580" s="27" t="s">
        <v>110</v>
      </c>
      <c r="E3580" s="26">
        <v>7448.45</v>
      </c>
      <c r="F3580" s="28" t="s">
        <v>618</v>
      </c>
      <c r="G3580" s="26">
        <f>ROUND(C3580*E3580,0)</f>
        <v>7448</v>
      </c>
      <c r="H3580" t="s">
        <v>8203</v>
      </c>
    </row>
    <row r="3581" spans="1:8" ht="195" x14ac:dyDescent="0.25">
      <c r="A3581" s="21" t="s">
        <v>8205</v>
      </c>
      <c r="B3581" s="25" t="s">
        <v>8206</v>
      </c>
      <c r="C3581" s="26"/>
      <c r="D3581" s="27"/>
      <c r="E3581" s="26"/>
      <c r="F3581" s="28"/>
      <c r="G3581" s="26"/>
      <c r="H3581" t="s">
        <v>8189</v>
      </c>
    </row>
    <row r="3582" spans="1:8" ht="150" x14ac:dyDescent="0.25">
      <c r="A3582" s="21" t="s">
        <v>8207</v>
      </c>
      <c r="B3582" s="25" t="s">
        <v>8209</v>
      </c>
      <c r="C3582" s="26"/>
      <c r="D3582" s="27"/>
      <c r="E3582" s="26"/>
      <c r="F3582" s="28"/>
      <c r="G3582" s="26"/>
      <c r="H3582" t="s">
        <v>8208</v>
      </c>
    </row>
    <row r="3583" spans="1:8" ht="30" x14ac:dyDescent="0.25">
      <c r="A3583" s="21" t="s">
        <v>8210</v>
      </c>
      <c r="B3583" s="25" t="s">
        <v>5206</v>
      </c>
      <c r="C3583" s="26">
        <v>1</v>
      </c>
      <c r="D3583" s="27" t="s">
        <v>201</v>
      </c>
      <c r="E3583" s="26">
        <v>24702.75</v>
      </c>
      <c r="F3583" s="28" t="s">
        <v>202</v>
      </c>
      <c r="G3583" s="26">
        <f>ROUND(C3583*E3583,0)</f>
        <v>24703</v>
      </c>
      <c r="H3583" t="s">
        <v>8195</v>
      </c>
    </row>
    <row r="3584" spans="1:8" x14ac:dyDescent="0.25">
      <c r="A3584" s="21" t="s">
        <v>8211</v>
      </c>
      <c r="B3584" s="25" t="s">
        <v>8204</v>
      </c>
      <c r="C3584" s="26">
        <v>1</v>
      </c>
      <c r="D3584" s="27" t="s">
        <v>201</v>
      </c>
      <c r="E3584" s="26">
        <v>24446.7</v>
      </c>
      <c r="F3584" s="28" t="s">
        <v>202</v>
      </c>
      <c r="G3584" s="26">
        <f>ROUND(C3584*E3584,0)</f>
        <v>24447</v>
      </c>
      <c r="H3584" t="s">
        <v>8171</v>
      </c>
    </row>
    <row r="3585" spans="1:8" ht="30" x14ac:dyDescent="0.25">
      <c r="A3585" s="21" t="s">
        <v>8212</v>
      </c>
      <c r="B3585" s="25" t="s">
        <v>8214</v>
      </c>
      <c r="C3585" s="26"/>
      <c r="D3585" s="27"/>
      <c r="E3585" s="26"/>
      <c r="F3585" s="28"/>
      <c r="G3585" s="26"/>
      <c r="H3585" t="s">
        <v>8213</v>
      </c>
    </row>
    <row r="3586" spans="1:8" ht="45" x14ac:dyDescent="0.25">
      <c r="A3586" s="21" t="s">
        <v>8215</v>
      </c>
      <c r="B3586" s="25" t="s">
        <v>5206</v>
      </c>
      <c r="C3586" s="26">
        <v>1</v>
      </c>
      <c r="D3586" s="27" t="s">
        <v>110</v>
      </c>
      <c r="E3586" s="26">
        <v>9861.4500000000007</v>
      </c>
      <c r="F3586" s="28" t="s">
        <v>618</v>
      </c>
      <c r="G3586" s="26">
        <f>ROUND(C3586*E3586,0)</f>
        <v>9861</v>
      </c>
      <c r="H3586" t="s">
        <v>105</v>
      </c>
    </row>
    <row r="3587" spans="1:8" ht="45" x14ac:dyDescent="0.25">
      <c r="A3587" s="21" t="s">
        <v>8216</v>
      </c>
      <c r="B3587" s="25" t="s">
        <v>8204</v>
      </c>
      <c r="C3587" s="26">
        <v>1</v>
      </c>
      <c r="D3587" s="27" t="s">
        <v>110</v>
      </c>
      <c r="E3587" s="26">
        <v>9674.4</v>
      </c>
      <c r="F3587" s="28" t="s">
        <v>618</v>
      </c>
      <c r="G3587" s="26">
        <f>ROUND(C3587*E3587,0)</f>
        <v>9674</v>
      </c>
      <c r="H3587" t="s">
        <v>8204</v>
      </c>
    </row>
    <row r="3588" spans="1:8" ht="195" x14ac:dyDescent="0.25">
      <c r="A3588" s="21" t="s">
        <v>8217</v>
      </c>
      <c r="B3588" s="25" t="s">
        <v>8219</v>
      </c>
      <c r="C3588" s="26"/>
      <c r="D3588" s="27"/>
      <c r="E3588" s="26"/>
      <c r="F3588" s="28"/>
      <c r="G3588" s="26"/>
      <c r="H3588" t="s">
        <v>8218</v>
      </c>
    </row>
    <row r="3589" spans="1:8" ht="150" x14ac:dyDescent="0.25">
      <c r="A3589" s="21" t="s">
        <v>8220</v>
      </c>
      <c r="B3589" s="25" t="s">
        <v>8222</v>
      </c>
      <c r="C3589" s="26"/>
      <c r="D3589" s="27"/>
      <c r="E3589" s="26"/>
      <c r="F3589" s="28"/>
      <c r="G3589" s="26"/>
      <c r="H3589" t="s">
        <v>8221</v>
      </c>
    </row>
    <row r="3590" spans="1:8" ht="30" x14ac:dyDescent="0.25">
      <c r="A3590" s="21" t="s">
        <v>8223</v>
      </c>
      <c r="B3590" s="25" t="s">
        <v>5206</v>
      </c>
      <c r="C3590" s="26">
        <v>1</v>
      </c>
      <c r="D3590" s="27" t="s">
        <v>201</v>
      </c>
      <c r="E3590" s="26">
        <v>52969.1</v>
      </c>
      <c r="F3590" s="28" t="s">
        <v>202</v>
      </c>
      <c r="G3590" s="26">
        <f>ROUND(C3590*E3590,0)</f>
        <v>52969</v>
      </c>
      <c r="H3590" t="s">
        <v>8195</v>
      </c>
    </row>
    <row r="3591" spans="1:8" x14ac:dyDescent="0.25">
      <c r="A3591" s="21" t="s">
        <v>8224</v>
      </c>
      <c r="B3591" s="25" t="s">
        <v>8204</v>
      </c>
      <c r="C3591" s="26">
        <v>1</v>
      </c>
      <c r="D3591" s="27" t="s">
        <v>201</v>
      </c>
      <c r="E3591" s="26">
        <v>52266.8</v>
      </c>
      <c r="F3591" s="28" t="s">
        <v>202</v>
      </c>
      <c r="G3591" s="26">
        <f>ROUND(C3591*E3591,0)</f>
        <v>52267</v>
      </c>
      <c r="H3591" t="s">
        <v>8171</v>
      </c>
    </row>
    <row r="3592" spans="1:8" ht="30" x14ac:dyDescent="0.25">
      <c r="A3592" s="21" t="s">
        <v>8225</v>
      </c>
      <c r="B3592" s="25" t="s">
        <v>8227</v>
      </c>
      <c r="C3592" s="26"/>
      <c r="D3592" s="27"/>
      <c r="E3592" s="26"/>
      <c r="F3592" s="28"/>
      <c r="G3592" s="26"/>
      <c r="H3592" t="s">
        <v>8226</v>
      </c>
    </row>
    <row r="3593" spans="1:8" ht="45" x14ac:dyDescent="0.25">
      <c r="A3593" s="21" t="s">
        <v>8228</v>
      </c>
      <c r="B3593" s="25" t="s">
        <v>5206</v>
      </c>
      <c r="C3593" s="26">
        <v>1</v>
      </c>
      <c r="D3593" s="27" t="s">
        <v>110</v>
      </c>
      <c r="E3593" s="26">
        <v>22771.85</v>
      </c>
      <c r="F3593" s="28" t="s">
        <v>618</v>
      </c>
      <c r="G3593" s="26">
        <f>ROUND(C3593*E3593,0)</f>
        <v>22772</v>
      </c>
      <c r="H3593" t="s">
        <v>8195</v>
      </c>
    </row>
    <row r="3594" spans="1:8" ht="45" x14ac:dyDescent="0.25">
      <c r="A3594" s="21" t="s">
        <v>8229</v>
      </c>
      <c r="B3594" s="25" t="s">
        <v>8204</v>
      </c>
      <c r="C3594" s="26">
        <v>1</v>
      </c>
      <c r="D3594" s="27" t="s">
        <v>110</v>
      </c>
      <c r="E3594" s="26">
        <v>22288.1</v>
      </c>
      <c r="F3594" s="28" t="s">
        <v>618</v>
      </c>
      <c r="G3594" s="26">
        <f>ROUND(C3594*E3594,0)</f>
        <v>22288</v>
      </c>
      <c r="H3594" t="s">
        <v>8171</v>
      </c>
    </row>
    <row r="3595" spans="1:8" ht="75" x14ac:dyDescent="0.25">
      <c r="A3595" s="21" t="s">
        <v>8230</v>
      </c>
      <c r="B3595" s="25" t="s">
        <v>8232</v>
      </c>
      <c r="C3595" s="26"/>
      <c r="D3595" s="27"/>
      <c r="E3595" s="26"/>
      <c r="F3595" s="28"/>
      <c r="G3595" s="26"/>
      <c r="H3595" t="s">
        <v>8231</v>
      </c>
    </row>
    <row r="3596" spans="1:8" x14ac:dyDescent="0.25">
      <c r="A3596" s="21" t="s">
        <v>8233</v>
      </c>
      <c r="B3596" s="25" t="s">
        <v>8235</v>
      </c>
      <c r="C3596" s="26">
        <v>1</v>
      </c>
      <c r="D3596" s="27" t="s">
        <v>201</v>
      </c>
      <c r="E3596" s="26">
        <v>544.70000000000005</v>
      </c>
      <c r="F3596" s="28" t="s">
        <v>202</v>
      </c>
      <c r="G3596" s="26">
        <f>ROUND(C3596*E3596,0)</f>
        <v>545</v>
      </c>
      <c r="H3596" t="s">
        <v>8234</v>
      </c>
    </row>
    <row r="3597" spans="1:8" x14ac:dyDescent="0.25">
      <c r="A3597" s="21" t="s">
        <v>8236</v>
      </c>
      <c r="B3597" s="25" t="s">
        <v>8238</v>
      </c>
      <c r="C3597" s="26">
        <v>1</v>
      </c>
      <c r="D3597" s="27" t="s">
        <v>201</v>
      </c>
      <c r="E3597" s="26">
        <v>496.5</v>
      </c>
      <c r="F3597" s="28" t="s">
        <v>202</v>
      </c>
      <c r="G3597" s="26">
        <f>ROUND(C3597*E3597,0)</f>
        <v>497</v>
      </c>
      <c r="H3597" t="s">
        <v>8237</v>
      </c>
    </row>
    <row r="3598" spans="1:8" ht="270" x14ac:dyDescent="0.25">
      <c r="A3598" s="21" t="s">
        <v>8239</v>
      </c>
      <c r="B3598" s="25" t="s">
        <v>8241</v>
      </c>
      <c r="C3598" s="26">
        <v>1</v>
      </c>
      <c r="D3598" s="27" t="s">
        <v>201</v>
      </c>
      <c r="E3598" s="26">
        <v>553.70000000000005</v>
      </c>
      <c r="F3598" s="28" t="s">
        <v>202</v>
      </c>
      <c r="G3598" s="26">
        <f>ROUND(C3598*E3598,0)</f>
        <v>554</v>
      </c>
      <c r="H3598" t="s">
        <v>8240</v>
      </c>
    </row>
    <row r="3599" spans="1:8" ht="75" x14ac:dyDescent="0.25">
      <c r="A3599" s="21" t="s">
        <v>8242</v>
      </c>
      <c r="B3599" s="25" t="s">
        <v>8244</v>
      </c>
      <c r="C3599" s="26"/>
      <c r="D3599" s="27"/>
      <c r="E3599" s="26"/>
      <c r="F3599" s="28"/>
      <c r="G3599" s="26"/>
      <c r="H3599" t="s">
        <v>8243</v>
      </c>
    </row>
    <row r="3600" spans="1:8" x14ac:dyDescent="0.25">
      <c r="A3600" s="21" t="s">
        <v>8245</v>
      </c>
      <c r="B3600" s="25" t="s">
        <v>8235</v>
      </c>
      <c r="C3600" s="26">
        <v>1</v>
      </c>
      <c r="D3600" s="27" t="s">
        <v>201</v>
      </c>
      <c r="E3600" s="26">
        <v>670.2</v>
      </c>
      <c r="F3600" s="28" t="s">
        <v>202</v>
      </c>
      <c r="G3600" s="26">
        <f>ROUND(C3600*E3600,0)</f>
        <v>670</v>
      </c>
      <c r="H3600" t="s">
        <v>8246</v>
      </c>
    </row>
    <row r="3601" spans="1:8" x14ac:dyDescent="0.25">
      <c r="A3601" s="21" t="s">
        <v>8247</v>
      </c>
      <c r="B3601" s="25" t="s">
        <v>8238</v>
      </c>
      <c r="C3601" s="26">
        <v>1</v>
      </c>
      <c r="D3601" s="27" t="s">
        <v>201</v>
      </c>
      <c r="E3601" s="26">
        <v>621.95000000000005</v>
      </c>
      <c r="F3601" s="28" t="s">
        <v>202</v>
      </c>
      <c r="G3601" s="26">
        <f>ROUND(C3601*E3601,0)</f>
        <v>622</v>
      </c>
      <c r="H3601" t="s">
        <v>8248</v>
      </c>
    </row>
    <row r="3602" spans="1:8" ht="30" x14ac:dyDescent="0.25">
      <c r="A3602" s="21" t="s">
        <v>8249</v>
      </c>
      <c r="B3602" s="25" t="s">
        <v>8251</v>
      </c>
      <c r="C3602" s="26"/>
      <c r="D3602" s="27"/>
      <c r="E3602" s="26"/>
      <c r="F3602" s="28"/>
      <c r="G3602" s="26"/>
      <c r="H3602" t="s">
        <v>8250</v>
      </c>
    </row>
    <row r="3603" spans="1:8" ht="30" x14ac:dyDescent="0.25">
      <c r="A3603" s="21" t="s">
        <v>8252</v>
      </c>
      <c r="B3603" s="25" t="s">
        <v>8254</v>
      </c>
      <c r="C3603" s="26">
        <v>1</v>
      </c>
      <c r="D3603" s="27" t="s">
        <v>201</v>
      </c>
      <c r="E3603" s="26">
        <v>1358</v>
      </c>
      <c r="F3603" s="28" t="s">
        <v>202</v>
      </c>
      <c r="G3603" s="26">
        <f>ROUND(C3603*E3603,0)</f>
        <v>1358</v>
      </c>
      <c r="H3603" t="s">
        <v>8253</v>
      </c>
    </row>
    <row r="3604" spans="1:8" ht="30" x14ac:dyDescent="0.25">
      <c r="A3604" s="21" t="s">
        <v>8255</v>
      </c>
      <c r="B3604" s="25" t="s">
        <v>8257</v>
      </c>
      <c r="C3604" s="26">
        <v>1</v>
      </c>
      <c r="D3604" s="27" t="s">
        <v>201</v>
      </c>
      <c r="E3604" s="26">
        <v>3441.2</v>
      </c>
      <c r="F3604" s="28" t="s">
        <v>202</v>
      </c>
      <c r="G3604" s="26">
        <f>ROUND(C3604*E3604,0)</f>
        <v>3441</v>
      </c>
      <c r="H3604" t="s">
        <v>8256</v>
      </c>
    </row>
    <row r="3605" spans="1:8" ht="30" x14ac:dyDescent="0.25">
      <c r="A3605" s="21" t="s">
        <v>8258</v>
      </c>
      <c r="B3605" s="25" t="s">
        <v>8260</v>
      </c>
      <c r="C3605" s="26">
        <v>1</v>
      </c>
      <c r="D3605" s="27" t="s">
        <v>201</v>
      </c>
      <c r="E3605" s="26">
        <v>7575.4</v>
      </c>
      <c r="F3605" s="28" t="s">
        <v>202</v>
      </c>
      <c r="G3605" s="26">
        <f>ROUND(C3605*E3605,0)</f>
        <v>7575</v>
      </c>
      <c r="H3605" t="s">
        <v>8259</v>
      </c>
    </row>
    <row r="3606" spans="1:8" ht="45" x14ac:dyDescent="0.25">
      <c r="A3606" s="21" t="s">
        <v>8261</v>
      </c>
      <c r="B3606" s="25" t="s">
        <v>8263</v>
      </c>
      <c r="C3606" s="26"/>
      <c r="D3606" s="27"/>
      <c r="E3606" s="26"/>
      <c r="F3606" s="28"/>
      <c r="G3606" s="26"/>
      <c r="H3606" t="s">
        <v>8262</v>
      </c>
    </row>
    <row r="3607" spans="1:8" x14ac:dyDescent="0.25">
      <c r="A3607" s="21" t="s">
        <v>8264</v>
      </c>
      <c r="B3607" s="25" t="s">
        <v>8266</v>
      </c>
      <c r="C3607" s="26"/>
      <c r="D3607" s="27"/>
      <c r="E3607" s="26"/>
      <c r="F3607" s="28"/>
      <c r="G3607" s="26"/>
      <c r="H3607" t="s">
        <v>8265</v>
      </c>
    </row>
    <row r="3608" spans="1:8" ht="30" x14ac:dyDescent="0.25">
      <c r="A3608" s="21" t="s">
        <v>8267</v>
      </c>
      <c r="B3608" s="25" t="s">
        <v>8269</v>
      </c>
      <c r="C3608" s="26">
        <v>1</v>
      </c>
      <c r="D3608" s="27" t="s">
        <v>201</v>
      </c>
      <c r="E3608" s="26">
        <v>1437.65</v>
      </c>
      <c r="F3608" s="28" t="s">
        <v>202</v>
      </c>
      <c r="G3608" s="26">
        <f>ROUND(C3608*E3608,0)</f>
        <v>1438</v>
      </c>
      <c r="H3608" t="s">
        <v>8268</v>
      </c>
    </row>
    <row r="3609" spans="1:8" x14ac:dyDescent="0.25">
      <c r="A3609" s="21" t="s">
        <v>8270</v>
      </c>
      <c r="B3609" s="25" t="s">
        <v>8272</v>
      </c>
      <c r="C3609" s="26">
        <v>1</v>
      </c>
      <c r="D3609" s="27" t="s">
        <v>201</v>
      </c>
      <c r="E3609" s="26">
        <v>1155.45</v>
      </c>
      <c r="F3609" s="28" t="s">
        <v>202</v>
      </c>
      <c r="G3609" s="26">
        <f>ROUND(C3609*E3609,0)</f>
        <v>1155</v>
      </c>
      <c r="H3609" t="s">
        <v>8271</v>
      </c>
    </row>
    <row r="3610" spans="1:8" x14ac:dyDescent="0.25">
      <c r="A3610" s="21" t="s">
        <v>8273</v>
      </c>
      <c r="B3610" s="25" t="s">
        <v>8275</v>
      </c>
      <c r="C3610" s="26">
        <v>1</v>
      </c>
      <c r="D3610" s="27" t="s">
        <v>201</v>
      </c>
      <c r="E3610" s="26">
        <v>1169.6500000000001</v>
      </c>
      <c r="F3610" s="28" t="s">
        <v>202</v>
      </c>
      <c r="G3610" s="26">
        <f>ROUND(C3610*E3610,0)</f>
        <v>1170</v>
      </c>
      <c r="H3610" t="s">
        <v>8274</v>
      </c>
    </row>
    <row r="3611" spans="1:8" x14ac:dyDescent="0.25">
      <c r="A3611" s="21" t="s">
        <v>8276</v>
      </c>
      <c r="B3611" s="25" t="s">
        <v>8278</v>
      </c>
      <c r="C3611" s="26"/>
      <c r="D3611" s="27"/>
      <c r="E3611" s="26"/>
      <c r="F3611" s="28"/>
      <c r="G3611" s="26"/>
      <c r="H3611" t="s">
        <v>8277</v>
      </c>
    </row>
    <row r="3612" spans="1:8" x14ac:dyDescent="0.25">
      <c r="A3612" s="21" t="s">
        <v>8279</v>
      </c>
      <c r="B3612" s="25" t="s">
        <v>8281</v>
      </c>
      <c r="C3612" s="26">
        <v>1</v>
      </c>
      <c r="D3612" s="27" t="s">
        <v>201</v>
      </c>
      <c r="E3612" s="26">
        <v>1386.55</v>
      </c>
      <c r="F3612" s="28" t="s">
        <v>202</v>
      </c>
      <c r="G3612" s="26">
        <f>ROUND(C3612*E3612,0)</f>
        <v>1387</v>
      </c>
      <c r="H3612" t="s">
        <v>8280</v>
      </c>
    </row>
    <row r="3613" spans="1:8" x14ac:dyDescent="0.25">
      <c r="A3613" s="21" t="s">
        <v>8282</v>
      </c>
      <c r="B3613" s="25" t="s">
        <v>8284</v>
      </c>
      <c r="C3613" s="26">
        <v>1</v>
      </c>
      <c r="D3613" s="27" t="s">
        <v>201</v>
      </c>
      <c r="E3613" s="26">
        <v>1172.5999999999999</v>
      </c>
      <c r="F3613" s="28" t="s">
        <v>202</v>
      </c>
      <c r="G3613" s="26">
        <f>ROUND(C3613*E3613,0)</f>
        <v>1173</v>
      </c>
      <c r="H3613" t="s">
        <v>8283</v>
      </c>
    </row>
    <row r="3614" spans="1:8" x14ac:dyDescent="0.25">
      <c r="A3614" s="21" t="s">
        <v>8285</v>
      </c>
      <c r="B3614" s="25" t="s">
        <v>8287</v>
      </c>
      <c r="C3614" s="26"/>
      <c r="D3614" s="27"/>
      <c r="E3614" s="26"/>
      <c r="F3614" s="28"/>
      <c r="G3614" s="26"/>
      <c r="H3614" t="s">
        <v>8286</v>
      </c>
    </row>
    <row r="3615" spans="1:8" x14ac:dyDescent="0.25">
      <c r="A3615" s="21" t="s">
        <v>8288</v>
      </c>
      <c r="B3615" s="25" t="s">
        <v>8290</v>
      </c>
      <c r="C3615" s="26">
        <v>1</v>
      </c>
      <c r="D3615" s="27" t="s">
        <v>201</v>
      </c>
      <c r="E3615" s="26">
        <v>1675.7</v>
      </c>
      <c r="F3615" s="28" t="s">
        <v>202</v>
      </c>
      <c r="G3615" s="26">
        <f>ROUND(C3615*E3615,0)</f>
        <v>1676</v>
      </c>
      <c r="H3615" t="s">
        <v>8289</v>
      </c>
    </row>
    <row r="3616" spans="1:8" x14ac:dyDescent="0.25">
      <c r="A3616" s="21" t="s">
        <v>8291</v>
      </c>
      <c r="B3616" s="25" t="s">
        <v>8293</v>
      </c>
      <c r="C3616" s="26"/>
      <c r="D3616" s="27"/>
      <c r="E3616" s="26"/>
      <c r="F3616" s="28"/>
      <c r="G3616" s="26"/>
      <c r="H3616" t="s">
        <v>8292</v>
      </c>
    </row>
    <row r="3617" spans="1:8" x14ac:dyDescent="0.25">
      <c r="A3617" s="21" t="s">
        <v>8294</v>
      </c>
      <c r="B3617" s="25" t="s">
        <v>8295</v>
      </c>
      <c r="C3617" s="26">
        <v>1</v>
      </c>
      <c r="D3617" s="27" t="s">
        <v>201</v>
      </c>
      <c r="E3617" s="26">
        <v>2123.8000000000002</v>
      </c>
      <c r="F3617" s="28" t="s">
        <v>202</v>
      </c>
      <c r="G3617" s="26">
        <f>ROUND(C3617*E3617,0)</f>
        <v>2124</v>
      </c>
      <c r="H3617" t="s">
        <v>8295</v>
      </c>
    </row>
    <row r="3618" spans="1:8" ht="45" x14ac:dyDescent="0.25">
      <c r="A3618" s="21" t="s">
        <v>8296</v>
      </c>
      <c r="B3618" s="25" t="s">
        <v>8298</v>
      </c>
      <c r="C3618" s="26">
        <v>1</v>
      </c>
      <c r="D3618" s="27" t="s">
        <v>201</v>
      </c>
      <c r="E3618" s="26">
        <v>787</v>
      </c>
      <c r="F3618" s="28" t="s">
        <v>202</v>
      </c>
      <c r="G3618" s="26">
        <f>ROUND(C3618*E3618,0)</f>
        <v>787</v>
      </c>
      <c r="H3618" t="s">
        <v>8297</v>
      </c>
    </row>
    <row r="3619" spans="1:8" ht="135" x14ac:dyDescent="0.25">
      <c r="A3619" s="21" t="s">
        <v>8299</v>
      </c>
      <c r="B3619" s="25" t="s">
        <v>8301</v>
      </c>
      <c r="C3619" s="26"/>
      <c r="D3619" s="27"/>
      <c r="E3619" s="26"/>
      <c r="F3619" s="28"/>
      <c r="G3619" s="26"/>
      <c r="H3619" t="s">
        <v>8300</v>
      </c>
    </row>
    <row r="3620" spans="1:8" x14ac:dyDescent="0.25">
      <c r="A3620" s="21" t="s">
        <v>8302</v>
      </c>
      <c r="B3620" s="25" t="s">
        <v>8304</v>
      </c>
      <c r="C3620" s="26">
        <v>1</v>
      </c>
      <c r="D3620" s="27" t="s">
        <v>201</v>
      </c>
      <c r="E3620" s="26">
        <v>810.45</v>
      </c>
      <c r="F3620" s="28" t="s">
        <v>202</v>
      </c>
      <c r="G3620" s="26">
        <f>ROUND(C3620*E3620,0)</f>
        <v>810</v>
      </c>
      <c r="H3620" t="s">
        <v>8303</v>
      </c>
    </row>
    <row r="3621" spans="1:8" x14ac:dyDescent="0.25">
      <c r="A3621" s="21" t="s">
        <v>8305</v>
      </c>
      <c r="B3621" s="25" t="s">
        <v>8307</v>
      </c>
      <c r="C3621" s="26">
        <v>1</v>
      </c>
      <c r="D3621" s="27" t="s">
        <v>201</v>
      </c>
      <c r="E3621" s="26">
        <v>922.4</v>
      </c>
      <c r="F3621" s="28" t="s">
        <v>202</v>
      </c>
      <c r="G3621" s="26">
        <f>ROUND(C3621*E3621,0)</f>
        <v>922</v>
      </c>
      <c r="H3621" t="s">
        <v>8306</v>
      </c>
    </row>
    <row r="3622" spans="1:8" x14ac:dyDescent="0.25">
      <c r="A3622" s="21" t="s">
        <v>8308</v>
      </c>
      <c r="B3622" s="25" t="s">
        <v>8310</v>
      </c>
      <c r="C3622" s="26">
        <v>1</v>
      </c>
      <c r="D3622" s="27" t="s">
        <v>201</v>
      </c>
      <c r="E3622" s="26">
        <v>1328.45</v>
      </c>
      <c r="F3622" s="28" t="s">
        <v>202</v>
      </c>
      <c r="G3622" s="26">
        <f>ROUND(C3622*E3622,0)</f>
        <v>1328</v>
      </c>
      <c r="H3622" t="s">
        <v>8309</v>
      </c>
    </row>
    <row r="3623" spans="1:8" ht="270" x14ac:dyDescent="0.25">
      <c r="A3623" s="21" t="s">
        <v>8311</v>
      </c>
      <c r="B3623" s="25" t="s">
        <v>8313</v>
      </c>
      <c r="C3623" s="26"/>
      <c r="D3623" s="27"/>
      <c r="E3623" s="26"/>
      <c r="F3623" s="28"/>
      <c r="G3623" s="26"/>
      <c r="H3623" t="s">
        <v>8312</v>
      </c>
    </row>
    <row r="3624" spans="1:8" x14ac:dyDescent="0.25">
      <c r="A3624" s="21" t="s">
        <v>8314</v>
      </c>
      <c r="B3624" s="25" t="s">
        <v>8316</v>
      </c>
      <c r="C3624" s="26">
        <v>1</v>
      </c>
      <c r="D3624" s="27" t="s">
        <v>201</v>
      </c>
      <c r="E3624" s="26">
        <v>12172.05</v>
      </c>
      <c r="F3624" s="28" t="s">
        <v>202</v>
      </c>
      <c r="G3624" s="26">
        <f>ROUND(C3624*E3624,0)</f>
        <v>12172</v>
      </c>
      <c r="H3624" t="s">
        <v>8315</v>
      </c>
    </row>
    <row r="3625" spans="1:8" x14ac:dyDescent="0.25">
      <c r="A3625" s="21" t="s">
        <v>8317</v>
      </c>
      <c r="B3625" s="25" t="s">
        <v>8319</v>
      </c>
      <c r="C3625" s="26">
        <v>1</v>
      </c>
      <c r="D3625" s="27" t="s">
        <v>201</v>
      </c>
      <c r="E3625" s="26">
        <v>16577.8</v>
      </c>
      <c r="F3625" s="28" t="s">
        <v>202</v>
      </c>
      <c r="G3625" s="26">
        <f>ROUND(C3625*E3625,0)</f>
        <v>16578</v>
      </c>
      <c r="H3625" t="s">
        <v>8318</v>
      </c>
    </row>
    <row r="3626" spans="1:8" ht="30" x14ac:dyDescent="0.25">
      <c r="A3626" s="21" t="s">
        <v>8320</v>
      </c>
      <c r="B3626" s="25" t="s">
        <v>8321</v>
      </c>
      <c r="C3626" s="26"/>
      <c r="D3626" s="27"/>
      <c r="E3626" s="26"/>
      <c r="F3626" s="28"/>
      <c r="G3626" s="26"/>
      <c r="H3626" t="s">
        <v>8321</v>
      </c>
    </row>
    <row r="3627" spans="1:8" ht="45" x14ac:dyDescent="0.25">
      <c r="A3627" s="21" t="s">
        <v>8322</v>
      </c>
      <c r="B3627" s="25" t="s">
        <v>8324</v>
      </c>
      <c r="C3627" s="26">
        <v>1</v>
      </c>
      <c r="D3627" s="27" t="s">
        <v>110</v>
      </c>
      <c r="E3627" s="26">
        <v>3240.45</v>
      </c>
      <c r="F3627" s="28" t="s">
        <v>618</v>
      </c>
      <c r="G3627" s="26">
        <f>ROUND(C3627*E3627,0)</f>
        <v>3240</v>
      </c>
      <c r="H3627" t="s">
        <v>8323</v>
      </c>
    </row>
    <row r="3628" spans="1:8" ht="45" x14ac:dyDescent="0.25">
      <c r="A3628" s="21" t="s">
        <v>8325</v>
      </c>
      <c r="B3628" s="25" t="s">
        <v>8327</v>
      </c>
      <c r="C3628" s="26">
        <v>1</v>
      </c>
      <c r="D3628" s="27" t="s">
        <v>110</v>
      </c>
      <c r="E3628" s="26">
        <v>4126.8999999999996</v>
      </c>
      <c r="F3628" s="28" t="s">
        <v>618</v>
      </c>
      <c r="G3628" s="26">
        <f>ROUND(C3628*E3628,0)</f>
        <v>4127</v>
      </c>
      <c r="H3628" t="s">
        <v>8326</v>
      </c>
    </row>
    <row r="3629" spans="1:8" ht="75" x14ac:dyDescent="0.25">
      <c r="A3629" s="21" t="s">
        <v>8328</v>
      </c>
      <c r="B3629" s="25" t="s">
        <v>8330</v>
      </c>
      <c r="C3629" s="26"/>
      <c r="D3629" s="27"/>
      <c r="E3629" s="26"/>
      <c r="F3629" s="28"/>
      <c r="G3629" s="26"/>
      <c r="H3629" t="s">
        <v>8329</v>
      </c>
    </row>
    <row r="3630" spans="1:8" x14ac:dyDescent="0.25">
      <c r="A3630" s="21" t="s">
        <v>8331</v>
      </c>
      <c r="B3630" s="25" t="s">
        <v>8333</v>
      </c>
      <c r="C3630" s="26">
        <v>1</v>
      </c>
      <c r="D3630" s="27" t="s">
        <v>201</v>
      </c>
      <c r="E3630" s="26">
        <v>2540.85</v>
      </c>
      <c r="F3630" s="28" t="s">
        <v>202</v>
      </c>
      <c r="G3630" s="26">
        <f>ROUND(C3630*E3630,0)</f>
        <v>2541</v>
      </c>
      <c r="H3630" t="s">
        <v>8332</v>
      </c>
    </row>
    <row r="3631" spans="1:8" x14ac:dyDescent="0.25">
      <c r="A3631" s="21" t="s">
        <v>8334</v>
      </c>
      <c r="B3631" s="25" t="s">
        <v>8336</v>
      </c>
      <c r="C3631" s="26">
        <v>1</v>
      </c>
      <c r="D3631" s="27" t="s">
        <v>201</v>
      </c>
      <c r="E3631" s="26">
        <v>4475.5</v>
      </c>
      <c r="F3631" s="28" t="s">
        <v>202</v>
      </c>
      <c r="G3631" s="26">
        <f>ROUND(C3631*E3631,0)</f>
        <v>4476</v>
      </c>
      <c r="H3631" t="s">
        <v>8335</v>
      </c>
    </row>
    <row r="3632" spans="1:8" ht="30" x14ac:dyDescent="0.25">
      <c r="A3632" s="21" t="s">
        <v>8337</v>
      </c>
      <c r="B3632" s="25" t="s">
        <v>8339</v>
      </c>
      <c r="C3632" s="26">
        <v>1</v>
      </c>
      <c r="D3632" s="27" t="s">
        <v>201</v>
      </c>
      <c r="E3632" s="26">
        <v>8466.35</v>
      </c>
      <c r="F3632" s="28" t="s">
        <v>202</v>
      </c>
      <c r="G3632" s="26">
        <f>ROUND(C3632*E3632,0)</f>
        <v>8466</v>
      </c>
      <c r="H3632" t="s">
        <v>8338</v>
      </c>
    </row>
    <row r="3633" spans="1:8" ht="30" x14ac:dyDescent="0.25">
      <c r="A3633" s="21" t="s">
        <v>8340</v>
      </c>
      <c r="B3633" s="25" t="s">
        <v>8342</v>
      </c>
      <c r="C3633" s="26">
        <v>1</v>
      </c>
      <c r="D3633" s="27" t="s">
        <v>201</v>
      </c>
      <c r="E3633" s="26">
        <v>6472.4</v>
      </c>
      <c r="F3633" s="28" t="s">
        <v>202</v>
      </c>
      <c r="G3633" s="26">
        <f>ROUND(C3633*E3633,0)</f>
        <v>6472</v>
      </c>
      <c r="H3633" t="s">
        <v>8341</v>
      </c>
    </row>
    <row r="3634" spans="1:8" x14ac:dyDescent="0.25">
      <c r="A3634" s="21" t="s">
        <v>8343</v>
      </c>
      <c r="B3634" s="25" t="s">
        <v>8345</v>
      </c>
      <c r="C3634" s="26"/>
      <c r="D3634" s="27"/>
      <c r="E3634" s="26"/>
      <c r="F3634" s="28"/>
      <c r="G3634" s="26"/>
      <c r="H3634" t="s">
        <v>8344</v>
      </c>
    </row>
    <row r="3635" spans="1:8" ht="45" x14ac:dyDescent="0.25">
      <c r="A3635" s="21" t="s">
        <v>8346</v>
      </c>
      <c r="B3635" s="25" t="s">
        <v>8348</v>
      </c>
      <c r="C3635" s="26">
        <v>1</v>
      </c>
      <c r="D3635" s="27" t="s">
        <v>110</v>
      </c>
      <c r="E3635" s="26">
        <v>2045.5</v>
      </c>
      <c r="F3635" s="28" t="s">
        <v>618</v>
      </c>
      <c r="G3635" s="26">
        <f>ROUND(C3635*E3635,0)</f>
        <v>2046</v>
      </c>
      <c r="H3635" t="s">
        <v>8347</v>
      </c>
    </row>
    <row r="3636" spans="1:8" ht="45" x14ac:dyDescent="0.25">
      <c r="A3636" s="21" t="s">
        <v>8349</v>
      </c>
      <c r="B3636" s="25" t="s">
        <v>8351</v>
      </c>
      <c r="C3636" s="26">
        <v>1</v>
      </c>
      <c r="D3636" s="27" t="s">
        <v>110</v>
      </c>
      <c r="E3636" s="26">
        <v>2436.9</v>
      </c>
      <c r="F3636" s="28" t="s">
        <v>618</v>
      </c>
      <c r="G3636" s="26">
        <f>ROUND(C3636*E3636,0)</f>
        <v>2437</v>
      </c>
      <c r="H3636" t="s">
        <v>8350</v>
      </c>
    </row>
    <row r="3637" spans="1:8" ht="45" x14ac:dyDescent="0.25">
      <c r="A3637" s="21" t="s">
        <v>8352</v>
      </c>
      <c r="B3637" s="25" t="s">
        <v>8354</v>
      </c>
      <c r="C3637" s="26">
        <v>1</v>
      </c>
      <c r="D3637" s="27" t="s">
        <v>110</v>
      </c>
      <c r="E3637" s="26">
        <v>1975.85</v>
      </c>
      <c r="F3637" s="28" t="s">
        <v>618</v>
      </c>
      <c r="G3637" s="26">
        <f>ROUND(C3637*E3637,0)</f>
        <v>1976</v>
      </c>
      <c r="H3637" t="s">
        <v>8353</v>
      </c>
    </row>
    <row r="3638" spans="1:8" ht="45" x14ac:dyDescent="0.25">
      <c r="A3638" s="21" t="s">
        <v>8355</v>
      </c>
      <c r="B3638" s="25" t="s">
        <v>8357</v>
      </c>
      <c r="C3638" s="26">
        <v>1</v>
      </c>
      <c r="D3638" s="27" t="s">
        <v>110</v>
      </c>
      <c r="E3638" s="26">
        <v>2229.1999999999998</v>
      </c>
      <c r="F3638" s="28" t="s">
        <v>618</v>
      </c>
      <c r="G3638" s="26">
        <f>ROUND(C3638*E3638,0)</f>
        <v>2229</v>
      </c>
      <c r="H3638" t="s">
        <v>8356</v>
      </c>
    </row>
    <row r="3639" spans="1:8" ht="75" x14ac:dyDescent="0.25">
      <c r="A3639" s="21" t="s">
        <v>8358</v>
      </c>
      <c r="B3639" s="25" t="s">
        <v>8360</v>
      </c>
      <c r="C3639" s="26"/>
      <c r="D3639" s="27"/>
      <c r="E3639" s="26"/>
      <c r="F3639" s="28"/>
      <c r="G3639" s="26"/>
      <c r="H3639" t="s">
        <v>8359</v>
      </c>
    </row>
    <row r="3640" spans="1:8" ht="30" x14ac:dyDescent="0.25">
      <c r="A3640" s="21" t="s">
        <v>8361</v>
      </c>
      <c r="B3640" s="25" t="s">
        <v>8363</v>
      </c>
      <c r="C3640" s="26">
        <v>1</v>
      </c>
      <c r="D3640" s="27" t="s">
        <v>201</v>
      </c>
      <c r="E3640" s="26">
        <v>2625.5</v>
      </c>
      <c r="F3640" s="28" t="s">
        <v>202</v>
      </c>
      <c r="G3640" s="26">
        <f>ROUND(C3640*E3640,0)</f>
        <v>2626</v>
      </c>
      <c r="H3640" t="s">
        <v>8362</v>
      </c>
    </row>
    <row r="3641" spans="1:8" ht="30" x14ac:dyDescent="0.25">
      <c r="A3641" s="21" t="s">
        <v>8364</v>
      </c>
      <c r="B3641" s="25" t="s">
        <v>8366</v>
      </c>
      <c r="C3641" s="26">
        <v>1</v>
      </c>
      <c r="D3641" s="27" t="s">
        <v>201</v>
      </c>
      <c r="E3641" s="26">
        <v>4168.05</v>
      </c>
      <c r="F3641" s="28" t="s">
        <v>202</v>
      </c>
      <c r="G3641" s="26">
        <f>ROUND(C3641*E3641,0)</f>
        <v>4168</v>
      </c>
      <c r="H3641" t="s">
        <v>8365</v>
      </c>
    </row>
    <row r="3642" spans="1:8" ht="30" x14ac:dyDescent="0.25">
      <c r="A3642" s="21" t="s">
        <v>8367</v>
      </c>
      <c r="B3642" s="25" t="s">
        <v>8369</v>
      </c>
      <c r="C3642" s="26">
        <v>1</v>
      </c>
      <c r="D3642" s="27" t="s">
        <v>201</v>
      </c>
      <c r="E3642" s="26">
        <v>3881.5</v>
      </c>
      <c r="F3642" s="28" t="s">
        <v>202</v>
      </c>
      <c r="G3642" s="26">
        <f>ROUND(C3642*E3642,0)</f>
        <v>3882</v>
      </c>
      <c r="H3642" t="s">
        <v>8368</v>
      </c>
    </row>
    <row r="3643" spans="1:8" ht="30" x14ac:dyDescent="0.25">
      <c r="A3643" s="21" t="s">
        <v>8370</v>
      </c>
      <c r="B3643" s="25" t="s">
        <v>8372</v>
      </c>
      <c r="C3643" s="26">
        <v>1</v>
      </c>
      <c r="D3643" s="27" t="s">
        <v>201</v>
      </c>
      <c r="E3643" s="26">
        <v>320.14999999999998</v>
      </c>
      <c r="F3643" s="28" t="s">
        <v>202</v>
      </c>
      <c r="G3643" s="26">
        <f>ROUND(C3643*E3643,0)</f>
        <v>320</v>
      </c>
      <c r="H3643" t="s">
        <v>8371</v>
      </c>
    </row>
    <row r="3644" spans="1:8" ht="75" x14ac:dyDescent="0.25">
      <c r="A3644" s="21" t="s">
        <v>8373</v>
      </c>
      <c r="B3644" s="25" t="s">
        <v>8375</v>
      </c>
      <c r="C3644" s="26"/>
      <c r="D3644" s="27"/>
      <c r="E3644" s="26"/>
      <c r="F3644" s="28"/>
      <c r="G3644" s="26"/>
      <c r="H3644" t="s">
        <v>8374</v>
      </c>
    </row>
    <row r="3645" spans="1:8" ht="30" x14ac:dyDescent="0.25">
      <c r="A3645" s="21" t="s">
        <v>8376</v>
      </c>
      <c r="B3645" s="25" t="s">
        <v>5206</v>
      </c>
      <c r="C3645" s="26">
        <v>1</v>
      </c>
      <c r="D3645" s="27" t="s">
        <v>201</v>
      </c>
      <c r="E3645" s="26">
        <v>5957.9</v>
      </c>
      <c r="F3645" s="28" t="s">
        <v>202</v>
      </c>
      <c r="G3645" s="26">
        <f>ROUND(C3645*E3645,0)</f>
        <v>5958</v>
      </c>
      <c r="H3645" t="s">
        <v>1264</v>
      </c>
    </row>
    <row r="3646" spans="1:8" ht="60" x14ac:dyDescent="0.25">
      <c r="A3646" s="21" t="s">
        <v>8377</v>
      </c>
      <c r="B3646" s="25" t="s">
        <v>8379</v>
      </c>
      <c r="C3646" s="26"/>
      <c r="D3646" s="27"/>
      <c r="E3646" s="26"/>
      <c r="F3646" s="28"/>
      <c r="G3646" s="26"/>
      <c r="H3646" t="s">
        <v>8378</v>
      </c>
    </row>
    <row r="3647" spans="1:8" ht="30" x14ac:dyDescent="0.25">
      <c r="A3647" s="21" t="s">
        <v>8380</v>
      </c>
      <c r="B3647" s="25" t="s">
        <v>5206</v>
      </c>
      <c r="C3647" s="26">
        <v>1</v>
      </c>
      <c r="D3647" s="27" t="s">
        <v>201</v>
      </c>
      <c r="E3647" s="26">
        <v>6889.8</v>
      </c>
      <c r="F3647" s="28" t="s">
        <v>202</v>
      </c>
      <c r="G3647" s="26">
        <f>ROUND(C3647*E3647,0)</f>
        <v>6890</v>
      </c>
      <c r="H3647" t="s">
        <v>8381</v>
      </c>
    </row>
    <row r="3648" spans="1:8" ht="75" x14ac:dyDescent="0.25">
      <c r="A3648" s="21" t="s">
        <v>8382</v>
      </c>
      <c r="B3648" s="25" t="s">
        <v>8384</v>
      </c>
      <c r="C3648" s="26"/>
      <c r="D3648" s="27"/>
      <c r="E3648" s="26"/>
      <c r="F3648" s="28"/>
      <c r="G3648" s="26"/>
      <c r="H3648" t="s">
        <v>8383</v>
      </c>
    </row>
    <row r="3649" spans="1:8" ht="30" x14ac:dyDescent="0.25">
      <c r="A3649" s="21" t="s">
        <v>8385</v>
      </c>
      <c r="B3649" s="25" t="s">
        <v>5206</v>
      </c>
      <c r="C3649" s="26">
        <v>1</v>
      </c>
      <c r="D3649" s="27" t="s">
        <v>201</v>
      </c>
      <c r="E3649" s="26">
        <v>11520.55</v>
      </c>
      <c r="F3649" s="28" t="s">
        <v>202</v>
      </c>
      <c r="G3649" s="26">
        <f>ROUND(C3649*E3649,0)</f>
        <v>11521</v>
      </c>
      <c r="H3649" t="s">
        <v>1264</v>
      </c>
    </row>
    <row r="3650" spans="1:8" ht="240" x14ac:dyDescent="0.25">
      <c r="A3650" s="21" t="s">
        <v>8386</v>
      </c>
      <c r="B3650" s="25" t="s">
        <v>8388</v>
      </c>
      <c r="C3650" s="26"/>
      <c r="D3650" s="27"/>
      <c r="E3650" s="26"/>
      <c r="F3650" s="28"/>
      <c r="G3650" s="26"/>
      <c r="H3650" t="s">
        <v>8387</v>
      </c>
    </row>
    <row r="3651" spans="1:8" ht="30" x14ac:dyDescent="0.25">
      <c r="A3651" s="21" t="s">
        <v>8389</v>
      </c>
      <c r="B3651" s="25" t="s">
        <v>8390</v>
      </c>
      <c r="C3651" s="26"/>
      <c r="D3651" s="27"/>
      <c r="E3651" s="26"/>
      <c r="F3651" s="28"/>
      <c r="G3651" s="26"/>
      <c r="H3651" t="s">
        <v>8390</v>
      </c>
    </row>
    <row r="3652" spans="1:8" ht="30" x14ac:dyDescent="0.25">
      <c r="A3652" s="21" t="s">
        <v>8391</v>
      </c>
      <c r="B3652" s="25" t="s">
        <v>5206</v>
      </c>
      <c r="C3652" s="26">
        <v>1</v>
      </c>
      <c r="D3652" s="27" t="s">
        <v>201</v>
      </c>
      <c r="E3652" s="26">
        <v>6937.9</v>
      </c>
      <c r="F3652" s="28" t="s">
        <v>202</v>
      </c>
      <c r="G3652" s="26">
        <f>ROUND(C3652*E3652,0)</f>
        <v>6938</v>
      </c>
      <c r="H3652" t="s">
        <v>1264</v>
      </c>
    </row>
    <row r="3653" spans="1:8" ht="30" x14ac:dyDescent="0.25">
      <c r="A3653" s="21" t="s">
        <v>8392</v>
      </c>
      <c r="B3653" s="25" t="s">
        <v>8394</v>
      </c>
      <c r="C3653" s="26"/>
      <c r="D3653" s="27"/>
      <c r="E3653" s="26"/>
      <c r="F3653" s="28"/>
      <c r="G3653" s="26"/>
      <c r="H3653" t="s">
        <v>8393</v>
      </c>
    </row>
    <row r="3654" spans="1:8" ht="30" x14ac:dyDescent="0.25">
      <c r="A3654" s="21" t="s">
        <v>8395</v>
      </c>
      <c r="B3654" s="25" t="s">
        <v>5206</v>
      </c>
      <c r="C3654" s="26">
        <v>1</v>
      </c>
      <c r="D3654" s="27" t="s">
        <v>201</v>
      </c>
      <c r="E3654" s="26">
        <v>8150.5</v>
      </c>
      <c r="F3654" s="28" t="s">
        <v>202</v>
      </c>
      <c r="G3654" s="26">
        <f>ROUND(C3654*E3654,0)</f>
        <v>8151</v>
      </c>
      <c r="H3654" t="s">
        <v>1264</v>
      </c>
    </row>
    <row r="3655" spans="1:8" ht="30" x14ac:dyDescent="0.25">
      <c r="A3655" s="21" t="s">
        <v>8396</v>
      </c>
      <c r="B3655" s="25" t="s">
        <v>8398</v>
      </c>
      <c r="C3655" s="26"/>
      <c r="D3655" s="27"/>
      <c r="E3655" s="26"/>
      <c r="F3655" s="28"/>
      <c r="G3655" s="26"/>
      <c r="H3655" t="s">
        <v>8397</v>
      </c>
    </row>
    <row r="3656" spans="1:8" ht="30" x14ac:dyDescent="0.25">
      <c r="A3656" s="21" t="s">
        <v>8399</v>
      </c>
      <c r="B3656" s="25" t="s">
        <v>5206</v>
      </c>
      <c r="C3656" s="26">
        <v>1</v>
      </c>
      <c r="D3656" s="27" t="s">
        <v>201</v>
      </c>
      <c r="E3656" s="26">
        <v>9594.35</v>
      </c>
      <c r="F3656" s="28" t="s">
        <v>202</v>
      </c>
      <c r="G3656" s="26">
        <f>ROUND(C3656*E3656,0)</f>
        <v>9594</v>
      </c>
      <c r="H3656" t="s">
        <v>1264</v>
      </c>
    </row>
    <row r="3657" spans="1:8" ht="30" x14ac:dyDescent="0.25">
      <c r="A3657" s="21" t="s">
        <v>8400</v>
      </c>
      <c r="B3657" s="25" t="s">
        <v>8402</v>
      </c>
      <c r="C3657" s="26"/>
      <c r="D3657" s="27"/>
      <c r="E3657" s="26"/>
      <c r="F3657" s="28"/>
      <c r="G3657" s="26"/>
      <c r="H3657" t="s">
        <v>8401</v>
      </c>
    </row>
    <row r="3658" spans="1:8" x14ac:dyDescent="0.25">
      <c r="A3658" s="21" t="s">
        <v>8403</v>
      </c>
      <c r="B3658" s="25" t="s">
        <v>8405</v>
      </c>
      <c r="C3658" s="26"/>
      <c r="D3658" s="27"/>
      <c r="E3658" s="26"/>
      <c r="F3658" s="28"/>
      <c r="G3658" s="26"/>
      <c r="H3658" t="s">
        <v>8404</v>
      </c>
    </row>
    <row r="3659" spans="1:8" ht="45" x14ac:dyDescent="0.25">
      <c r="A3659" s="21" t="s">
        <v>8406</v>
      </c>
      <c r="B3659" s="25" t="s">
        <v>5206</v>
      </c>
      <c r="C3659" s="26">
        <v>1</v>
      </c>
      <c r="D3659" s="27" t="s">
        <v>110</v>
      </c>
      <c r="E3659" s="26">
        <v>6117</v>
      </c>
      <c r="F3659" s="28" t="s">
        <v>618</v>
      </c>
      <c r="G3659" s="26">
        <f>ROUND(C3659*E3659,0)</f>
        <v>6117</v>
      </c>
      <c r="H3659" t="s">
        <v>105</v>
      </c>
    </row>
    <row r="3660" spans="1:8" x14ac:dyDescent="0.25">
      <c r="A3660" s="21" t="s">
        <v>8407</v>
      </c>
      <c r="B3660" s="25" t="s">
        <v>8409</v>
      </c>
      <c r="C3660" s="26"/>
      <c r="D3660" s="27"/>
      <c r="E3660" s="26"/>
      <c r="F3660" s="28"/>
      <c r="G3660" s="26"/>
      <c r="H3660" t="s">
        <v>8408</v>
      </c>
    </row>
    <row r="3661" spans="1:8" ht="45" x14ac:dyDescent="0.25">
      <c r="A3661" s="21" t="s">
        <v>8410</v>
      </c>
      <c r="B3661" s="25" t="s">
        <v>5206</v>
      </c>
      <c r="C3661" s="26">
        <v>1</v>
      </c>
      <c r="D3661" s="27" t="s">
        <v>110</v>
      </c>
      <c r="E3661" s="26">
        <v>6680.6</v>
      </c>
      <c r="F3661" s="28" t="s">
        <v>618</v>
      </c>
      <c r="G3661" s="26">
        <f>ROUND(C3661*E3661,0)</f>
        <v>6681</v>
      </c>
      <c r="H3661" t="s">
        <v>1264</v>
      </c>
    </row>
    <row r="3662" spans="1:8" x14ac:dyDescent="0.25">
      <c r="A3662" s="21" t="s">
        <v>8411</v>
      </c>
      <c r="B3662" s="25" t="s">
        <v>8413</v>
      </c>
      <c r="C3662" s="26"/>
      <c r="D3662" s="27"/>
      <c r="E3662" s="26"/>
      <c r="F3662" s="28"/>
      <c r="G3662" s="26"/>
      <c r="H3662" t="s">
        <v>8412</v>
      </c>
    </row>
    <row r="3663" spans="1:8" ht="45" x14ac:dyDescent="0.25">
      <c r="A3663" s="21" t="s">
        <v>8414</v>
      </c>
      <c r="B3663" s="25" t="s">
        <v>5206</v>
      </c>
      <c r="C3663" s="26">
        <v>1</v>
      </c>
      <c r="D3663" s="27" t="s">
        <v>110</v>
      </c>
      <c r="E3663" s="26">
        <v>7789.85</v>
      </c>
      <c r="F3663" s="28" t="s">
        <v>618</v>
      </c>
      <c r="G3663" s="26">
        <f>ROUND(C3663*E3663,0)</f>
        <v>7790</v>
      </c>
      <c r="H3663" t="s">
        <v>1264</v>
      </c>
    </row>
    <row r="3664" spans="1:8" ht="60" x14ac:dyDescent="0.25">
      <c r="A3664" s="21" t="s">
        <v>8415</v>
      </c>
      <c r="B3664" s="25" t="s">
        <v>8417</v>
      </c>
      <c r="C3664" s="26"/>
      <c r="D3664" s="27"/>
      <c r="E3664" s="26"/>
      <c r="F3664" s="28"/>
      <c r="G3664" s="26"/>
      <c r="H3664" t="s">
        <v>8416</v>
      </c>
    </row>
    <row r="3665" spans="1:8" ht="30" x14ac:dyDescent="0.25">
      <c r="A3665" s="21" t="s">
        <v>8418</v>
      </c>
      <c r="B3665" s="25" t="s">
        <v>5206</v>
      </c>
      <c r="C3665" s="26">
        <v>1</v>
      </c>
      <c r="D3665" s="27" t="s">
        <v>201</v>
      </c>
      <c r="E3665" s="26">
        <v>26861.9</v>
      </c>
      <c r="F3665" s="28" t="s">
        <v>202</v>
      </c>
      <c r="G3665" s="26">
        <f>ROUND(C3665*E3665,0)</f>
        <v>26862</v>
      </c>
      <c r="H3665" t="s">
        <v>8419</v>
      </c>
    </row>
    <row r="3666" spans="1:8" ht="60" x14ac:dyDescent="0.25">
      <c r="A3666" s="21" t="s">
        <v>8420</v>
      </c>
      <c r="B3666" s="25" t="s">
        <v>8422</v>
      </c>
      <c r="C3666" s="26">
        <v>1</v>
      </c>
      <c r="D3666" s="27" t="s">
        <v>201</v>
      </c>
      <c r="E3666" s="26">
        <v>2890.1</v>
      </c>
      <c r="F3666" s="28" t="s">
        <v>202</v>
      </c>
      <c r="G3666" s="26">
        <f>ROUND(C3666*E3666,0)</f>
        <v>2890</v>
      </c>
      <c r="H3666" t="s">
        <v>8421</v>
      </c>
    </row>
    <row r="3667" spans="1:8" ht="60" x14ac:dyDescent="0.25">
      <c r="A3667" s="21" t="s">
        <v>8423</v>
      </c>
      <c r="B3667" s="25" t="s">
        <v>8425</v>
      </c>
      <c r="C3667" s="26"/>
      <c r="D3667" s="27"/>
      <c r="E3667" s="26"/>
      <c r="F3667" s="28"/>
      <c r="G3667" s="26"/>
      <c r="H3667" t="s">
        <v>8424</v>
      </c>
    </row>
    <row r="3668" spans="1:8" x14ac:dyDescent="0.25">
      <c r="A3668" s="21" t="s">
        <v>8426</v>
      </c>
      <c r="B3668" s="25" t="s">
        <v>6023</v>
      </c>
      <c r="C3668" s="26">
        <v>1</v>
      </c>
      <c r="D3668" s="27" t="s">
        <v>201</v>
      </c>
      <c r="E3668" s="26">
        <v>441.4</v>
      </c>
      <c r="F3668" s="28" t="s">
        <v>202</v>
      </c>
      <c r="G3668" s="26">
        <f>ROUND(C3668*E3668,0)</f>
        <v>441</v>
      </c>
      <c r="H3668" t="s">
        <v>5989</v>
      </c>
    </row>
    <row r="3669" spans="1:8" x14ac:dyDescent="0.25">
      <c r="A3669" s="21" t="s">
        <v>8427</v>
      </c>
      <c r="B3669" s="25" t="s">
        <v>7118</v>
      </c>
      <c r="C3669" s="26">
        <v>1</v>
      </c>
      <c r="D3669" s="27" t="s">
        <v>201</v>
      </c>
      <c r="E3669" s="26">
        <v>602.65</v>
      </c>
      <c r="F3669" s="28" t="s">
        <v>202</v>
      </c>
      <c r="G3669" s="26">
        <f>ROUND(C3669*E3669,0)</f>
        <v>603</v>
      </c>
      <c r="H3669" t="s">
        <v>6725</v>
      </c>
    </row>
    <row r="3670" spans="1:8" ht="75" x14ac:dyDescent="0.25">
      <c r="A3670" s="21" t="s">
        <v>8428</v>
      </c>
      <c r="B3670" s="25" t="s">
        <v>8430</v>
      </c>
      <c r="C3670" s="26"/>
      <c r="D3670" s="27"/>
      <c r="E3670" s="26"/>
      <c r="F3670" s="28"/>
      <c r="G3670" s="26"/>
      <c r="H3670" t="s">
        <v>8429</v>
      </c>
    </row>
    <row r="3671" spans="1:8" ht="45" x14ac:dyDescent="0.25">
      <c r="A3671" s="21" t="s">
        <v>8431</v>
      </c>
      <c r="B3671" s="25" t="s">
        <v>8432</v>
      </c>
      <c r="C3671" s="26">
        <v>1</v>
      </c>
      <c r="D3671" s="27" t="s">
        <v>110</v>
      </c>
      <c r="E3671" s="26">
        <v>2676.55</v>
      </c>
      <c r="F3671" s="28" t="s">
        <v>618</v>
      </c>
      <c r="G3671" s="26">
        <f t="shared" ref="G3671:G3676" si="129">ROUND(C3671*E3671,0)</f>
        <v>2677</v>
      </c>
      <c r="H3671" t="s">
        <v>8432</v>
      </c>
    </row>
    <row r="3672" spans="1:8" ht="45" x14ac:dyDescent="0.25">
      <c r="A3672" s="21" t="s">
        <v>8433</v>
      </c>
      <c r="B3672" s="25" t="s">
        <v>8434</v>
      </c>
      <c r="C3672" s="26">
        <v>1</v>
      </c>
      <c r="D3672" s="27" t="s">
        <v>110</v>
      </c>
      <c r="E3672" s="26">
        <v>3401.25</v>
      </c>
      <c r="F3672" s="28" t="s">
        <v>618</v>
      </c>
      <c r="G3672" s="26">
        <f t="shared" si="129"/>
        <v>3401</v>
      </c>
      <c r="H3672" t="s">
        <v>8434</v>
      </c>
    </row>
    <row r="3673" spans="1:8" ht="45" x14ac:dyDescent="0.25">
      <c r="A3673" s="21" t="s">
        <v>8435</v>
      </c>
      <c r="B3673" s="25" t="s">
        <v>8436</v>
      </c>
      <c r="C3673" s="26">
        <v>1</v>
      </c>
      <c r="D3673" s="27" t="s">
        <v>110</v>
      </c>
      <c r="E3673" s="26">
        <v>5377.25</v>
      </c>
      <c r="F3673" s="28" t="s">
        <v>618</v>
      </c>
      <c r="G3673" s="26">
        <f t="shared" si="129"/>
        <v>5377</v>
      </c>
      <c r="H3673" t="s">
        <v>8436</v>
      </c>
    </row>
    <row r="3674" spans="1:8" ht="45" x14ac:dyDescent="0.25">
      <c r="A3674" s="21" t="s">
        <v>8437</v>
      </c>
      <c r="B3674" s="25" t="s">
        <v>8439</v>
      </c>
      <c r="C3674" s="26">
        <v>1</v>
      </c>
      <c r="D3674" s="27" t="s">
        <v>110</v>
      </c>
      <c r="E3674" s="26">
        <v>6656.55</v>
      </c>
      <c r="F3674" s="28" t="s">
        <v>618</v>
      </c>
      <c r="G3674" s="26">
        <f t="shared" si="129"/>
        <v>6657</v>
      </c>
      <c r="H3674" t="s">
        <v>8438</v>
      </c>
    </row>
    <row r="3675" spans="1:8" ht="45" x14ac:dyDescent="0.25">
      <c r="A3675" s="21" t="s">
        <v>8440</v>
      </c>
      <c r="B3675" s="25" t="s">
        <v>8442</v>
      </c>
      <c r="C3675" s="26">
        <v>1</v>
      </c>
      <c r="D3675" s="27" t="s">
        <v>110</v>
      </c>
      <c r="E3675" s="26">
        <v>9126.2000000000007</v>
      </c>
      <c r="F3675" s="28" t="s">
        <v>618</v>
      </c>
      <c r="G3675" s="26">
        <f t="shared" si="129"/>
        <v>9126</v>
      </c>
      <c r="H3675" t="s">
        <v>8441</v>
      </c>
    </row>
    <row r="3676" spans="1:8" ht="45" x14ac:dyDescent="0.25">
      <c r="A3676" s="21" t="s">
        <v>8443</v>
      </c>
      <c r="B3676" s="25" t="s">
        <v>8445</v>
      </c>
      <c r="C3676" s="26">
        <v>1</v>
      </c>
      <c r="D3676" s="27" t="s">
        <v>110</v>
      </c>
      <c r="E3676" s="26">
        <v>16184</v>
      </c>
      <c r="F3676" s="28" t="s">
        <v>618</v>
      </c>
      <c r="G3676" s="26">
        <f t="shared" si="129"/>
        <v>16184</v>
      </c>
      <c r="H3676" t="s">
        <v>8444</v>
      </c>
    </row>
    <row r="3677" spans="1:8" ht="75" x14ac:dyDescent="0.25">
      <c r="A3677" s="21" t="s">
        <v>8446</v>
      </c>
      <c r="B3677" s="25" t="s">
        <v>8448</v>
      </c>
      <c r="C3677" s="26"/>
      <c r="D3677" s="27"/>
      <c r="E3677" s="26"/>
      <c r="F3677" s="28"/>
      <c r="G3677" s="26"/>
      <c r="H3677" t="s">
        <v>8447</v>
      </c>
    </row>
    <row r="3678" spans="1:8" ht="45" x14ac:dyDescent="0.25">
      <c r="A3678" s="21" t="s">
        <v>8449</v>
      </c>
      <c r="B3678" s="25" t="s">
        <v>8432</v>
      </c>
      <c r="C3678" s="26">
        <v>1</v>
      </c>
      <c r="D3678" s="27" t="s">
        <v>110</v>
      </c>
      <c r="E3678" s="26">
        <v>3053.55</v>
      </c>
      <c r="F3678" s="28" t="s">
        <v>618</v>
      </c>
      <c r="G3678" s="26">
        <f t="shared" ref="G3678:G3683" si="130">ROUND(C3678*E3678,0)</f>
        <v>3054</v>
      </c>
      <c r="H3678" t="s">
        <v>8432</v>
      </c>
    </row>
    <row r="3679" spans="1:8" ht="45" x14ac:dyDescent="0.25">
      <c r="A3679" s="21" t="s">
        <v>8450</v>
      </c>
      <c r="B3679" s="25" t="s">
        <v>8434</v>
      </c>
      <c r="C3679" s="26">
        <v>1</v>
      </c>
      <c r="D3679" s="27" t="s">
        <v>110</v>
      </c>
      <c r="E3679" s="26">
        <v>3934.75</v>
      </c>
      <c r="F3679" s="28" t="s">
        <v>618</v>
      </c>
      <c r="G3679" s="26">
        <f t="shared" si="130"/>
        <v>3935</v>
      </c>
      <c r="H3679" t="s">
        <v>8434</v>
      </c>
    </row>
    <row r="3680" spans="1:8" ht="45" x14ac:dyDescent="0.25">
      <c r="A3680" s="21" t="s">
        <v>8451</v>
      </c>
      <c r="B3680" s="25" t="s">
        <v>8436</v>
      </c>
      <c r="C3680" s="26">
        <v>1</v>
      </c>
      <c r="D3680" s="27" t="s">
        <v>110</v>
      </c>
      <c r="E3680" s="26">
        <v>7397.4</v>
      </c>
      <c r="F3680" s="28" t="s">
        <v>618</v>
      </c>
      <c r="G3680" s="26">
        <f t="shared" si="130"/>
        <v>7397</v>
      </c>
      <c r="H3680" t="s">
        <v>8436</v>
      </c>
    </row>
    <row r="3681" spans="1:8" ht="45" x14ac:dyDescent="0.25">
      <c r="A3681" s="21" t="s">
        <v>8452</v>
      </c>
      <c r="B3681" s="25" t="s">
        <v>8453</v>
      </c>
      <c r="C3681" s="26">
        <v>1</v>
      </c>
      <c r="D3681" s="27" t="s">
        <v>110</v>
      </c>
      <c r="E3681" s="26">
        <v>9181.75</v>
      </c>
      <c r="F3681" s="28" t="s">
        <v>618</v>
      </c>
      <c r="G3681" s="26">
        <f t="shared" si="130"/>
        <v>9182</v>
      </c>
      <c r="H3681" t="s">
        <v>8438</v>
      </c>
    </row>
    <row r="3682" spans="1:8" ht="45" x14ac:dyDescent="0.25">
      <c r="A3682" s="21" t="s">
        <v>8454</v>
      </c>
      <c r="B3682" s="25" t="s">
        <v>8455</v>
      </c>
      <c r="C3682" s="26">
        <v>1</v>
      </c>
      <c r="D3682" s="27" t="s">
        <v>110</v>
      </c>
      <c r="E3682" s="26">
        <v>11119.35</v>
      </c>
      <c r="F3682" s="28" t="s">
        <v>618</v>
      </c>
      <c r="G3682" s="26">
        <f t="shared" si="130"/>
        <v>11119</v>
      </c>
      <c r="H3682" t="s">
        <v>8441</v>
      </c>
    </row>
    <row r="3683" spans="1:8" ht="45" x14ac:dyDescent="0.25">
      <c r="A3683" s="21" t="s">
        <v>8456</v>
      </c>
      <c r="B3683" s="25" t="s">
        <v>8445</v>
      </c>
      <c r="C3683" s="26">
        <v>1</v>
      </c>
      <c r="D3683" s="27" t="s">
        <v>110</v>
      </c>
      <c r="E3683" s="26">
        <v>22578.75</v>
      </c>
      <c r="F3683" s="28" t="s">
        <v>618</v>
      </c>
      <c r="G3683" s="26">
        <f t="shared" si="130"/>
        <v>22579</v>
      </c>
      <c r="H3683" t="s">
        <v>8444</v>
      </c>
    </row>
    <row r="3684" spans="1:8" x14ac:dyDescent="0.25">
      <c r="A3684" s="21"/>
      <c r="B3684" s="45" t="s">
        <v>8457</v>
      </c>
      <c r="C3684" s="45"/>
      <c r="D3684" s="45"/>
      <c r="E3684" s="45"/>
      <c r="F3684" s="45"/>
      <c r="G3684" s="29">
        <f>SUM(G3507:G3683)</f>
        <v>820929</v>
      </c>
    </row>
    <row r="3685" spans="1:8" x14ac:dyDescent="0.25">
      <c r="A3685" s="46" t="s">
        <v>8458</v>
      </c>
      <c r="B3685" s="47"/>
      <c r="C3685" s="47"/>
      <c r="D3685" s="47"/>
      <c r="E3685" s="47"/>
      <c r="F3685" s="47"/>
      <c r="G3685" s="47"/>
    </row>
    <row r="3686" spans="1:8" ht="165" x14ac:dyDescent="0.25">
      <c r="A3686" s="21" t="s">
        <v>8459</v>
      </c>
      <c r="B3686" s="25" t="s">
        <v>8461</v>
      </c>
      <c r="C3686" s="26"/>
      <c r="D3686" s="27"/>
      <c r="E3686" s="26"/>
      <c r="F3686" s="28"/>
      <c r="G3686" s="26"/>
      <c r="H3686" t="s">
        <v>8460</v>
      </c>
    </row>
    <row r="3687" spans="1:8" ht="45" x14ac:dyDescent="0.25">
      <c r="A3687" s="21" t="s">
        <v>8462</v>
      </c>
      <c r="B3687" s="25" t="s">
        <v>8464</v>
      </c>
      <c r="C3687" s="26">
        <v>1</v>
      </c>
      <c r="D3687" s="27" t="s">
        <v>110</v>
      </c>
      <c r="E3687" s="26">
        <v>2767</v>
      </c>
      <c r="F3687" s="28" t="s">
        <v>618</v>
      </c>
      <c r="G3687" s="26">
        <f t="shared" ref="G3687:G3694" si="131">ROUND(C3687*E3687,0)</f>
        <v>2767</v>
      </c>
      <c r="H3687" t="s">
        <v>8463</v>
      </c>
    </row>
    <row r="3688" spans="1:8" ht="45" x14ac:dyDescent="0.25">
      <c r="A3688" s="21" t="s">
        <v>8465</v>
      </c>
      <c r="B3688" s="25" t="s">
        <v>8467</v>
      </c>
      <c r="C3688" s="26">
        <v>1</v>
      </c>
      <c r="D3688" s="27" t="s">
        <v>110</v>
      </c>
      <c r="E3688" s="26">
        <v>3430.65</v>
      </c>
      <c r="F3688" s="28" t="s">
        <v>618</v>
      </c>
      <c r="G3688" s="26">
        <f t="shared" si="131"/>
        <v>3431</v>
      </c>
      <c r="H3688" t="s">
        <v>8466</v>
      </c>
    </row>
    <row r="3689" spans="1:8" ht="45" x14ac:dyDescent="0.25">
      <c r="A3689" s="21" t="s">
        <v>8468</v>
      </c>
      <c r="B3689" s="25" t="s">
        <v>8470</v>
      </c>
      <c r="C3689" s="26">
        <v>1</v>
      </c>
      <c r="D3689" s="27" t="s">
        <v>110</v>
      </c>
      <c r="E3689" s="26">
        <v>4129.95</v>
      </c>
      <c r="F3689" s="28" t="s">
        <v>618</v>
      </c>
      <c r="G3689" s="26">
        <f t="shared" si="131"/>
        <v>4130</v>
      </c>
      <c r="H3689" t="s">
        <v>8469</v>
      </c>
    </row>
    <row r="3690" spans="1:8" ht="45" x14ac:dyDescent="0.25">
      <c r="A3690" s="21" t="s">
        <v>8471</v>
      </c>
      <c r="B3690" s="25" t="s">
        <v>8473</v>
      </c>
      <c r="C3690" s="26">
        <v>1</v>
      </c>
      <c r="D3690" s="27" t="s">
        <v>110</v>
      </c>
      <c r="E3690" s="26">
        <v>4530.8999999999996</v>
      </c>
      <c r="F3690" s="28" t="s">
        <v>618</v>
      </c>
      <c r="G3690" s="26">
        <f t="shared" si="131"/>
        <v>4531</v>
      </c>
      <c r="H3690" t="s">
        <v>8472</v>
      </c>
    </row>
    <row r="3691" spans="1:8" ht="45" x14ac:dyDescent="0.25">
      <c r="A3691" s="21" t="s">
        <v>8474</v>
      </c>
      <c r="B3691" s="25" t="s">
        <v>8476</v>
      </c>
      <c r="C3691" s="26">
        <v>1</v>
      </c>
      <c r="D3691" s="27" t="s">
        <v>110</v>
      </c>
      <c r="E3691" s="26">
        <v>7738.55</v>
      </c>
      <c r="F3691" s="28" t="s">
        <v>618</v>
      </c>
      <c r="G3691" s="26">
        <f t="shared" si="131"/>
        <v>7739</v>
      </c>
      <c r="H3691" t="s">
        <v>8475</v>
      </c>
    </row>
    <row r="3692" spans="1:8" ht="45" x14ac:dyDescent="0.25">
      <c r="A3692" s="21" t="s">
        <v>8477</v>
      </c>
      <c r="B3692" s="25" t="s">
        <v>8479</v>
      </c>
      <c r="C3692" s="26">
        <v>1</v>
      </c>
      <c r="D3692" s="27" t="s">
        <v>110</v>
      </c>
      <c r="E3692" s="26">
        <v>12748.45</v>
      </c>
      <c r="F3692" s="28" t="s">
        <v>618</v>
      </c>
      <c r="G3692" s="26">
        <f t="shared" si="131"/>
        <v>12748</v>
      </c>
      <c r="H3692" t="s">
        <v>8478</v>
      </c>
    </row>
    <row r="3693" spans="1:8" ht="45" x14ac:dyDescent="0.25">
      <c r="A3693" s="21" t="s">
        <v>8480</v>
      </c>
      <c r="B3693" s="25" t="s">
        <v>8482</v>
      </c>
      <c r="C3693" s="26">
        <v>1</v>
      </c>
      <c r="D3693" s="27" t="s">
        <v>110</v>
      </c>
      <c r="E3693" s="26">
        <v>16671.05</v>
      </c>
      <c r="F3693" s="28" t="s">
        <v>618</v>
      </c>
      <c r="G3693" s="26">
        <f t="shared" si="131"/>
        <v>16671</v>
      </c>
      <c r="H3693" t="s">
        <v>8481</v>
      </c>
    </row>
    <row r="3694" spans="1:8" ht="45" x14ac:dyDescent="0.25">
      <c r="A3694" s="21" t="s">
        <v>8483</v>
      </c>
      <c r="B3694" s="25" t="s">
        <v>8485</v>
      </c>
      <c r="C3694" s="26">
        <v>1</v>
      </c>
      <c r="D3694" s="27" t="s">
        <v>110</v>
      </c>
      <c r="E3694" s="26">
        <v>23577.75</v>
      </c>
      <c r="F3694" s="28" t="s">
        <v>618</v>
      </c>
      <c r="G3694" s="26">
        <f t="shared" si="131"/>
        <v>23578</v>
      </c>
      <c r="H3694" t="s">
        <v>8484</v>
      </c>
    </row>
    <row r="3695" spans="1:8" ht="240" x14ac:dyDescent="0.25">
      <c r="A3695" s="21" t="s">
        <v>8486</v>
      </c>
      <c r="B3695" s="25" t="s">
        <v>8488</v>
      </c>
      <c r="C3695" s="26"/>
      <c r="D3695" s="27"/>
      <c r="E3695" s="26"/>
      <c r="F3695" s="28"/>
      <c r="G3695" s="26"/>
      <c r="H3695" t="s">
        <v>8487</v>
      </c>
    </row>
    <row r="3696" spans="1:8" ht="45" x14ac:dyDescent="0.25">
      <c r="A3696" s="21" t="s">
        <v>8489</v>
      </c>
      <c r="B3696" s="25" t="s">
        <v>8467</v>
      </c>
      <c r="C3696" s="26">
        <v>1</v>
      </c>
      <c r="D3696" s="27" t="s">
        <v>110</v>
      </c>
      <c r="E3696" s="26">
        <v>2278.3000000000002</v>
      </c>
      <c r="F3696" s="28" t="s">
        <v>618</v>
      </c>
      <c r="G3696" s="26">
        <f>ROUND(C3696*E3696,0)</f>
        <v>2278</v>
      </c>
      <c r="H3696" t="s">
        <v>8467</v>
      </c>
    </row>
    <row r="3697" spans="1:8" ht="45" x14ac:dyDescent="0.25">
      <c r="A3697" s="21" t="s">
        <v>8490</v>
      </c>
      <c r="B3697" s="25" t="s">
        <v>8491</v>
      </c>
      <c r="C3697" s="26">
        <v>1</v>
      </c>
      <c r="D3697" s="27" t="s">
        <v>110</v>
      </c>
      <c r="E3697" s="26">
        <v>2703.25</v>
      </c>
      <c r="F3697" s="28" t="s">
        <v>618</v>
      </c>
      <c r="G3697" s="26">
        <f>ROUND(C3697*E3697,0)</f>
        <v>2703</v>
      </c>
      <c r="H3697" t="s">
        <v>8491</v>
      </c>
    </row>
    <row r="3698" spans="1:8" ht="45" x14ac:dyDescent="0.25">
      <c r="A3698" s="21" t="s">
        <v>8492</v>
      </c>
      <c r="B3698" s="25" t="s">
        <v>8493</v>
      </c>
      <c r="C3698" s="26">
        <v>1</v>
      </c>
      <c r="D3698" s="27" t="s">
        <v>110</v>
      </c>
      <c r="E3698" s="26">
        <v>3637.2</v>
      </c>
      <c r="F3698" s="28" t="s">
        <v>618</v>
      </c>
      <c r="G3698" s="26">
        <f>ROUND(C3698*E3698,0)</f>
        <v>3637</v>
      </c>
      <c r="H3698" t="s">
        <v>8466</v>
      </c>
    </row>
    <row r="3699" spans="1:8" ht="45" x14ac:dyDescent="0.25">
      <c r="A3699" s="21" t="s">
        <v>8494</v>
      </c>
      <c r="B3699" s="25" t="s">
        <v>8476</v>
      </c>
      <c r="C3699" s="26">
        <v>1</v>
      </c>
      <c r="D3699" s="27" t="s">
        <v>110</v>
      </c>
      <c r="E3699" s="26">
        <v>5581.2</v>
      </c>
      <c r="F3699" s="28" t="s">
        <v>618</v>
      </c>
      <c r="G3699" s="26">
        <f>ROUND(C3699*E3699,0)</f>
        <v>5581</v>
      </c>
      <c r="H3699" t="s">
        <v>8469</v>
      </c>
    </row>
    <row r="3700" spans="1:8" ht="225" x14ac:dyDescent="0.25">
      <c r="A3700" s="21" t="s">
        <v>8495</v>
      </c>
      <c r="B3700" s="25" t="s">
        <v>8497</v>
      </c>
      <c r="C3700" s="26"/>
      <c r="D3700" s="27"/>
      <c r="E3700" s="26"/>
      <c r="F3700" s="28"/>
      <c r="G3700" s="26"/>
      <c r="H3700" t="s">
        <v>8496</v>
      </c>
    </row>
    <row r="3701" spans="1:8" ht="30" x14ac:dyDescent="0.25">
      <c r="A3701" s="21"/>
      <c r="B3701" s="25" t="s">
        <v>8498</v>
      </c>
      <c r="C3701" s="26"/>
      <c r="D3701" s="27"/>
      <c r="E3701" s="26"/>
      <c r="F3701" s="28"/>
      <c r="G3701" s="26"/>
    </row>
    <row r="3702" spans="1:8" ht="45" x14ac:dyDescent="0.25">
      <c r="A3702" s="21" t="s">
        <v>8499</v>
      </c>
      <c r="B3702" s="25" t="s">
        <v>8500</v>
      </c>
      <c r="C3702" s="26">
        <v>1</v>
      </c>
      <c r="D3702" s="27" t="s">
        <v>110</v>
      </c>
      <c r="E3702" s="26">
        <v>5386.25</v>
      </c>
      <c r="F3702" s="28" t="s">
        <v>618</v>
      </c>
      <c r="G3702" s="26">
        <f>ROUND(C3702*E3702,0)</f>
        <v>5386</v>
      </c>
      <c r="H3702" t="s">
        <v>8500</v>
      </c>
    </row>
    <row r="3703" spans="1:8" ht="45" x14ac:dyDescent="0.25">
      <c r="A3703" s="21" t="s">
        <v>8501</v>
      </c>
      <c r="B3703" s="25" t="s">
        <v>8502</v>
      </c>
      <c r="C3703" s="26">
        <v>1</v>
      </c>
      <c r="D3703" s="27" t="s">
        <v>110</v>
      </c>
      <c r="E3703" s="26">
        <v>7758.75</v>
      </c>
      <c r="F3703" s="28" t="s">
        <v>618</v>
      </c>
      <c r="G3703" s="26">
        <f>ROUND(C3703*E3703,0)</f>
        <v>7759</v>
      </c>
      <c r="H3703" t="s">
        <v>8502</v>
      </c>
    </row>
    <row r="3704" spans="1:8" ht="45" x14ac:dyDescent="0.25">
      <c r="A3704" s="21" t="s">
        <v>8503</v>
      </c>
      <c r="B3704" s="25" t="s">
        <v>8504</v>
      </c>
      <c r="C3704" s="26">
        <v>1</v>
      </c>
      <c r="D3704" s="27" t="s">
        <v>110</v>
      </c>
      <c r="E3704" s="26">
        <v>12990.8</v>
      </c>
      <c r="F3704" s="28" t="s">
        <v>618</v>
      </c>
      <c r="G3704" s="26">
        <f>ROUND(C3704*E3704,0)</f>
        <v>12991</v>
      </c>
      <c r="H3704" t="s">
        <v>8504</v>
      </c>
    </row>
    <row r="3705" spans="1:8" ht="45" x14ac:dyDescent="0.25">
      <c r="A3705" s="21" t="s">
        <v>8505</v>
      </c>
      <c r="B3705" s="25" t="s">
        <v>8506</v>
      </c>
      <c r="C3705" s="26">
        <v>1</v>
      </c>
      <c r="D3705" s="27" t="s">
        <v>110</v>
      </c>
      <c r="E3705" s="26">
        <v>17025.75</v>
      </c>
      <c r="F3705" s="28" t="s">
        <v>618</v>
      </c>
      <c r="G3705" s="26">
        <f>ROUND(C3705*E3705,0)</f>
        <v>17026</v>
      </c>
      <c r="H3705" t="s">
        <v>8506</v>
      </c>
    </row>
    <row r="3706" spans="1:8" ht="45" x14ac:dyDescent="0.25">
      <c r="A3706" s="21" t="s">
        <v>8507</v>
      </c>
      <c r="B3706" s="25" t="s">
        <v>8484</v>
      </c>
      <c r="C3706" s="26">
        <v>1</v>
      </c>
      <c r="D3706" s="27" t="s">
        <v>110</v>
      </c>
      <c r="E3706" s="26">
        <v>24408.799999999999</v>
      </c>
      <c r="F3706" s="28" t="s">
        <v>618</v>
      </c>
      <c r="G3706" s="26">
        <f>ROUND(C3706*E3706,0)</f>
        <v>24409</v>
      </c>
      <c r="H3706" t="s">
        <v>8484</v>
      </c>
    </row>
    <row r="3707" spans="1:8" ht="165" x14ac:dyDescent="0.25">
      <c r="A3707" s="21" t="s">
        <v>8508</v>
      </c>
      <c r="B3707" s="25" t="s">
        <v>8510</v>
      </c>
      <c r="C3707" s="26"/>
      <c r="D3707" s="27"/>
      <c r="E3707" s="26"/>
      <c r="F3707" s="28"/>
      <c r="G3707" s="26"/>
      <c r="H3707" t="s">
        <v>8509</v>
      </c>
    </row>
    <row r="3708" spans="1:8" ht="45" x14ac:dyDescent="0.25">
      <c r="A3708" s="21" t="s">
        <v>8511</v>
      </c>
      <c r="B3708" s="25" t="s">
        <v>8513</v>
      </c>
      <c r="C3708" s="26">
        <v>1</v>
      </c>
      <c r="D3708" s="27" t="s">
        <v>110</v>
      </c>
      <c r="E3708" s="26">
        <v>3065.6</v>
      </c>
      <c r="F3708" s="28" t="s">
        <v>618</v>
      </c>
      <c r="G3708" s="26">
        <f>ROUND(C3708*E3708,0)</f>
        <v>3066</v>
      </c>
      <c r="H3708" t="s">
        <v>8512</v>
      </c>
    </row>
    <row r="3709" spans="1:8" ht="45" x14ac:dyDescent="0.25">
      <c r="A3709" s="21" t="s">
        <v>8514</v>
      </c>
      <c r="B3709" s="25" t="s">
        <v>8464</v>
      </c>
      <c r="C3709" s="26">
        <v>1</v>
      </c>
      <c r="D3709" s="27" t="s">
        <v>110</v>
      </c>
      <c r="E3709" s="26">
        <v>3797.3</v>
      </c>
      <c r="F3709" s="28" t="s">
        <v>618</v>
      </c>
      <c r="G3709" s="26">
        <f>ROUND(C3709*E3709,0)</f>
        <v>3797</v>
      </c>
      <c r="H3709" t="s">
        <v>8515</v>
      </c>
    </row>
    <row r="3710" spans="1:8" ht="45" x14ac:dyDescent="0.25">
      <c r="A3710" s="21" t="s">
        <v>8516</v>
      </c>
      <c r="B3710" s="25" t="s">
        <v>8518</v>
      </c>
      <c r="C3710" s="26">
        <v>1</v>
      </c>
      <c r="D3710" s="27" t="s">
        <v>110</v>
      </c>
      <c r="E3710" s="26">
        <v>4232.75</v>
      </c>
      <c r="F3710" s="28" t="s">
        <v>618</v>
      </c>
      <c r="G3710" s="26">
        <f>ROUND(C3710*E3710,0)</f>
        <v>4233</v>
      </c>
      <c r="H3710" t="s">
        <v>8517</v>
      </c>
    </row>
    <row r="3711" spans="1:8" ht="45" x14ac:dyDescent="0.25">
      <c r="A3711" s="21" t="s">
        <v>8519</v>
      </c>
      <c r="B3711" s="25" t="s">
        <v>8473</v>
      </c>
      <c r="C3711" s="26">
        <v>1</v>
      </c>
      <c r="D3711" s="27" t="s">
        <v>110</v>
      </c>
      <c r="E3711" s="26">
        <v>4721.1499999999996</v>
      </c>
      <c r="F3711" s="28" t="s">
        <v>618</v>
      </c>
      <c r="G3711" s="26">
        <f>ROUND(C3711*E3711,0)</f>
        <v>4721</v>
      </c>
      <c r="H3711" t="s">
        <v>8520</v>
      </c>
    </row>
    <row r="3712" spans="1:8" ht="60" x14ac:dyDescent="0.25">
      <c r="A3712" s="21" t="s">
        <v>8521</v>
      </c>
      <c r="B3712" s="25" t="s">
        <v>8523</v>
      </c>
      <c r="C3712" s="26"/>
      <c r="D3712" s="27"/>
      <c r="E3712" s="26"/>
      <c r="F3712" s="28"/>
      <c r="G3712" s="26"/>
      <c r="H3712" t="s">
        <v>8522</v>
      </c>
    </row>
    <row r="3713" spans="1:8" x14ac:dyDescent="0.25">
      <c r="A3713" s="21" t="s">
        <v>8524</v>
      </c>
      <c r="B3713" s="25" t="s">
        <v>8525</v>
      </c>
      <c r="C3713" s="26">
        <v>1</v>
      </c>
      <c r="D3713" s="27" t="s">
        <v>201</v>
      </c>
      <c r="E3713" s="26">
        <v>2626.3</v>
      </c>
      <c r="F3713" s="28" t="s">
        <v>202</v>
      </c>
      <c r="G3713" s="26">
        <f>ROUND(C3713*E3713,0)</f>
        <v>2626</v>
      </c>
      <c r="H3713" t="s">
        <v>8512</v>
      </c>
    </row>
    <row r="3714" spans="1:8" x14ac:dyDescent="0.25">
      <c r="A3714" s="21" t="s">
        <v>8526</v>
      </c>
      <c r="B3714" s="25" t="s">
        <v>8527</v>
      </c>
      <c r="C3714" s="26">
        <v>1</v>
      </c>
      <c r="D3714" s="27" t="s">
        <v>201</v>
      </c>
      <c r="E3714" s="26">
        <v>2924.45</v>
      </c>
      <c r="F3714" s="28" t="s">
        <v>202</v>
      </c>
      <c r="G3714" s="26">
        <f>ROUND(C3714*E3714,0)</f>
        <v>2924</v>
      </c>
      <c r="H3714" t="s">
        <v>8463</v>
      </c>
    </row>
    <row r="3715" spans="1:8" x14ac:dyDescent="0.25">
      <c r="A3715" s="21" t="s">
        <v>8528</v>
      </c>
      <c r="B3715" s="25" t="s">
        <v>8517</v>
      </c>
      <c r="C3715" s="26">
        <v>1</v>
      </c>
      <c r="D3715" s="27" t="s">
        <v>201</v>
      </c>
      <c r="E3715" s="26">
        <v>3104.2</v>
      </c>
      <c r="F3715" s="28" t="s">
        <v>202</v>
      </c>
      <c r="G3715" s="26">
        <f>ROUND(C3715*E3715,0)</f>
        <v>3104</v>
      </c>
      <c r="H3715" t="s">
        <v>8466</v>
      </c>
    </row>
    <row r="3716" spans="1:8" x14ac:dyDescent="0.25">
      <c r="A3716" s="21" t="s">
        <v>8529</v>
      </c>
      <c r="B3716" s="25" t="s">
        <v>8530</v>
      </c>
      <c r="C3716" s="26">
        <v>1</v>
      </c>
      <c r="D3716" s="27" t="s">
        <v>201</v>
      </c>
      <c r="E3716" s="26">
        <v>3360.15</v>
      </c>
      <c r="F3716" s="28" t="s">
        <v>202</v>
      </c>
      <c r="G3716" s="26">
        <f>ROUND(C3716*E3716,0)</f>
        <v>3360</v>
      </c>
      <c r="H3716" t="s">
        <v>8472</v>
      </c>
    </row>
    <row r="3717" spans="1:8" ht="255" x14ac:dyDescent="0.25">
      <c r="A3717" s="21" t="s">
        <v>8531</v>
      </c>
      <c r="B3717" s="25" t="s">
        <v>8533</v>
      </c>
      <c r="C3717" s="26"/>
      <c r="D3717" s="27"/>
      <c r="E3717" s="26"/>
      <c r="F3717" s="28"/>
      <c r="G3717" s="26"/>
      <c r="H3717" t="s">
        <v>8532</v>
      </c>
    </row>
    <row r="3718" spans="1:8" ht="45" x14ac:dyDescent="0.25">
      <c r="A3718" s="21" t="s">
        <v>8534</v>
      </c>
      <c r="B3718" s="25" t="s">
        <v>8515</v>
      </c>
      <c r="C3718" s="26">
        <v>1</v>
      </c>
      <c r="D3718" s="27" t="s">
        <v>110</v>
      </c>
      <c r="E3718" s="26">
        <v>3727.8</v>
      </c>
      <c r="F3718" s="28" t="s">
        <v>618</v>
      </c>
      <c r="G3718" s="26">
        <f t="shared" ref="G3718:G3723" si="132">ROUND(C3718*E3718,0)</f>
        <v>3728</v>
      </c>
      <c r="H3718" t="s">
        <v>8535</v>
      </c>
    </row>
    <row r="3719" spans="1:8" ht="45" x14ac:dyDescent="0.25">
      <c r="A3719" s="21" t="s">
        <v>8536</v>
      </c>
      <c r="B3719" s="25" t="s">
        <v>8517</v>
      </c>
      <c r="C3719" s="26">
        <v>1</v>
      </c>
      <c r="D3719" s="27" t="s">
        <v>110</v>
      </c>
      <c r="E3719" s="26">
        <v>4766.25</v>
      </c>
      <c r="F3719" s="28" t="s">
        <v>618</v>
      </c>
      <c r="G3719" s="26">
        <f t="shared" si="132"/>
        <v>4766</v>
      </c>
      <c r="H3719" t="s">
        <v>8537</v>
      </c>
    </row>
    <row r="3720" spans="1:8" ht="45" x14ac:dyDescent="0.25">
      <c r="A3720" s="21" t="s">
        <v>8538</v>
      </c>
      <c r="B3720" s="25" t="s">
        <v>8540</v>
      </c>
      <c r="C3720" s="26">
        <v>1</v>
      </c>
      <c r="D3720" s="27" t="s">
        <v>110</v>
      </c>
      <c r="E3720" s="26">
        <v>4931.3500000000004</v>
      </c>
      <c r="F3720" s="28" t="s">
        <v>618</v>
      </c>
      <c r="G3720" s="26">
        <f t="shared" si="132"/>
        <v>4931</v>
      </c>
      <c r="H3720" t="s">
        <v>8539</v>
      </c>
    </row>
    <row r="3721" spans="1:8" ht="45" x14ac:dyDescent="0.25">
      <c r="A3721" s="21" t="s">
        <v>8541</v>
      </c>
      <c r="B3721" s="25" t="s">
        <v>8530</v>
      </c>
      <c r="C3721" s="26">
        <v>1</v>
      </c>
      <c r="D3721" s="27" t="s">
        <v>110</v>
      </c>
      <c r="E3721" s="26">
        <v>5633</v>
      </c>
      <c r="F3721" s="28" t="s">
        <v>618</v>
      </c>
      <c r="G3721" s="26">
        <f t="shared" si="132"/>
        <v>5633</v>
      </c>
      <c r="H3721" t="s">
        <v>8542</v>
      </c>
    </row>
    <row r="3722" spans="1:8" ht="45" x14ac:dyDescent="0.25">
      <c r="A3722" s="21" t="s">
        <v>8543</v>
      </c>
      <c r="B3722" s="25" t="s">
        <v>8502</v>
      </c>
      <c r="C3722" s="26">
        <v>1</v>
      </c>
      <c r="D3722" s="27" t="s">
        <v>110</v>
      </c>
      <c r="E3722" s="26">
        <v>10846.8</v>
      </c>
      <c r="F3722" s="28" t="s">
        <v>618</v>
      </c>
      <c r="G3722" s="26">
        <f t="shared" si="132"/>
        <v>10847</v>
      </c>
      <c r="H3722" t="s">
        <v>8475</v>
      </c>
    </row>
    <row r="3723" spans="1:8" ht="45" x14ac:dyDescent="0.25">
      <c r="A3723" s="21" t="s">
        <v>8544</v>
      </c>
      <c r="B3723" s="25" t="s">
        <v>8504</v>
      </c>
      <c r="C3723" s="26">
        <v>1</v>
      </c>
      <c r="D3723" s="27" t="s">
        <v>110</v>
      </c>
      <c r="E3723" s="26">
        <v>14946.4</v>
      </c>
      <c r="F3723" s="28" t="s">
        <v>618</v>
      </c>
      <c r="G3723" s="26">
        <f t="shared" si="132"/>
        <v>14946</v>
      </c>
      <c r="H3723" t="s">
        <v>8478</v>
      </c>
    </row>
    <row r="3724" spans="1:8" ht="105" x14ac:dyDescent="0.25">
      <c r="A3724" s="21" t="s">
        <v>8545</v>
      </c>
      <c r="B3724" s="25" t="s">
        <v>8547</v>
      </c>
      <c r="C3724" s="26"/>
      <c r="D3724" s="27"/>
      <c r="E3724" s="26"/>
      <c r="F3724" s="28"/>
      <c r="G3724" s="26"/>
      <c r="H3724" t="s">
        <v>8546</v>
      </c>
    </row>
    <row r="3725" spans="1:8" ht="30" x14ac:dyDescent="0.25">
      <c r="A3725" s="21"/>
      <c r="B3725" s="25" t="s">
        <v>8548</v>
      </c>
      <c r="C3725" s="26"/>
      <c r="D3725" s="27"/>
      <c r="E3725" s="26"/>
      <c r="F3725" s="28"/>
      <c r="G3725" s="26"/>
    </row>
    <row r="3726" spans="1:8" ht="45" x14ac:dyDescent="0.25">
      <c r="A3726" s="21"/>
      <c r="B3726" s="25" t="s">
        <v>8549</v>
      </c>
      <c r="C3726" s="26"/>
      <c r="D3726" s="27"/>
      <c r="E3726" s="26"/>
      <c r="F3726" s="28"/>
      <c r="G3726" s="26"/>
    </row>
    <row r="3727" spans="1:8" x14ac:dyDescent="0.25">
      <c r="A3727" s="21" t="s">
        <v>8550</v>
      </c>
      <c r="B3727" s="25" t="s">
        <v>8552</v>
      </c>
      <c r="C3727" s="26"/>
      <c r="D3727" s="27"/>
      <c r="E3727" s="26"/>
      <c r="F3727" s="28"/>
      <c r="G3727" s="26"/>
      <c r="H3727" t="s">
        <v>8551</v>
      </c>
    </row>
    <row r="3728" spans="1:8" x14ac:dyDescent="0.25">
      <c r="A3728" s="21" t="s">
        <v>8553</v>
      </c>
      <c r="B3728" s="25" t="s">
        <v>8555</v>
      </c>
      <c r="C3728" s="26">
        <v>1</v>
      </c>
      <c r="D3728" s="27" t="s">
        <v>67</v>
      </c>
      <c r="E3728" s="26">
        <v>54771.5</v>
      </c>
      <c r="F3728" s="28" t="s">
        <v>8556</v>
      </c>
      <c r="G3728" s="26">
        <f>ROUND(C3728*E3728,0)</f>
        <v>54772</v>
      </c>
      <c r="H3728" t="s">
        <v>8554</v>
      </c>
    </row>
    <row r="3729" spans="1:8" ht="30" x14ac:dyDescent="0.25">
      <c r="A3729" s="21" t="s">
        <v>8557</v>
      </c>
      <c r="B3729" s="25" t="s">
        <v>8559</v>
      </c>
      <c r="C3729" s="26">
        <v>1</v>
      </c>
      <c r="D3729" s="27" t="s">
        <v>67</v>
      </c>
      <c r="E3729" s="26">
        <v>19632.400000000001</v>
      </c>
      <c r="F3729" s="28" t="s">
        <v>8556</v>
      </c>
      <c r="G3729" s="26">
        <f>ROUND(C3729*E3729,0)</f>
        <v>19632</v>
      </c>
      <c r="H3729" t="s">
        <v>8558</v>
      </c>
    </row>
    <row r="3730" spans="1:8" ht="30" x14ac:dyDescent="0.25">
      <c r="A3730" s="21" t="s">
        <v>8560</v>
      </c>
      <c r="B3730" s="25" t="s">
        <v>8562</v>
      </c>
      <c r="C3730" s="26"/>
      <c r="D3730" s="27"/>
      <c r="E3730" s="26"/>
      <c r="F3730" s="28"/>
      <c r="G3730" s="26"/>
      <c r="H3730" t="s">
        <v>8561</v>
      </c>
    </row>
    <row r="3731" spans="1:8" x14ac:dyDescent="0.25">
      <c r="A3731" s="21" t="s">
        <v>8563</v>
      </c>
      <c r="B3731" s="25" t="s">
        <v>8565</v>
      </c>
      <c r="C3731" s="26">
        <v>1</v>
      </c>
      <c r="D3731" s="27" t="s">
        <v>67</v>
      </c>
      <c r="E3731" s="26">
        <v>61173.35</v>
      </c>
      <c r="F3731" s="28" t="s">
        <v>8556</v>
      </c>
      <c r="G3731" s="26">
        <f>ROUND(C3731*E3731,0)</f>
        <v>61173</v>
      </c>
      <c r="H3731" t="s">
        <v>8564</v>
      </c>
    </row>
    <row r="3732" spans="1:8" ht="30" x14ac:dyDescent="0.25">
      <c r="A3732" s="21" t="s">
        <v>8566</v>
      </c>
      <c r="B3732" s="25" t="s">
        <v>8568</v>
      </c>
      <c r="C3732" s="26">
        <v>1</v>
      </c>
      <c r="D3732" s="27" t="s">
        <v>67</v>
      </c>
      <c r="E3732" s="26">
        <v>32436.1</v>
      </c>
      <c r="F3732" s="28" t="s">
        <v>8556</v>
      </c>
      <c r="G3732" s="26">
        <f>ROUND(C3732*E3732,0)</f>
        <v>32436</v>
      </c>
      <c r="H3732" t="s">
        <v>8567</v>
      </c>
    </row>
    <row r="3733" spans="1:8" ht="30" x14ac:dyDescent="0.25">
      <c r="A3733" s="21" t="s">
        <v>8569</v>
      </c>
      <c r="B3733" s="25" t="s">
        <v>8571</v>
      </c>
      <c r="C3733" s="26"/>
      <c r="D3733" s="27"/>
      <c r="E3733" s="26"/>
      <c r="F3733" s="28"/>
      <c r="G3733" s="26"/>
      <c r="H3733" t="s">
        <v>8570</v>
      </c>
    </row>
    <row r="3734" spans="1:8" x14ac:dyDescent="0.25">
      <c r="A3734" s="21" t="s">
        <v>8572</v>
      </c>
      <c r="B3734" s="25" t="s">
        <v>8565</v>
      </c>
      <c r="C3734" s="26">
        <v>1</v>
      </c>
      <c r="D3734" s="27" t="s">
        <v>67</v>
      </c>
      <c r="E3734" s="26">
        <v>70420.5</v>
      </c>
      <c r="F3734" s="28" t="s">
        <v>8556</v>
      </c>
      <c r="G3734" s="26">
        <f>ROUND(C3734*E3734,0)</f>
        <v>70421</v>
      </c>
      <c r="H3734" t="s">
        <v>8573</v>
      </c>
    </row>
    <row r="3735" spans="1:8" ht="30" x14ac:dyDescent="0.25">
      <c r="A3735" s="21" t="s">
        <v>8574</v>
      </c>
      <c r="B3735" s="25" t="s">
        <v>8559</v>
      </c>
      <c r="C3735" s="26">
        <v>1</v>
      </c>
      <c r="D3735" s="27" t="s">
        <v>67</v>
      </c>
      <c r="E3735" s="26">
        <v>40545.15</v>
      </c>
      <c r="F3735" s="28" t="s">
        <v>8556</v>
      </c>
      <c r="G3735" s="26">
        <f>ROUND(C3735*E3735,0)</f>
        <v>40545</v>
      </c>
      <c r="H3735" t="s">
        <v>8575</v>
      </c>
    </row>
    <row r="3736" spans="1:8" ht="60" x14ac:dyDescent="0.25">
      <c r="A3736" s="21" t="s">
        <v>8576</v>
      </c>
      <c r="B3736" s="25" t="s">
        <v>8578</v>
      </c>
      <c r="C3736" s="26"/>
      <c r="D3736" s="27"/>
      <c r="E3736" s="26"/>
      <c r="F3736" s="28"/>
      <c r="G3736" s="26"/>
      <c r="H3736" t="s">
        <v>8577</v>
      </c>
    </row>
    <row r="3737" spans="1:8" x14ac:dyDescent="0.25">
      <c r="A3737" s="21" t="s">
        <v>8579</v>
      </c>
      <c r="B3737" s="25" t="s">
        <v>8580</v>
      </c>
      <c r="C3737" s="26"/>
      <c r="D3737" s="27"/>
      <c r="E3737" s="26"/>
      <c r="F3737" s="28"/>
      <c r="G3737" s="26"/>
      <c r="H3737" t="s">
        <v>8580</v>
      </c>
    </row>
    <row r="3738" spans="1:8" x14ac:dyDescent="0.25">
      <c r="A3738" s="21" t="s">
        <v>8581</v>
      </c>
      <c r="B3738" s="25" t="s">
        <v>8582</v>
      </c>
      <c r="C3738" s="26">
        <v>1</v>
      </c>
      <c r="D3738" s="27" t="s">
        <v>67</v>
      </c>
      <c r="E3738" s="26">
        <v>19632.400000000001</v>
      </c>
      <c r="F3738" s="28" t="s">
        <v>8556</v>
      </c>
      <c r="G3738" s="26">
        <f>ROUND(C3738*E3738,0)</f>
        <v>19632</v>
      </c>
      <c r="H3738" t="s">
        <v>8554</v>
      </c>
    </row>
    <row r="3739" spans="1:8" ht="30" x14ac:dyDescent="0.25">
      <c r="A3739" s="21" t="s">
        <v>8583</v>
      </c>
      <c r="B3739" s="25" t="s">
        <v>8584</v>
      </c>
      <c r="C3739" s="26">
        <v>1</v>
      </c>
      <c r="D3739" s="27" t="s">
        <v>67</v>
      </c>
      <c r="E3739" s="26">
        <v>32436.1</v>
      </c>
      <c r="F3739" s="28" t="s">
        <v>8556</v>
      </c>
      <c r="G3739" s="26">
        <f>ROUND(C3739*E3739,0)</f>
        <v>32436</v>
      </c>
      <c r="H3739" t="s">
        <v>8558</v>
      </c>
    </row>
    <row r="3740" spans="1:8" x14ac:dyDescent="0.25">
      <c r="A3740" s="21" t="s">
        <v>8585</v>
      </c>
      <c r="B3740" s="25" t="s">
        <v>8570</v>
      </c>
      <c r="C3740" s="26"/>
      <c r="D3740" s="27"/>
      <c r="E3740" s="26"/>
      <c r="F3740" s="28"/>
      <c r="G3740" s="26"/>
      <c r="H3740" t="s">
        <v>8586</v>
      </c>
    </row>
    <row r="3741" spans="1:8" x14ac:dyDescent="0.25">
      <c r="A3741" s="21" t="s">
        <v>8587</v>
      </c>
      <c r="B3741" s="25" t="s">
        <v>8589</v>
      </c>
      <c r="C3741" s="26">
        <v>1</v>
      </c>
      <c r="D3741" s="27" t="s">
        <v>67</v>
      </c>
      <c r="E3741" s="26">
        <v>40545.15</v>
      </c>
      <c r="F3741" s="28" t="s">
        <v>8556</v>
      </c>
      <c r="G3741" s="26">
        <f>ROUND(C3741*E3741,0)</f>
        <v>40545</v>
      </c>
      <c r="H3741" t="s">
        <v>8588</v>
      </c>
    </row>
    <row r="3742" spans="1:8" ht="45" x14ac:dyDescent="0.25">
      <c r="A3742" s="21" t="s">
        <v>8590</v>
      </c>
      <c r="B3742" s="25" t="s">
        <v>8592</v>
      </c>
      <c r="C3742" s="26"/>
      <c r="D3742" s="27"/>
      <c r="E3742" s="26"/>
      <c r="F3742" s="28"/>
      <c r="G3742" s="26"/>
      <c r="H3742" t="s">
        <v>8591</v>
      </c>
    </row>
    <row r="3743" spans="1:8" x14ac:dyDescent="0.25">
      <c r="A3743" s="21" t="s">
        <v>8593</v>
      </c>
      <c r="B3743" s="25" t="s">
        <v>8564</v>
      </c>
      <c r="C3743" s="26">
        <v>1</v>
      </c>
      <c r="D3743" s="27" t="s">
        <v>67</v>
      </c>
      <c r="E3743" s="26">
        <v>19632.400000000001</v>
      </c>
      <c r="F3743" s="28" t="s">
        <v>8556</v>
      </c>
      <c r="G3743" s="26">
        <f>ROUND(C3743*E3743,0)</f>
        <v>19632</v>
      </c>
      <c r="H3743" t="s">
        <v>8564</v>
      </c>
    </row>
    <row r="3744" spans="1:8" x14ac:dyDescent="0.25">
      <c r="A3744" s="21" t="s">
        <v>8594</v>
      </c>
      <c r="B3744" s="25" t="s">
        <v>8596</v>
      </c>
      <c r="C3744" s="26">
        <v>1</v>
      </c>
      <c r="D3744" s="27" t="s">
        <v>67</v>
      </c>
      <c r="E3744" s="26">
        <v>32862.9</v>
      </c>
      <c r="F3744" s="28" t="s">
        <v>8556</v>
      </c>
      <c r="G3744" s="26">
        <f>ROUND(C3744*E3744,0)</f>
        <v>32863</v>
      </c>
      <c r="H3744" t="s">
        <v>8595</v>
      </c>
    </row>
    <row r="3745" spans="1:8" ht="135" x14ac:dyDescent="0.25">
      <c r="A3745" s="21" t="s">
        <v>8597</v>
      </c>
      <c r="B3745" s="25" t="s">
        <v>8599</v>
      </c>
      <c r="C3745" s="26"/>
      <c r="D3745" s="27"/>
      <c r="E3745" s="26"/>
      <c r="F3745" s="28"/>
      <c r="G3745" s="26"/>
      <c r="H3745" t="s">
        <v>8598</v>
      </c>
    </row>
    <row r="3746" spans="1:8" ht="75" x14ac:dyDescent="0.25">
      <c r="A3746" s="21"/>
      <c r="B3746" s="25" t="s">
        <v>8600</v>
      </c>
      <c r="C3746" s="26">
        <v>1</v>
      </c>
      <c r="D3746" s="27" t="s">
        <v>67</v>
      </c>
      <c r="E3746" s="26">
        <v>1153.2</v>
      </c>
      <c r="F3746" s="28" t="s">
        <v>8556</v>
      </c>
      <c r="G3746" s="26">
        <f>ROUND(C3746*E3746,0)</f>
        <v>1153</v>
      </c>
    </row>
    <row r="3747" spans="1:8" x14ac:dyDescent="0.25">
      <c r="A3747" s="21"/>
      <c r="B3747" s="45" t="s">
        <v>8601</v>
      </c>
      <c r="C3747" s="45"/>
      <c r="D3747" s="45"/>
      <c r="E3747" s="45"/>
      <c r="F3747" s="45"/>
      <c r="G3747" s="29">
        <f>SUM(G3686:G3746)</f>
        <v>655287</v>
      </c>
    </row>
    <row r="3748" spans="1:8" x14ac:dyDescent="0.25">
      <c r="A3748" s="46" t="s">
        <v>8602</v>
      </c>
      <c r="B3748" s="47"/>
      <c r="C3748" s="47"/>
      <c r="D3748" s="47"/>
      <c r="E3748" s="47"/>
      <c r="F3748" s="47"/>
      <c r="G3748" s="47"/>
    </row>
    <row r="3749" spans="1:8" ht="270" x14ac:dyDescent="0.25">
      <c r="A3749" s="21" t="s">
        <v>8603</v>
      </c>
      <c r="B3749" s="25" t="s">
        <v>8605</v>
      </c>
      <c r="C3749" s="26"/>
      <c r="D3749" s="27"/>
      <c r="E3749" s="26"/>
      <c r="F3749" s="28"/>
      <c r="G3749" s="26"/>
      <c r="H3749" t="s">
        <v>8604</v>
      </c>
    </row>
    <row r="3750" spans="1:8" x14ac:dyDescent="0.25">
      <c r="A3750" s="21" t="s">
        <v>8606</v>
      </c>
      <c r="B3750" s="25" t="s">
        <v>8608</v>
      </c>
      <c r="C3750" s="26"/>
      <c r="D3750" s="27"/>
      <c r="E3750" s="26"/>
      <c r="F3750" s="28"/>
      <c r="G3750" s="26"/>
      <c r="H3750" t="s">
        <v>8607</v>
      </c>
    </row>
    <row r="3751" spans="1:8" ht="45" x14ac:dyDescent="0.25">
      <c r="A3751" s="21" t="s">
        <v>8609</v>
      </c>
      <c r="B3751" s="25" t="s">
        <v>8611</v>
      </c>
      <c r="C3751" s="26">
        <v>1</v>
      </c>
      <c r="D3751" s="27" t="s">
        <v>725</v>
      </c>
      <c r="E3751" s="26">
        <v>495.05</v>
      </c>
      <c r="F3751" s="28" t="s">
        <v>726</v>
      </c>
      <c r="G3751" s="26">
        <f>ROUND(C3751*E3751,0)</f>
        <v>495</v>
      </c>
      <c r="H3751" t="s">
        <v>8610</v>
      </c>
    </row>
    <row r="3752" spans="1:8" ht="30" x14ac:dyDescent="0.25">
      <c r="A3752" s="21" t="s">
        <v>8612</v>
      </c>
      <c r="B3752" s="25" t="s">
        <v>8614</v>
      </c>
      <c r="C3752" s="26">
        <v>1</v>
      </c>
      <c r="D3752" s="27" t="s">
        <v>725</v>
      </c>
      <c r="E3752" s="26">
        <v>530.9</v>
      </c>
      <c r="F3752" s="28" t="s">
        <v>726</v>
      </c>
      <c r="G3752" s="26">
        <f>ROUND(C3752*E3752,0)</f>
        <v>531</v>
      </c>
      <c r="H3752" t="s">
        <v>8613</v>
      </c>
    </row>
    <row r="3753" spans="1:8" ht="30" x14ac:dyDescent="0.25">
      <c r="A3753" s="21" t="s">
        <v>8615</v>
      </c>
      <c r="B3753" s="25" t="s">
        <v>8617</v>
      </c>
      <c r="C3753" s="26">
        <v>1</v>
      </c>
      <c r="D3753" s="27" t="s">
        <v>725</v>
      </c>
      <c r="E3753" s="26">
        <v>539.85</v>
      </c>
      <c r="F3753" s="28" t="s">
        <v>726</v>
      </c>
      <c r="G3753" s="26">
        <f>ROUND(C3753*E3753,0)</f>
        <v>540</v>
      </c>
      <c r="H3753" t="s">
        <v>8616</v>
      </c>
    </row>
    <row r="3754" spans="1:8" ht="90" x14ac:dyDescent="0.25">
      <c r="A3754" s="21" t="s">
        <v>8618</v>
      </c>
      <c r="B3754" s="25" t="s">
        <v>8620</v>
      </c>
      <c r="C3754" s="26"/>
      <c r="D3754" s="27"/>
      <c r="E3754" s="26"/>
      <c r="F3754" s="28"/>
      <c r="G3754" s="26"/>
      <c r="H3754" t="s">
        <v>8619</v>
      </c>
    </row>
    <row r="3755" spans="1:8" ht="45" x14ac:dyDescent="0.25">
      <c r="A3755" s="21" t="s">
        <v>8621</v>
      </c>
      <c r="B3755" s="25" t="s">
        <v>8611</v>
      </c>
      <c r="C3755" s="26">
        <v>1</v>
      </c>
      <c r="D3755" s="27" t="s">
        <v>725</v>
      </c>
      <c r="E3755" s="26">
        <v>598.6</v>
      </c>
      <c r="F3755" s="28" t="s">
        <v>726</v>
      </c>
      <c r="G3755" s="26">
        <f>ROUND(C3755*E3755,0)</f>
        <v>599</v>
      </c>
      <c r="H3755" t="s">
        <v>8622</v>
      </c>
    </row>
    <row r="3756" spans="1:8" ht="30" x14ac:dyDescent="0.25">
      <c r="A3756" s="21" t="s">
        <v>8623</v>
      </c>
      <c r="B3756" s="25" t="s">
        <v>8614</v>
      </c>
      <c r="C3756" s="26">
        <v>1</v>
      </c>
      <c r="D3756" s="27" t="s">
        <v>725</v>
      </c>
      <c r="E3756" s="26">
        <v>634.45000000000005</v>
      </c>
      <c r="F3756" s="28" t="s">
        <v>726</v>
      </c>
      <c r="G3756" s="26">
        <f>ROUND(C3756*E3756,0)</f>
        <v>634</v>
      </c>
      <c r="H3756" t="s">
        <v>8613</v>
      </c>
    </row>
    <row r="3757" spans="1:8" ht="30" x14ac:dyDescent="0.25">
      <c r="A3757" s="21" t="s">
        <v>8624</v>
      </c>
      <c r="B3757" s="25" t="s">
        <v>8617</v>
      </c>
      <c r="C3757" s="26">
        <v>1</v>
      </c>
      <c r="D3757" s="27" t="s">
        <v>725</v>
      </c>
      <c r="E3757" s="26">
        <v>643.45000000000005</v>
      </c>
      <c r="F3757" s="28" t="s">
        <v>726</v>
      </c>
      <c r="G3757" s="26">
        <f>ROUND(C3757*E3757,0)</f>
        <v>643</v>
      </c>
      <c r="H3757" t="s">
        <v>8616</v>
      </c>
    </row>
    <row r="3758" spans="1:8" ht="120" x14ac:dyDescent="0.25">
      <c r="A3758" s="21" t="s">
        <v>8625</v>
      </c>
      <c r="B3758" s="25" t="s">
        <v>8627</v>
      </c>
      <c r="C3758" s="26"/>
      <c r="D3758" s="27"/>
      <c r="E3758" s="26"/>
      <c r="F3758" s="28"/>
      <c r="G3758" s="26"/>
      <c r="H3758" t="s">
        <v>8626</v>
      </c>
    </row>
    <row r="3759" spans="1:8" ht="45" x14ac:dyDescent="0.25">
      <c r="A3759" s="21" t="s">
        <v>8628</v>
      </c>
      <c r="B3759" s="25" t="s">
        <v>8630</v>
      </c>
      <c r="C3759" s="26">
        <v>1</v>
      </c>
      <c r="D3759" s="27" t="s">
        <v>15</v>
      </c>
      <c r="E3759" s="26">
        <v>1139.3</v>
      </c>
      <c r="F3759" s="28" t="s">
        <v>16</v>
      </c>
      <c r="G3759" s="26">
        <f>ROUND(C3759*E3759,0)</f>
        <v>1139</v>
      </c>
      <c r="H3759" t="s">
        <v>8629</v>
      </c>
    </row>
    <row r="3760" spans="1:8" ht="30" x14ac:dyDescent="0.25">
      <c r="A3760" s="21" t="s">
        <v>8631</v>
      </c>
      <c r="B3760" s="25" t="s">
        <v>8633</v>
      </c>
      <c r="C3760" s="26">
        <v>1</v>
      </c>
      <c r="D3760" s="27" t="s">
        <v>15</v>
      </c>
      <c r="E3760" s="26">
        <v>1115.4000000000001</v>
      </c>
      <c r="F3760" s="28" t="s">
        <v>16</v>
      </c>
      <c r="G3760" s="26">
        <f>ROUND(C3760*E3760,0)</f>
        <v>1115</v>
      </c>
      <c r="H3760" t="s">
        <v>8632</v>
      </c>
    </row>
    <row r="3761" spans="1:8" ht="105" x14ac:dyDescent="0.25">
      <c r="A3761" s="21" t="s">
        <v>8634</v>
      </c>
      <c r="B3761" s="25" t="s">
        <v>8636</v>
      </c>
      <c r="C3761" s="26"/>
      <c r="D3761" s="27"/>
      <c r="E3761" s="26"/>
      <c r="F3761" s="28"/>
      <c r="G3761" s="26"/>
      <c r="H3761" t="s">
        <v>8635</v>
      </c>
    </row>
    <row r="3762" spans="1:8" ht="30" x14ac:dyDescent="0.25">
      <c r="A3762" s="21" t="s">
        <v>8637</v>
      </c>
      <c r="B3762" s="25" t="s">
        <v>8639</v>
      </c>
      <c r="C3762" s="26">
        <v>1</v>
      </c>
      <c r="D3762" s="27" t="s">
        <v>15</v>
      </c>
      <c r="E3762" s="26">
        <v>1176.8</v>
      </c>
      <c r="F3762" s="28" t="s">
        <v>16</v>
      </c>
      <c r="G3762" s="26">
        <f>ROUND(C3762*E3762,0)</f>
        <v>1177</v>
      </c>
      <c r="H3762" t="s">
        <v>8638</v>
      </c>
    </row>
    <row r="3763" spans="1:8" ht="30" x14ac:dyDescent="0.25">
      <c r="A3763" s="21" t="s">
        <v>8640</v>
      </c>
      <c r="B3763" s="25" t="s">
        <v>8642</v>
      </c>
      <c r="C3763" s="26">
        <v>1</v>
      </c>
      <c r="D3763" s="27" t="s">
        <v>15</v>
      </c>
      <c r="E3763" s="26">
        <v>1505.25</v>
      </c>
      <c r="F3763" s="28" t="s">
        <v>16</v>
      </c>
      <c r="G3763" s="26">
        <f>ROUND(C3763*E3763,0)</f>
        <v>1505</v>
      </c>
      <c r="H3763" t="s">
        <v>8641</v>
      </c>
    </row>
    <row r="3764" spans="1:8" ht="30" x14ac:dyDescent="0.25">
      <c r="A3764" s="21" t="s">
        <v>8643</v>
      </c>
      <c r="B3764" s="25" t="s">
        <v>8645</v>
      </c>
      <c r="C3764" s="26">
        <v>1</v>
      </c>
      <c r="D3764" s="27" t="s">
        <v>15</v>
      </c>
      <c r="E3764" s="26">
        <v>1685.4</v>
      </c>
      <c r="F3764" s="28" t="s">
        <v>16</v>
      </c>
      <c r="G3764" s="26">
        <f>ROUND(C3764*E3764,0)</f>
        <v>1685</v>
      </c>
      <c r="H3764" t="s">
        <v>8644</v>
      </c>
    </row>
    <row r="3765" spans="1:8" ht="180" x14ac:dyDescent="0.25">
      <c r="A3765" s="21" t="s">
        <v>8646</v>
      </c>
      <c r="B3765" s="25" t="s">
        <v>8648</v>
      </c>
      <c r="C3765" s="26"/>
      <c r="D3765" s="27"/>
      <c r="E3765" s="26"/>
      <c r="F3765" s="28"/>
      <c r="G3765" s="26"/>
      <c r="H3765" t="s">
        <v>8647</v>
      </c>
    </row>
    <row r="3766" spans="1:8" ht="30" x14ac:dyDescent="0.25">
      <c r="A3766" s="21" t="s">
        <v>8649</v>
      </c>
      <c r="B3766" s="25" t="s">
        <v>8651</v>
      </c>
      <c r="C3766" s="26">
        <v>1</v>
      </c>
      <c r="D3766" s="27" t="s">
        <v>201</v>
      </c>
      <c r="E3766" s="26">
        <v>2823.85</v>
      </c>
      <c r="F3766" s="28" t="s">
        <v>202</v>
      </c>
      <c r="G3766" s="26">
        <f>ROUND(C3766*E3766,0)</f>
        <v>2824</v>
      </c>
      <c r="H3766" t="s">
        <v>8650</v>
      </c>
    </row>
    <row r="3767" spans="1:8" ht="30" x14ac:dyDescent="0.25">
      <c r="A3767" s="21" t="s">
        <v>8652</v>
      </c>
      <c r="B3767" s="25" t="s">
        <v>8654</v>
      </c>
      <c r="C3767" s="26">
        <v>1</v>
      </c>
      <c r="D3767" s="27" t="s">
        <v>201</v>
      </c>
      <c r="E3767" s="26">
        <v>2966.1</v>
      </c>
      <c r="F3767" s="28" t="s">
        <v>202</v>
      </c>
      <c r="G3767" s="26">
        <f>ROUND(C3767*E3767,0)</f>
        <v>2966</v>
      </c>
      <c r="H3767" t="s">
        <v>8653</v>
      </c>
    </row>
    <row r="3768" spans="1:8" ht="225" x14ac:dyDescent="0.25">
      <c r="A3768" s="21" t="s">
        <v>8655</v>
      </c>
      <c r="B3768" s="25" t="s">
        <v>8657</v>
      </c>
      <c r="C3768" s="26">
        <v>1</v>
      </c>
      <c r="D3768" s="27" t="s">
        <v>725</v>
      </c>
      <c r="E3768" s="26">
        <v>817.15</v>
      </c>
      <c r="F3768" s="28" t="s">
        <v>726</v>
      </c>
      <c r="G3768" s="26">
        <f>ROUND(C3768*E3768,0)</f>
        <v>817</v>
      </c>
      <c r="H3768" t="s">
        <v>8656</v>
      </c>
    </row>
    <row r="3769" spans="1:8" ht="105" x14ac:dyDescent="0.25">
      <c r="A3769" s="21" t="s">
        <v>8658</v>
      </c>
      <c r="B3769" s="25" t="s">
        <v>8660</v>
      </c>
      <c r="C3769" s="26">
        <v>1</v>
      </c>
      <c r="D3769" s="27" t="s">
        <v>201</v>
      </c>
      <c r="E3769" s="26">
        <v>82.45</v>
      </c>
      <c r="F3769" s="28" t="s">
        <v>202</v>
      </c>
      <c r="G3769" s="26">
        <f>ROUND(C3769*E3769,0)</f>
        <v>82</v>
      </c>
      <c r="H3769" t="s">
        <v>8659</v>
      </c>
    </row>
    <row r="3770" spans="1:8" ht="210" x14ac:dyDescent="0.25">
      <c r="A3770" s="21" t="s">
        <v>8661</v>
      </c>
      <c r="B3770" s="25" t="s">
        <v>8663</v>
      </c>
      <c r="C3770" s="26"/>
      <c r="D3770" s="27"/>
      <c r="E3770" s="26"/>
      <c r="F3770" s="28"/>
      <c r="G3770" s="26"/>
      <c r="H3770" t="s">
        <v>8662</v>
      </c>
    </row>
    <row r="3771" spans="1:8" ht="60" x14ac:dyDescent="0.25">
      <c r="A3771" s="21" t="s">
        <v>8664</v>
      </c>
      <c r="B3771" s="25" t="s">
        <v>8666</v>
      </c>
      <c r="C3771" s="26">
        <v>1</v>
      </c>
      <c r="D3771" s="27" t="s">
        <v>725</v>
      </c>
      <c r="E3771" s="26">
        <v>680.55</v>
      </c>
      <c r="F3771" s="28" t="s">
        <v>726</v>
      </c>
      <c r="G3771" s="26">
        <f>ROUND(C3771*E3771,0)</f>
        <v>681</v>
      </c>
      <c r="H3771" t="s">
        <v>8665</v>
      </c>
    </row>
    <row r="3772" spans="1:8" ht="45" x14ac:dyDescent="0.25">
      <c r="A3772" s="21" t="s">
        <v>8667</v>
      </c>
      <c r="B3772" s="25" t="s">
        <v>8669</v>
      </c>
      <c r="C3772" s="26">
        <v>1</v>
      </c>
      <c r="D3772" s="27" t="s">
        <v>725</v>
      </c>
      <c r="E3772" s="26">
        <v>716.4</v>
      </c>
      <c r="F3772" s="28" t="s">
        <v>726</v>
      </c>
      <c r="G3772" s="26">
        <f>ROUND(C3772*E3772,0)</f>
        <v>716</v>
      </c>
      <c r="H3772" t="s">
        <v>8668</v>
      </c>
    </row>
    <row r="3773" spans="1:8" ht="75" x14ac:dyDescent="0.25">
      <c r="A3773" s="21" t="s">
        <v>8670</v>
      </c>
      <c r="B3773" s="25" t="s">
        <v>8672</v>
      </c>
      <c r="C3773" s="26"/>
      <c r="D3773" s="27"/>
      <c r="E3773" s="26"/>
      <c r="F3773" s="28"/>
      <c r="G3773" s="26"/>
      <c r="H3773" t="s">
        <v>8671</v>
      </c>
    </row>
    <row r="3774" spans="1:8" ht="45" x14ac:dyDescent="0.25">
      <c r="A3774" s="21" t="s">
        <v>8673</v>
      </c>
      <c r="B3774" s="25" t="s">
        <v>8675</v>
      </c>
      <c r="C3774" s="26">
        <v>1</v>
      </c>
      <c r="D3774" s="27" t="s">
        <v>110</v>
      </c>
      <c r="E3774" s="26">
        <v>96.75</v>
      </c>
      <c r="F3774" s="28" t="s">
        <v>618</v>
      </c>
      <c r="G3774" s="26">
        <f>ROUND(C3774*E3774,0)</f>
        <v>97</v>
      </c>
      <c r="H3774" t="s">
        <v>8674</v>
      </c>
    </row>
    <row r="3775" spans="1:8" ht="30" x14ac:dyDescent="0.25">
      <c r="A3775" s="21" t="s">
        <v>8676</v>
      </c>
      <c r="B3775" s="25" t="s">
        <v>8678</v>
      </c>
      <c r="C3775" s="26"/>
      <c r="D3775" s="27"/>
      <c r="E3775" s="26"/>
      <c r="F3775" s="28"/>
      <c r="G3775" s="26"/>
      <c r="H3775" t="s">
        <v>8677</v>
      </c>
    </row>
    <row r="3776" spans="1:8" ht="30" x14ac:dyDescent="0.25">
      <c r="A3776" s="21" t="s">
        <v>8679</v>
      </c>
      <c r="B3776" s="25" t="s">
        <v>8608</v>
      </c>
      <c r="C3776" s="26">
        <v>1</v>
      </c>
      <c r="D3776" s="27" t="s">
        <v>725</v>
      </c>
      <c r="E3776" s="26">
        <v>12.8</v>
      </c>
      <c r="F3776" s="28" t="s">
        <v>726</v>
      </c>
      <c r="G3776" s="26">
        <f>ROUND(C3776*E3776,0)</f>
        <v>13</v>
      </c>
      <c r="H3776" t="s">
        <v>8680</v>
      </c>
    </row>
    <row r="3777" spans="1:8" ht="30" x14ac:dyDescent="0.25">
      <c r="A3777" s="21" t="s">
        <v>8681</v>
      </c>
      <c r="B3777" s="25" t="s">
        <v>8683</v>
      </c>
      <c r="C3777" s="26">
        <v>1</v>
      </c>
      <c r="D3777" s="27" t="s">
        <v>725</v>
      </c>
      <c r="E3777" s="26">
        <v>12.8</v>
      </c>
      <c r="F3777" s="28" t="s">
        <v>726</v>
      </c>
      <c r="G3777" s="26">
        <f>ROUND(C3777*E3777,0)</f>
        <v>13</v>
      </c>
      <c r="H3777" t="s">
        <v>8682</v>
      </c>
    </row>
    <row r="3778" spans="1:8" ht="135" x14ac:dyDescent="0.25">
      <c r="A3778" s="21" t="s">
        <v>8684</v>
      </c>
      <c r="B3778" s="25" t="s">
        <v>8686</v>
      </c>
      <c r="C3778" s="26">
        <v>1</v>
      </c>
      <c r="D3778" s="27" t="s">
        <v>15</v>
      </c>
      <c r="E3778" s="26">
        <v>4997.7</v>
      </c>
      <c r="F3778" s="28" t="s">
        <v>16</v>
      </c>
      <c r="G3778" s="26">
        <f>ROUND(C3778*E3778,0)</f>
        <v>4998</v>
      </c>
      <c r="H3778" t="s">
        <v>8685</v>
      </c>
    </row>
    <row r="3779" spans="1:8" ht="75" x14ac:dyDescent="0.25">
      <c r="A3779" s="21" t="s">
        <v>8687</v>
      </c>
      <c r="B3779" s="25" t="s">
        <v>8689</v>
      </c>
      <c r="C3779" s="26"/>
      <c r="D3779" s="27"/>
      <c r="E3779" s="26"/>
      <c r="F3779" s="28"/>
      <c r="G3779" s="26"/>
      <c r="H3779" t="s">
        <v>8688</v>
      </c>
    </row>
    <row r="3780" spans="1:8" x14ac:dyDescent="0.25">
      <c r="A3780" s="21" t="s">
        <v>8690</v>
      </c>
      <c r="B3780" s="25" t="s">
        <v>8692</v>
      </c>
      <c r="C3780" s="26">
        <v>1</v>
      </c>
      <c r="D3780" s="27" t="s">
        <v>201</v>
      </c>
      <c r="E3780" s="26">
        <v>344.3</v>
      </c>
      <c r="F3780" s="28" t="s">
        <v>202</v>
      </c>
      <c r="G3780" s="26">
        <f>ROUND(C3780*E3780,0)</f>
        <v>344</v>
      </c>
      <c r="H3780" t="s">
        <v>8691</v>
      </c>
    </row>
    <row r="3781" spans="1:8" x14ac:dyDescent="0.25">
      <c r="A3781" s="21" t="s">
        <v>8693</v>
      </c>
      <c r="B3781" s="25" t="s">
        <v>8695</v>
      </c>
      <c r="C3781" s="26">
        <v>1</v>
      </c>
      <c r="D3781" s="27" t="s">
        <v>201</v>
      </c>
      <c r="E3781" s="26">
        <v>387</v>
      </c>
      <c r="F3781" s="28" t="s">
        <v>202</v>
      </c>
      <c r="G3781" s="26">
        <f>ROUND(C3781*E3781,0)</f>
        <v>387</v>
      </c>
      <c r="H3781" t="s">
        <v>8694</v>
      </c>
    </row>
    <row r="3782" spans="1:8" x14ac:dyDescent="0.25">
      <c r="A3782" s="21" t="s">
        <v>8696</v>
      </c>
      <c r="B3782" s="25" t="s">
        <v>8698</v>
      </c>
      <c r="C3782" s="26">
        <v>1</v>
      </c>
      <c r="D3782" s="27" t="s">
        <v>201</v>
      </c>
      <c r="E3782" s="26">
        <v>325.8</v>
      </c>
      <c r="F3782" s="28" t="s">
        <v>202</v>
      </c>
      <c r="G3782" s="26">
        <f>ROUND(C3782*E3782,0)</f>
        <v>326</v>
      </c>
      <c r="H3782" t="s">
        <v>8697</v>
      </c>
    </row>
    <row r="3783" spans="1:8" x14ac:dyDescent="0.25">
      <c r="A3783" s="21" t="s">
        <v>8699</v>
      </c>
      <c r="B3783" s="25" t="s">
        <v>8701</v>
      </c>
      <c r="C3783" s="26">
        <v>1</v>
      </c>
      <c r="D3783" s="27" t="s">
        <v>201</v>
      </c>
      <c r="E3783" s="26">
        <v>802.4</v>
      </c>
      <c r="F3783" s="28" t="s">
        <v>202</v>
      </c>
      <c r="G3783" s="26">
        <f>ROUND(C3783*E3783,0)</f>
        <v>802</v>
      </c>
      <c r="H3783" t="s">
        <v>8700</v>
      </c>
    </row>
    <row r="3784" spans="1:8" x14ac:dyDescent="0.25">
      <c r="A3784" s="21" t="s">
        <v>8702</v>
      </c>
      <c r="B3784" s="25" t="s">
        <v>8704</v>
      </c>
      <c r="C3784" s="26">
        <v>1</v>
      </c>
      <c r="D3784" s="27" t="s">
        <v>201</v>
      </c>
      <c r="E3784" s="26">
        <v>1478.15</v>
      </c>
      <c r="F3784" s="28" t="s">
        <v>202</v>
      </c>
      <c r="G3784" s="26">
        <f>ROUND(C3784*E3784,0)</f>
        <v>1478</v>
      </c>
      <c r="H3784" t="s">
        <v>8703</v>
      </c>
    </row>
    <row r="3785" spans="1:8" ht="60" x14ac:dyDescent="0.25">
      <c r="A3785" s="21" t="s">
        <v>8705</v>
      </c>
      <c r="B3785" s="25" t="s">
        <v>8707</v>
      </c>
      <c r="C3785" s="26"/>
      <c r="D3785" s="27"/>
      <c r="E3785" s="26"/>
      <c r="F3785" s="28"/>
      <c r="G3785" s="26"/>
      <c r="H3785" t="s">
        <v>8706</v>
      </c>
    </row>
    <row r="3786" spans="1:8" x14ac:dyDescent="0.25">
      <c r="A3786" s="21" t="s">
        <v>8708</v>
      </c>
      <c r="B3786" s="25" t="s">
        <v>8710</v>
      </c>
      <c r="C3786" s="26">
        <v>1</v>
      </c>
      <c r="D3786" s="27" t="s">
        <v>201</v>
      </c>
      <c r="E3786" s="26">
        <v>575.75</v>
      </c>
      <c r="F3786" s="28" t="s">
        <v>202</v>
      </c>
      <c r="G3786" s="26">
        <f>ROUND(C3786*E3786,0)</f>
        <v>576</v>
      </c>
      <c r="H3786" t="s">
        <v>8709</v>
      </c>
    </row>
    <row r="3787" spans="1:8" ht="30" x14ac:dyDescent="0.25">
      <c r="A3787" s="21" t="s">
        <v>8711</v>
      </c>
      <c r="B3787" s="25" t="s">
        <v>8713</v>
      </c>
      <c r="C3787" s="26">
        <v>1</v>
      </c>
      <c r="D3787" s="27" t="s">
        <v>201</v>
      </c>
      <c r="E3787" s="26">
        <v>631.54999999999995</v>
      </c>
      <c r="F3787" s="28" t="s">
        <v>202</v>
      </c>
      <c r="G3787" s="26">
        <f>ROUND(C3787*E3787,0)</f>
        <v>632</v>
      </c>
      <c r="H3787" t="s">
        <v>8712</v>
      </c>
    </row>
    <row r="3788" spans="1:8" ht="30" x14ac:dyDescent="0.25">
      <c r="A3788" s="21" t="s">
        <v>8714</v>
      </c>
      <c r="B3788" s="25" t="s">
        <v>8716</v>
      </c>
      <c r="C3788" s="26">
        <v>1</v>
      </c>
      <c r="D3788" s="27" t="s">
        <v>201</v>
      </c>
      <c r="E3788" s="26">
        <v>645.5</v>
      </c>
      <c r="F3788" s="28" t="s">
        <v>202</v>
      </c>
      <c r="G3788" s="26">
        <f>ROUND(C3788*E3788,0)</f>
        <v>646</v>
      </c>
      <c r="H3788" t="s">
        <v>8715</v>
      </c>
    </row>
    <row r="3789" spans="1:8" ht="75" x14ac:dyDescent="0.25">
      <c r="A3789" s="21" t="s">
        <v>8717</v>
      </c>
      <c r="B3789" s="25" t="s">
        <v>8719</v>
      </c>
      <c r="C3789" s="26">
        <v>1</v>
      </c>
      <c r="D3789" s="27" t="s">
        <v>201</v>
      </c>
      <c r="E3789" s="26">
        <v>528.85</v>
      </c>
      <c r="F3789" s="28" t="s">
        <v>202</v>
      </c>
      <c r="G3789" s="26">
        <f>ROUND(C3789*E3789,0)</f>
        <v>529</v>
      </c>
      <c r="H3789" t="s">
        <v>8718</v>
      </c>
    </row>
    <row r="3790" spans="1:8" ht="135" x14ac:dyDescent="0.25">
      <c r="A3790" s="21" t="s">
        <v>8720</v>
      </c>
      <c r="B3790" s="25" t="s">
        <v>8722</v>
      </c>
      <c r="C3790" s="26">
        <v>1</v>
      </c>
      <c r="D3790" s="27" t="s">
        <v>725</v>
      </c>
      <c r="E3790" s="26">
        <v>402.8</v>
      </c>
      <c r="F3790" s="28" t="s">
        <v>726</v>
      </c>
      <c r="G3790" s="26">
        <f>ROUND(C3790*E3790,0)</f>
        <v>403</v>
      </c>
      <c r="H3790" t="s">
        <v>8721</v>
      </c>
    </row>
    <row r="3791" spans="1:8" ht="60" x14ac:dyDescent="0.25">
      <c r="A3791" s="21" t="s">
        <v>8723</v>
      </c>
      <c r="B3791" s="25" t="s">
        <v>8725</v>
      </c>
      <c r="C3791" s="26"/>
      <c r="D3791" s="27"/>
      <c r="E3791" s="26"/>
      <c r="F3791" s="28"/>
      <c r="G3791" s="26"/>
      <c r="H3791" t="s">
        <v>8724</v>
      </c>
    </row>
    <row r="3792" spans="1:8" x14ac:dyDescent="0.25">
      <c r="A3792" s="21" t="s">
        <v>8726</v>
      </c>
      <c r="B3792" s="25" t="s">
        <v>8728</v>
      </c>
      <c r="C3792" s="26">
        <v>1</v>
      </c>
      <c r="D3792" s="27" t="s">
        <v>201</v>
      </c>
      <c r="E3792" s="26">
        <v>89.4</v>
      </c>
      <c r="F3792" s="28" t="s">
        <v>202</v>
      </c>
      <c r="G3792" s="26">
        <f>ROUND(C3792*E3792,0)</f>
        <v>89</v>
      </c>
      <c r="H3792" t="s">
        <v>8727</v>
      </c>
    </row>
    <row r="3793" spans="1:8" ht="30" x14ac:dyDescent="0.25">
      <c r="A3793" s="21" t="s">
        <v>8729</v>
      </c>
      <c r="B3793" s="25" t="s">
        <v>8731</v>
      </c>
      <c r="C3793" s="26">
        <v>1</v>
      </c>
      <c r="D3793" s="27" t="s">
        <v>201</v>
      </c>
      <c r="E3793" s="26">
        <v>97.95</v>
      </c>
      <c r="F3793" s="28" t="s">
        <v>202</v>
      </c>
      <c r="G3793" s="26">
        <f>ROUND(C3793*E3793,0)</f>
        <v>98</v>
      </c>
      <c r="H3793" t="s">
        <v>8730</v>
      </c>
    </row>
    <row r="3794" spans="1:8" ht="30" x14ac:dyDescent="0.25">
      <c r="A3794" s="21" t="s">
        <v>8732</v>
      </c>
      <c r="B3794" s="25" t="s">
        <v>8734</v>
      </c>
      <c r="C3794" s="26">
        <v>1</v>
      </c>
      <c r="D3794" s="27" t="s">
        <v>201</v>
      </c>
      <c r="E3794" s="26">
        <v>95.1</v>
      </c>
      <c r="F3794" s="28" t="s">
        <v>202</v>
      </c>
      <c r="G3794" s="26">
        <f>ROUND(C3794*E3794,0)</f>
        <v>95</v>
      </c>
      <c r="H3794" t="s">
        <v>8733</v>
      </c>
    </row>
    <row r="3795" spans="1:8" ht="45" x14ac:dyDescent="0.25">
      <c r="A3795" s="21" t="s">
        <v>8735</v>
      </c>
      <c r="B3795" s="25" t="s">
        <v>8737</v>
      </c>
      <c r="C3795" s="26"/>
      <c r="D3795" s="27"/>
      <c r="E3795" s="26"/>
      <c r="F3795" s="28"/>
      <c r="G3795" s="26"/>
      <c r="H3795" t="s">
        <v>8736</v>
      </c>
    </row>
    <row r="3796" spans="1:8" x14ac:dyDescent="0.25">
      <c r="A3796" s="21" t="s">
        <v>8738</v>
      </c>
      <c r="B3796" s="25" t="s">
        <v>8739</v>
      </c>
      <c r="C3796" s="26">
        <v>1</v>
      </c>
      <c r="D3796" s="27" t="s">
        <v>201</v>
      </c>
      <c r="E3796" s="26">
        <v>107.9</v>
      </c>
      <c r="F3796" s="28" t="s">
        <v>202</v>
      </c>
      <c r="G3796" s="26">
        <f>ROUND(C3796*E3796,0)</f>
        <v>108</v>
      </c>
      <c r="H3796" t="s">
        <v>8727</v>
      </c>
    </row>
    <row r="3797" spans="1:8" ht="30" x14ac:dyDescent="0.25">
      <c r="A3797" s="21" t="s">
        <v>8740</v>
      </c>
      <c r="B3797" s="25" t="s">
        <v>8741</v>
      </c>
      <c r="C3797" s="26">
        <v>1</v>
      </c>
      <c r="D3797" s="27" t="s">
        <v>201</v>
      </c>
      <c r="E3797" s="26">
        <v>109.3</v>
      </c>
      <c r="F3797" s="28" t="s">
        <v>202</v>
      </c>
      <c r="G3797" s="26">
        <f>ROUND(C3797*E3797,0)</f>
        <v>109</v>
      </c>
      <c r="H3797" t="s">
        <v>8730</v>
      </c>
    </row>
    <row r="3798" spans="1:8" ht="30" x14ac:dyDescent="0.25">
      <c r="A3798" s="21" t="s">
        <v>8742</v>
      </c>
      <c r="B3798" s="25" t="s">
        <v>8734</v>
      </c>
      <c r="C3798" s="26">
        <v>1</v>
      </c>
      <c r="D3798" s="27" t="s">
        <v>201</v>
      </c>
      <c r="E3798" s="26">
        <v>112.15</v>
      </c>
      <c r="F3798" s="28" t="s">
        <v>202</v>
      </c>
      <c r="G3798" s="26">
        <f>ROUND(C3798*E3798,0)</f>
        <v>112</v>
      </c>
      <c r="H3798" t="s">
        <v>8733</v>
      </c>
    </row>
    <row r="3799" spans="1:8" ht="210" x14ac:dyDescent="0.25">
      <c r="A3799" s="21" t="s">
        <v>8743</v>
      </c>
      <c r="B3799" s="25" t="s">
        <v>8745</v>
      </c>
      <c r="C3799" s="26">
        <v>1</v>
      </c>
      <c r="D3799" s="27" t="s">
        <v>725</v>
      </c>
      <c r="E3799" s="26">
        <v>638.35</v>
      </c>
      <c r="F3799" s="28" t="s">
        <v>726</v>
      </c>
      <c r="G3799" s="26">
        <f>ROUND(C3799*E3799,0)</f>
        <v>638</v>
      </c>
      <c r="H3799" t="s">
        <v>8744</v>
      </c>
    </row>
    <row r="3800" spans="1:8" ht="135" x14ac:dyDescent="0.25">
      <c r="A3800" s="21" t="s">
        <v>8746</v>
      </c>
      <c r="B3800" s="25" t="s">
        <v>8748</v>
      </c>
      <c r="C3800" s="26">
        <v>1</v>
      </c>
      <c r="D3800" s="27" t="s">
        <v>15</v>
      </c>
      <c r="E3800" s="26">
        <v>5325.9</v>
      </c>
      <c r="F3800" s="28" t="s">
        <v>16</v>
      </c>
      <c r="G3800" s="26">
        <f>ROUND(C3800*E3800,0)</f>
        <v>5326</v>
      </c>
      <c r="H3800" t="s">
        <v>8747</v>
      </c>
    </row>
    <row r="3801" spans="1:8" ht="120" x14ac:dyDescent="0.25">
      <c r="A3801" s="21" t="s">
        <v>8749</v>
      </c>
      <c r="B3801" s="25" t="s">
        <v>8751</v>
      </c>
      <c r="C3801" s="26"/>
      <c r="D3801" s="27"/>
      <c r="E3801" s="26"/>
      <c r="F3801" s="28"/>
      <c r="G3801" s="26"/>
      <c r="H3801" t="s">
        <v>8750</v>
      </c>
    </row>
    <row r="3802" spans="1:8" ht="45" x14ac:dyDescent="0.25">
      <c r="A3802" s="21" t="s">
        <v>8752</v>
      </c>
      <c r="B3802" s="25" t="s">
        <v>8675</v>
      </c>
      <c r="C3802" s="26">
        <v>1</v>
      </c>
      <c r="D3802" s="27" t="s">
        <v>110</v>
      </c>
      <c r="E3802" s="26">
        <v>148.1</v>
      </c>
      <c r="F3802" s="28" t="s">
        <v>618</v>
      </c>
      <c r="G3802" s="26">
        <f>ROUND(C3802*E3802,0)</f>
        <v>148</v>
      </c>
      <c r="H3802" t="s">
        <v>8675</v>
      </c>
    </row>
    <row r="3803" spans="1:8" ht="45" x14ac:dyDescent="0.25">
      <c r="A3803" s="21" t="s">
        <v>8753</v>
      </c>
      <c r="B3803" s="25" t="s">
        <v>8754</v>
      </c>
      <c r="C3803" s="26">
        <v>1</v>
      </c>
      <c r="D3803" s="27" t="s">
        <v>110</v>
      </c>
      <c r="E3803" s="26">
        <v>200.95</v>
      </c>
      <c r="F3803" s="28" t="s">
        <v>618</v>
      </c>
      <c r="G3803" s="26">
        <f>ROUND(C3803*E3803,0)</f>
        <v>201</v>
      </c>
      <c r="H3803" t="s">
        <v>8754</v>
      </c>
    </row>
    <row r="3804" spans="1:8" ht="45" x14ac:dyDescent="0.25">
      <c r="A3804" s="21" t="s">
        <v>8755</v>
      </c>
      <c r="B3804" s="25" t="s">
        <v>8756</v>
      </c>
      <c r="C3804" s="26">
        <v>1</v>
      </c>
      <c r="D3804" s="27" t="s">
        <v>110</v>
      </c>
      <c r="E3804" s="26">
        <v>363.2</v>
      </c>
      <c r="F3804" s="28" t="s">
        <v>618</v>
      </c>
      <c r="G3804" s="26">
        <f>ROUND(C3804*E3804,0)</f>
        <v>363</v>
      </c>
      <c r="H3804" t="s">
        <v>8756</v>
      </c>
    </row>
    <row r="3805" spans="1:8" x14ac:dyDescent="0.25">
      <c r="A3805" s="21"/>
      <c r="B3805" s="45" t="s">
        <v>8757</v>
      </c>
      <c r="C3805" s="45"/>
      <c r="D3805" s="45"/>
      <c r="E3805" s="45"/>
      <c r="F3805" s="45"/>
      <c r="G3805" s="29">
        <f>SUM(G3749:G3804)</f>
        <v>36680</v>
      </c>
    </row>
    <row r="3806" spans="1:8" x14ac:dyDescent="0.25">
      <c r="A3806" s="46" t="s">
        <v>8758</v>
      </c>
      <c r="B3806" s="47"/>
      <c r="C3806" s="47"/>
      <c r="D3806" s="47"/>
      <c r="E3806" s="47"/>
      <c r="F3806" s="47"/>
      <c r="G3806" s="47"/>
    </row>
    <row r="3807" spans="1:8" ht="75" x14ac:dyDescent="0.25">
      <c r="A3807" s="21" t="s">
        <v>8759</v>
      </c>
      <c r="B3807" s="25" t="s">
        <v>8761</v>
      </c>
      <c r="C3807" s="26"/>
      <c r="D3807" s="27"/>
      <c r="E3807" s="26"/>
      <c r="F3807" s="28"/>
      <c r="G3807" s="26"/>
      <c r="H3807" t="s">
        <v>8760</v>
      </c>
    </row>
    <row r="3808" spans="1:8" ht="165" x14ac:dyDescent="0.25">
      <c r="A3808" s="21"/>
      <c r="B3808" s="25" t="s">
        <v>8762</v>
      </c>
      <c r="C3808" s="26"/>
      <c r="D3808" s="27"/>
      <c r="E3808" s="26"/>
      <c r="F3808" s="28"/>
      <c r="G3808" s="26"/>
    </row>
    <row r="3809" spans="1:8" ht="60" x14ac:dyDescent="0.25">
      <c r="A3809" s="21"/>
      <c r="B3809" s="25" t="s">
        <v>8763</v>
      </c>
      <c r="C3809" s="26"/>
      <c r="D3809" s="27"/>
      <c r="E3809" s="26"/>
      <c r="F3809" s="28"/>
      <c r="G3809" s="26"/>
    </row>
    <row r="3810" spans="1:8" ht="45" x14ac:dyDescent="0.25">
      <c r="A3810" s="21"/>
      <c r="B3810" s="25" t="s">
        <v>8764</v>
      </c>
      <c r="C3810" s="26"/>
      <c r="D3810" s="27"/>
      <c r="E3810" s="26"/>
      <c r="F3810" s="28"/>
      <c r="G3810" s="26"/>
    </row>
    <row r="3811" spans="1:8" ht="30" x14ac:dyDescent="0.25">
      <c r="A3811" s="21" t="s">
        <v>8765</v>
      </c>
      <c r="B3811" s="25" t="s">
        <v>8766</v>
      </c>
      <c r="C3811" s="26">
        <v>1</v>
      </c>
      <c r="D3811" s="27" t="s">
        <v>15</v>
      </c>
      <c r="E3811" s="26">
        <v>1515.6</v>
      </c>
      <c r="F3811" s="28" t="s">
        <v>16</v>
      </c>
      <c r="G3811" s="26">
        <f>ROUND(C3811*E3811,0)</f>
        <v>1516</v>
      </c>
      <c r="H3811" t="s">
        <v>8766</v>
      </c>
    </row>
    <row r="3812" spans="1:8" ht="225" x14ac:dyDescent="0.25">
      <c r="A3812" s="21" t="s">
        <v>8767</v>
      </c>
      <c r="B3812" s="25" t="s">
        <v>8769</v>
      </c>
      <c r="C3812" s="26"/>
      <c r="D3812" s="27"/>
      <c r="E3812" s="26"/>
      <c r="F3812" s="28"/>
      <c r="G3812" s="26"/>
      <c r="H3812" t="s">
        <v>8768</v>
      </c>
    </row>
    <row r="3813" spans="1:8" ht="30" x14ac:dyDescent="0.25">
      <c r="A3813" s="21" t="s">
        <v>8770</v>
      </c>
      <c r="B3813" s="25" t="s">
        <v>8771</v>
      </c>
      <c r="C3813" s="26">
        <v>1</v>
      </c>
      <c r="D3813" s="27" t="s">
        <v>15</v>
      </c>
      <c r="E3813" s="26">
        <v>2024.7</v>
      </c>
      <c r="F3813" s="28" t="s">
        <v>16</v>
      </c>
      <c r="G3813" s="26">
        <f>ROUND(C3813*E3813,0)</f>
        <v>2025</v>
      </c>
      <c r="H3813" t="s">
        <v>8766</v>
      </c>
    </row>
    <row r="3814" spans="1:8" ht="60" x14ac:dyDescent="0.25">
      <c r="A3814" s="21" t="s">
        <v>8772</v>
      </c>
      <c r="B3814" s="25" t="s">
        <v>8774</v>
      </c>
      <c r="C3814" s="26"/>
      <c r="D3814" s="27"/>
      <c r="E3814" s="26"/>
      <c r="F3814" s="28"/>
      <c r="G3814" s="26"/>
      <c r="H3814" t="s">
        <v>8773</v>
      </c>
    </row>
    <row r="3815" spans="1:8" ht="75" x14ac:dyDescent="0.25">
      <c r="A3815" s="21"/>
      <c r="B3815" s="25" t="s">
        <v>8775</v>
      </c>
      <c r="C3815" s="26"/>
      <c r="D3815" s="27"/>
      <c r="E3815" s="26"/>
      <c r="F3815" s="28"/>
      <c r="G3815" s="26"/>
    </row>
    <row r="3816" spans="1:8" ht="75" x14ac:dyDescent="0.25">
      <c r="A3816" s="21"/>
      <c r="B3816" s="25" t="s">
        <v>8776</v>
      </c>
      <c r="C3816" s="26"/>
      <c r="D3816" s="27"/>
      <c r="E3816" s="26"/>
      <c r="F3816" s="28"/>
      <c r="G3816" s="26"/>
    </row>
    <row r="3817" spans="1:8" ht="30" x14ac:dyDescent="0.25">
      <c r="A3817" s="21"/>
      <c r="B3817" s="25" t="s">
        <v>8777</v>
      </c>
      <c r="C3817" s="26"/>
      <c r="D3817" s="27"/>
      <c r="E3817" s="26"/>
      <c r="F3817" s="28"/>
      <c r="G3817" s="26"/>
    </row>
    <row r="3818" spans="1:8" ht="60" x14ac:dyDescent="0.25">
      <c r="A3818" s="21"/>
      <c r="B3818" s="25" t="s">
        <v>8778</v>
      </c>
      <c r="C3818" s="26">
        <v>1</v>
      </c>
      <c r="D3818" s="27" t="s">
        <v>15</v>
      </c>
      <c r="E3818" s="26">
        <v>769.6</v>
      </c>
      <c r="F3818" s="28" t="s">
        <v>16</v>
      </c>
      <c r="G3818" s="26">
        <f>ROUND(C3818*E3818,0)</f>
        <v>770</v>
      </c>
    </row>
    <row r="3819" spans="1:8" ht="90" x14ac:dyDescent="0.25">
      <c r="A3819" s="21" t="s">
        <v>8779</v>
      </c>
      <c r="B3819" s="25" t="s">
        <v>8781</v>
      </c>
      <c r="C3819" s="26"/>
      <c r="D3819" s="27"/>
      <c r="E3819" s="26"/>
      <c r="F3819" s="28"/>
      <c r="G3819" s="26"/>
      <c r="H3819" t="s">
        <v>8780</v>
      </c>
    </row>
    <row r="3820" spans="1:8" ht="45" x14ac:dyDescent="0.25">
      <c r="A3820" s="21" t="s">
        <v>8782</v>
      </c>
      <c r="B3820" s="25" t="s">
        <v>8784</v>
      </c>
      <c r="C3820" s="26">
        <v>1</v>
      </c>
      <c r="D3820" s="27" t="s">
        <v>110</v>
      </c>
      <c r="E3820" s="26">
        <v>327.64999999999998</v>
      </c>
      <c r="F3820" s="28" t="s">
        <v>618</v>
      </c>
      <c r="G3820" s="26">
        <f>ROUND(C3820*E3820,0)</f>
        <v>328</v>
      </c>
      <c r="H3820" t="s">
        <v>8783</v>
      </c>
    </row>
    <row r="3821" spans="1:8" ht="45" x14ac:dyDescent="0.25">
      <c r="A3821" s="21" t="s">
        <v>8785</v>
      </c>
      <c r="B3821" s="25" t="s">
        <v>8787</v>
      </c>
      <c r="C3821" s="26">
        <v>1</v>
      </c>
      <c r="D3821" s="27" t="s">
        <v>110</v>
      </c>
      <c r="E3821" s="26">
        <v>267.89999999999998</v>
      </c>
      <c r="F3821" s="28" t="s">
        <v>618</v>
      </c>
      <c r="G3821" s="26">
        <f>ROUND(C3821*E3821,0)</f>
        <v>268</v>
      </c>
      <c r="H3821" t="s">
        <v>8786</v>
      </c>
    </row>
    <row r="3822" spans="1:8" ht="45" x14ac:dyDescent="0.25">
      <c r="A3822" s="21" t="s">
        <v>8788</v>
      </c>
      <c r="B3822" s="25" t="s">
        <v>8790</v>
      </c>
      <c r="C3822" s="26">
        <v>1</v>
      </c>
      <c r="D3822" s="27" t="s">
        <v>110</v>
      </c>
      <c r="E3822" s="26">
        <v>263.64999999999998</v>
      </c>
      <c r="F3822" s="28" t="s">
        <v>618</v>
      </c>
      <c r="G3822" s="26">
        <f>ROUND(C3822*E3822,0)</f>
        <v>264</v>
      </c>
      <c r="H3822" t="s">
        <v>8789</v>
      </c>
    </row>
    <row r="3823" spans="1:8" ht="75" x14ac:dyDescent="0.25">
      <c r="A3823" s="21" t="s">
        <v>8791</v>
      </c>
      <c r="B3823" s="25" t="s">
        <v>8793</v>
      </c>
      <c r="C3823" s="26"/>
      <c r="D3823" s="27"/>
      <c r="E3823" s="26"/>
      <c r="F3823" s="28"/>
      <c r="G3823" s="26"/>
      <c r="H3823" t="s">
        <v>8792</v>
      </c>
    </row>
    <row r="3824" spans="1:8" ht="60" x14ac:dyDescent="0.25">
      <c r="A3824" s="21"/>
      <c r="B3824" s="25" t="s">
        <v>8794</v>
      </c>
      <c r="C3824" s="26"/>
      <c r="D3824" s="27"/>
      <c r="E3824" s="26"/>
      <c r="F3824" s="28"/>
      <c r="G3824" s="26"/>
    </row>
    <row r="3825" spans="1:8" ht="75" x14ac:dyDescent="0.25">
      <c r="A3825" s="21"/>
      <c r="B3825" s="25" t="s">
        <v>8795</v>
      </c>
      <c r="C3825" s="26"/>
      <c r="D3825" s="27"/>
      <c r="E3825" s="26"/>
      <c r="F3825" s="28"/>
      <c r="G3825" s="26"/>
    </row>
    <row r="3826" spans="1:8" ht="60" x14ac:dyDescent="0.25">
      <c r="A3826" s="21"/>
      <c r="B3826" s="25" t="s">
        <v>8796</v>
      </c>
      <c r="C3826" s="26">
        <v>1</v>
      </c>
      <c r="D3826" s="27" t="s">
        <v>15</v>
      </c>
      <c r="E3826" s="26">
        <v>617.04999999999995</v>
      </c>
      <c r="F3826" s="28" t="s">
        <v>16</v>
      </c>
      <c r="G3826" s="26">
        <f>ROUND(C3826*E3826,0)</f>
        <v>617</v>
      </c>
    </row>
    <row r="3827" spans="1:8" ht="60" x14ac:dyDescent="0.25">
      <c r="A3827" s="21" t="s">
        <v>8797</v>
      </c>
      <c r="B3827" s="25" t="s">
        <v>8799</v>
      </c>
      <c r="C3827" s="26"/>
      <c r="D3827" s="27"/>
      <c r="E3827" s="26"/>
      <c r="F3827" s="28"/>
      <c r="G3827" s="26"/>
      <c r="H3827" t="s">
        <v>8798</v>
      </c>
    </row>
    <row r="3828" spans="1:8" ht="45" x14ac:dyDescent="0.25">
      <c r="A3828" s="21"/>
      <c r="B3828" s="25" t="s">
        <v>8800</v>
      </c>
      <c r="C3828" s="26"/>
      <c r="D3828" s="27"/>
      <c r="E3828" s="26"/>
      <c r="F3828" s="28"/>
      <c r="G3828" s="26"/>
    </row>
    <row r="3829" spans="1:8" ht="45" x14ac:dyDescent="0.25">
      <c r="A3829" s="21"/>
      <c r="B3829" s="25" t="s">
        <v>8801</v>
      </c>
      <c r="C3829" s="26"/>
      <c r="D3829" s="27"/>
      <c r="E3829" s="26"/>
      <c r="F3829" s="28"/>
      <c r="G3829" s="26"/>
    </row>
    <row r="3830" spans="1:8" ht="120" x14ac:dyDescent="0.25">
      <c r="A3830" s="21"/>
      <c r="B3830" s="25" t="s">
        <v>8802</v>
      </c>
      <c r="C3830" s="26"/>
      <c r="D3830" s="27"/>
      <c r="E3830" s="26"/>
      <c r="F3830" s="28"/>
      <c r="G3830" s="26"/>
    </row>
    <row r="3831" spans="1:8" ht="30" x14ac:dyDescent="0.25">
      <c r="A3831" s="21"/>
      <c r="B3831" s="25" t="s">
        <v>8803</v>
      </c>
      <c r="C3831" s="26"/>
      <c r="D3831" s="27"/>
      <c r="E3831" s="26"/>
      <c r="F3831" s="28"/>
      <c r="G3831" s="26"/>
    </row>
    <row r="3832" spans="1:8" ht="30" x14ac:dyDescent="0.25">
      <c r="A3832" s="21"/>
      <c r="B3832" s="25" t="s">
        <v>8804</v>
      </c>
      <c r="C3832" s="26">
        <v>1</v>
      </c>
      <c r="D3832" s="27" t="s">
        <v>15</v>
      </c>
      <c r="E3832" s="26">
        <v>688.9</v>
      </c>
      <c r="F3832" s="28" t="s">
        <v>16</v>
      </c>
      <c r="G3832" s="26">
        <f>ROUND(C3832*E3832,0)</f>
        <v>689</v>
      </c>
    </row>
    <row r="3833" spans="1:8" ht="75" x14ac:dyDescent="0.25">
      <c r="A3833" s="21" t="s">
        <v>8805</v>
      </c>
      <c r="B3833" s="25" t="s">
        <v>8807</v>
      </c>
      <c r="C3833" s="26"/>
      <c r="D3833" s="27"/>
      <c r="E3833" s="26"/>
      <c r="F3833" s="28"/>
      <c r="G3833" s="26"/>
      <c r="H3833" t="s">
        <v>8806</v>
      </c>
    </row>
    <row r="3834" spans="1:8" ht="105" x14ac:dyDescent="0.25">
      <c r="A3834" s="21"/>
      <c r="B3834" s="25" t="s">
        <v>8808</v>
      </c>
      <c r="C3834" s="26"/>
      <c r="D3834" s="27"/>
      <c r="E3834" s="26"/>
      <c r="F3834" s="28"/>
      <c r="G3834" s="26"/>
    </row>
    <row r="3835" spans="1:8" ht="180" x14ac:dyDescent="0.25">
      <c r="A3835" s="21"/>
      <c r="B3835" s="25" t="s">
        <v>8809</v>
      </c>
      <c r="C3835" s="26"/>
      <c r="D3835" s="27"/>
      <c r="E3835" s="26"/>
      <c r="F3835" s="28"/>
      <c r="G3835" s="26"/>
    </row>
    <row r="3836" spans="1:8" ht="75" x14ac:dyDescent="0.25">
      <c r="A3836" s="21"/>
      <c r="B3836" s="25" t="s">
        <v>8810</v>
      </c>
      <c r="C3836" s="26"/>
      <c r="D3836" s="27"/>
      <c r="E3836" s="26"/>
      <c r="F3836" s="28"/>
      <c r="G3836" s="26"/>
    </row>
    <row r="3837" spans="1:8" ht="135" x14ac:dyDescent="0.25">
      <c r="A3837" s="21"/>
      <c r="B3837" s="25" t="s">
        <v>8811</v>
      </c>
      <c r="C3837" s="26"/>
      <c r="D3837" s="27"/>
      <c r="E3837" s="26"/>
      <c r="F3837" s="28"/>
      <c r="G3837" s="26"/>
    </row>
    <row r="3838" spans="1:8" ht="75" x14ac:dyDescent="0.25">
      <c r="A3838" s="21"/>
      <c r="B3838" s="25" t="s">
        <v>8812</v>
      </c>
      <c r="C3838" s="26"/>
      <c r="D3838" s="27"/>
      <c r="E3838" s="26"/>
      <c r="F3838" s="28"/>
      <c r="G3838" s="26"/>
    </row>
    <row r="3839" spans="1:8" ht="30" x14ac:dyDescent="0.25">
      <c r="A3839" s="21" t="s">
        <v>8813</v>
      </c>
      <c r="B3839" s="25" t="s">
        <v>8815</v>
      </c>
      <c r="C3839" s="26">
        <v>1</v>
      </c>
      <c r="D3839" s="27" t="s">
        <v>15</v>
      </c>
      <c r="E3839" s="26">
        <v>1684.6</v>
      </c>
      <c r="F3839" s="28" t="s">
        <v>16</v>
      </c>
      <c r="G3839" s="26">
        <f>ROUND(C3839*E3839,0)</f>
        <v>1685</v>
      </c>
      <c r="H3839" t="s">
        <v>8814</v>
      </c>
    </row>
    <row r="3840" spans="1:8" ht="180" x14ac:dyDescent="0.25">
      <c r="A3840" s="21" t="s">
        <v>8816</v>
      </c>
      <c r="B3840" s="25" t="s">
        <v>8818</v>
      </c>
      <c r="C3840" s="26"/>
      <c r="D3840" s="27"/>
      <c r="E3840" s="26"/>
      <c r="F3840" s="28"/>
      <c r="G3840" s="26"/>
      <c r="H3840" t="s">
        <v>8817</v>
      </c>
    </row>
    <row r="3841" spans="1:8" ht="30" x14ac:dyDescent="0.25">
      <c r="A3841" s="21" t="s">
        <v>8819</v>
      </c>
      <c r="B3841" s="25" t="s">
        <v>8821</v>
      </c>
      <c r="C3841" s="26">
        <v>1</v>
      </c>
      <c r="D3841" s="27" t="s">
        <v>15</v>
      </c>
      <c r="E3841" s="26">
        <v>515.04999999999995</v>
      </c>
      <c r="F3841" s="28" t="s">
        <v>16</v>
      </c>
      <c r="G3841" s="26">
        <f>ROUND(C3841*E3841,0)</f>
        <v>515</v>
      </c>
      <c r="H3841" t="s">
        <v>8820</v>
      </c>
    </row>
    <row r="3842" spans="1:8" ht="180" x14ac:dyDescent="0.25">
      <c r="A3842" s="21" t="s">
        <v>8822</v>
      </c>
      <c r="B3842" s="25" t="s">
        <v>8824</v>
      </c>
      <c r="C3842" s="26">
        <v>1</v>
      </c>
      <c r="D3842" s="27" t="s">
        <v>15</v>
      </c>
      <c r="E3842" s="26">
        <v>806.45</v>
      </c>
      <c r="F3842" s="28" t="s">
        <v>16</v>
      </c>
      <c r="G3842" s="26">
        <f>ROUND(C3842*E3842,0)</f>
        <v>806</v>
      </c>
      <c r="H3842" t="s">
        <v>8823</v>
      </c>
    </row>
    <row r="3843" spans="1:8" ht="180" x14ac:dyDescent="0.25">
      <c r="A3843" s="21" t="s">
        <v>8825</v>
      </c>
      <c r="B3843" s="25" t="s">
        <v>8827</v>
      </c>
      <c r="C3843" s="26">
        <v>1</v>
      </c>
      <c r="D3843" s="27" t="s">
        <v>15</v>
      </c>
      <c r="E3843" s="26">
        <v>910.85</v>
      </c>
      <c r="F3843" s="28" t="s">
        <v>16</v>
      </c>
      <c r="G3843" s="26">
        <f>ROUND(C3843*E3843,0)</f>
        <v>911</v>
      </c>
      <c r="H3843" t="s">
        <v>8826</v>
      </c>
    </row>
    <row r="3844" spans="1:8" ht="180" x14ac:dyDescent="0.25">
      <c r="A3844" s="21" t="s">
        <v>8828</v>
      </c>
      <c r="B3844" s="25" t="s">
        <v>8830</v>
      </c>
      <c r="C3844" s="26">
        <v>1</v>
      </c>
      <c r="D3844" s="27" t="s">
        <v>15</v>
      </c>
      <c r="E3844" s="26">
        <v>910.85</v>
      </c>
      <c r="F3844" s="28" t="s">
        <v>16</v>
      </c>
      <c r="G3844" s="26">
        <f>ROUND(C3844*E3844,0)</f>
        <v>911</v>
      </c>
      <c r="H3844" t="s">
        <v>8829</v>
      </c>
    </row>
    <row r="3845" spans="1:8" ht="45" x14ac:dyDescent="0.25">
      <c r="A3845" s="21" t="s">
        <v>8831</v>
      </c>
      <c r="B3845" s="25" t="s">
        <v>8833</v>
      </c>
      <c r="C3845" s="26">
        <v>1</v>
      </c>
      <c r="D3845" s="27" t="s">
        <v>15</v>
      </c>
      <c r="E3845" s="26">
        <v>59.45</v>
      </c>
      <c r="F3845" s="28" t="s">
        <v>16</v>
      </c>
      <c r="G3845" s="26">
        <f>ROUND(C3845*E3845,0)</f>
        <v>59</v>
      </c>
      <c r="H3845" t="s">
        <v>8832</v>
      </c>
    </row>
    <row r="3846" spans="1:8" ht="45" x14ac:dyDescent="0.25">
      <c r="A3846" s="21" t="s">
        <v>8834</v>
      </c>
      <c r="B3846" s="25" t="s">
        <v>8836</v>
      </c>
      <c r="C3846" s="26"/>
      <c r="D3846" s="27"/>
      <c r="E3846" s="26"/>
      <c r="F3846" s="28"/>
      <c r="G3846" s="26"/>
      <c r="H3846" t="s">
        <v>8835</v>
      </c>
    </row>
    <row r="3847" spans="1:8" ht="30" x14ac:dyDescent="0.25">
      <c r="A3847" s="21" t="s">
        <v>8837</v>
      </c>
      <c r="B3847" s="25" t="s">
        <v>8839</v>
      </c>
      <c r="C3847" s="26">
        <v>1</v>
      </c>
      <c r="D3847" s="27" t="s">
        <v>15</v>
      </c>
      <c r="E3847" s="26">
        <v>-17.55</v>
      </c>
      <c r="F3847" s="28" t="s">
        <v>16</v>
      </c>
      <c r="G3847" s="26">
        <f>ROUND(C3847*E3847,0)</f>
        <v>-18</v>
      </c>
      <c r="H3847" t="s">
        <v>8838</v>
      </c>
    </row>
    <row r="3848" spans="1:8" ht="30" x14ac:dyDescent="0.25">
      <c r="A3848" s="21" t="s">
        <v>8840</v>
      </c>
      <c r="B3848" s="25" t="s">
        <v>8842</v>
      </c>
      <c r="C3848" s="26">
        <v>1</v>
      </c>
      <c r="D3848" s="27" t="s">
        <v>15</v>
      </c>
      <c r="E3848" s="26">
        <v>-22.1</v>
      </c>
      <c r="F3848" s="28" t="s">
        <v>16</v>
      </c>
      <c r="G3848" s="26">
        <f>ROUND(C3848*E3848,0)</f>
        <v>-22</v>
      </c>
      <c r="H3848" t="s">
        <v>8841</v>
      </c>
    </row>
    <row r="3849" spans="1:8" x14ac:dyDescent="0.25">
      <c r="A3849" s="21" t="s">
        <v>8843</v>
      </c>
      <c r="B3849" s="25" t="s">
        <v>8845</v>
      </c>
      <c r="C3849" s="26"/>
      <c r="D3849" s="27"/>
      <c r="E3849" s="26"/>
      <c r="F3849" s="28"/>
      <c r="G3849" s="26"/>
      <c r="H3849" t="s">
        <v>8844</v>
      </c>
    </row>
    <row r="3850" spans="1:8" ht="30" x14ac:dyDescent="0.25">
      <c r="A3850" s="21" t="s">
        <v>8846</v>
      </c>
      <c r="B3850" s="25" t="s">
        <v>8848</v>
      </c>
      <c r="C3850" s="26">
        <v>1</v>
      </c>
      <c r="D3850" s="27" t="s">
        <v>21</v>
      </c>
      <c r="E3850" s="26">
        <v>8042.3</v>
      </c>
      <c r="F3850" s="28" t="s">
        <v>22</v>
      </c>
      <c r="G3850" s="26">
        <f>ROUND(C3850*E3850,0)</f>
        <v>8042</v>
      </c>
      <c r="H3850" t="s">
        <v>8847</v>
      </c>
    </row>
    <row r="3851" spans="1:8" ht="30" x14ac:dyDescent="0.25">
      <c r="A3851" s="21" t="s">
        <v>8849</v>
      </c>
      <c r="B3851" s="25" t="s">
        <v>999</v>
      </c>
      <c r="C3851" s="26">
        <v>1</v>
      </c>
      <c r="D3851" s="27" t="s">
        <v>21</v>
      </c>
      <c r="E3851" s="26">
        <v>16112.1</v>
      </c>
      <c r="F3851" s="28" t="s">
        <v>22</v>
      </c>
      <c r="G3851" s="26">
        <f>ROUND(C3851*E3851,0)</f>
        <v>16112</v>
      </c>
      <c r="H3851" t="s">
        <v>8850</v>
      </c>
    </row>
    <row r="3852" spans="1:8" ht="30" x14ac:dyDescent="0.25">
      <c r="A3852" s="21" t="s">
        <v>8851</v>
      </c>
      <c r="B3852" s="25" t="s">
        <v>8853</v>
      </c>
      <c r="C3852" s="26">
        <v>1</v>
      </c>
      <c r="D3852" s="27" t="s">
        <v>21</v>
      </c>
      <c r="E3852" s="26">
        <v>15155.6</v>
      </c>
      <c r="F3852" s="28" t="s">
        <v>22</v>
      </c>
      <c r="G3852" s="26">
        <f>ROUND(C3852*E3852,0)</f>
        <v>15156</v>
      </c>
      <c r="H3852" t="s">
        <v>8852</v>
      </c>
    </row>
    <row r="3853" spans="1:8" ht="180" x14ac:dyDescent="0.25">
      <c r="A3853" s="21" t="s">
        <v>8854</v>
      </c>
      <c r="B3853" s="25" t="s">
        <v>8856</v>
      </c>
      <c r="C3853" s="26"/>
      <c r="D3853" s="27"/>
      <c r="E3853" s="26"/>
      <c r="F3853" s="28"/>
      <c r="G3853" s="26"/>
      <c r="H3853" t="s">
        <v>8855</v>
      </c>
    </row>
    <row r="3854" spans="1:8" ht="165" x14ac:dyDescent="0.25">
      <c r="A3854" s="21"/>
      <c r="B3854" s="25" t="s">
        <v>8857</v>
      </c>
      <c r="C3854" s="26">
        <v>1</v>
      </c>
      <c r="D3854" s="27" t="s">
        <v>725</v>
      </c>
      <c r="E3854" s="26">
        <v>388</v>
      </c>
      <c r="F3854" s="28" t="s">
        <v>726</v>
      </c>
      <c r="G3854" s="26">
        <f>ROUND(C3854*E3854,0)</f>
        <v>388</v>
      </c>
    </row>
    <row r="3855" spans="1:8" ht="225" x14ac:dyDescent="0.25">
      <c r="A3855" s="21" t="s">
        <v>8858</v>
      </c>
      <c r="B3855" s="25" t="s">
        <v>8860</v>
      </c>
      <c r="C3855" s="26">
        <v>1</v>
      </c>
      <c r="D3855" s="27" t="s">
        <v>15</v>
      </c>
      <c r="E3855" s="26">
        <v>563.1</v>
      </c>
      <c r="F3855" s="28" t="s">
        <v>16</v>
      </c>
      <c r="G3855" s="26">
        <f>ROUND(C3855*E3855,0)</f>
        <v>563</v>
      </c>
      <c r="H3855" t="s">
        <v>8859</v>
      </c>
    </row>
    <row r="3856" spans="1:8" ht="360" x14ac:dyDescent="0.25">
      <c r="A3856" s="21" t="s">
        <v>8861</v>
      </c>
      <c r="B3856" s="25" t="s">
        <v>8863</v>
      </c>
      <c r="C3856" s="26"/>
      <c r="D3856" s="27"/>
      <c r="E3856" s="26"/>
      <c r="F3856" s="28"/>
      <c r="G3856" s="26"/>
      <c r="H3856" t="s">
        <v>8862</v>
      </c>
    </row>
    <row r="3857" spans="1:8" ht="30" x14ac:dyDescent="0.25">
      <c r="A3857" s="21" t="s">
        <v>8864</v>
      </c>
      <c r="B3857" s="25" t="s">
        <v>8865</v>
      </c>
      <c r="C3857" s="26">
        <v>1</v>
      </c>
      <c r="D3857" s="27" t="s">
        <v>15</v>
      </c>
      <c r="E3857" s="26">
        <v>472.9</v>
      </c>
      <c r="F3857" s="28" t="s">
        <v>16</v>
      </c>
      <c r="G3857" s="26">
        <f>ROUND(C3857*E3857,0)</f>
        <v>473</v>
      </c>
      <c r="H3857" t="s">
        <v>8865</v>
      </c>
    </row>
    <row r="3858" spans="1:8" ht="30" x14ac:dyDescent="0.25">
      <c r="A3858" s="21" t="s">
        <v>8866</v>
      </c>
      <c r="B3858" s="25" t="s">
        <v>8867</v>
      </c>
      <c r="C3858" s="26">
        <v>1</v>
      </c>
      <c r="D3858" s="27" t="s">
        <v>15</v>
      </c>
      <c r="E3858" s="26">
        <v>362.8</v>
      </c>
      <c r="F3858" s="28" t="s">
        <v>16</v>
      </c>
      <c r="G3858" s="26">
        <f>ROUND(C3858*E3858,0)</f>
        <v>363</v>
      </c>
      <c r="H3858" t="s">
        <v>8867</v>
      </c>
    </row>
    <row r="3859" spans="1:8" ht="195" x14ac:dyDescent="0.25">
      <c r="A3859" s="21" t="s">
        <v>8868</v>
      </c>
      <c r="B3859" s="25" t="s">
        <v>8870</v>
      </c>
      <c r="C3859" s="26">
        <v>1</v>
      </c>
      <c r="D3859" s="27" t="s">
        <v>15</v>
      </c>
      <c r="E3859" s="26">
        <v>447.35</v>
      </c>
      <c r="F3859" s="28" t="s">
        <v>16</v>
      </c>
      <c r="G3859" s="26">
        <f>ROUND(C3859*E3859,0)</f>
        <v>447</v>
      </c>
      <c r="H3859" t="s">
        <v>8869</v>
      </c>
    </row>
    <row r="3860" spans="1:8" ht="300" x14ac:dyDescent="0.25">
      <c r="A3860" s="21" t="s">
        <v>8871</v>
      </c>
      <c r="B3860" s="25" t="s">
        <v>8873</v>
      </c>
      <c r="C3860" s="26">
        <v>1</v>
      </c>
      <c r="D3860" s="27" t="s">
        <v>15</v>
      </c>
      <c r="E3860" s="26">
        <v>309.60000000000002</v>
      </c>
      <c r="F3860" s="28" t="s">
        <v>16</v>
      </c>
      <c r="G3860" s="26">
        <f>ROUND(C3860*E3860,0)</f>
        <v>310</v>
      </c>
      <c r="H3860" t="s">
        <v>8872</v>
      </c>
    </row>
    <row r="3861" spans="1:8" ht="195" x14ac:dyDescent="0.25">
      <c r="A3861" s="21" t="s">
        <v>8874</v>
      </c>
      <c r="B3861" s="25" t="s">
        <v>8876</v>
      </c>
      <c r="C3861" s="26">
        <v>1</v>
      </c>
      <c r="D3861" s="27" t="s">
        <v>15</v>
      </c>
      <c r="E3861" s="26">
        <v>597</v>
      </c>
      <c r="F3861" s="28" t="s">
        <v>16</v>
      </c>
      <c r="G3861" s="26">
        <f>ROUND(C3861*E3861,0)</f>
        <v>597</v>
      </c>
      <c r="H3861" t="s">
        <v>8875</v>
      </c>
    </row>
    <row r="3862" spans="1:8" ht="210" x14ac:dyDescent="0.25">
      <c r="A3862" s="21" t="s">
        <v>8877</v>
      </c>
      <c r="B3862" s="25" t="s">
        <v>8879</v>
      </c>
      <c r="C3862" s="26"/>
      <c r="D3862" s="27"/>
      <c r="E3862" s="26"/>
      <c r="F3862" s="28"/>
      <c r="G3862" s="26"/>
      <c r="H3862" t="s">
        <v>8878</v>
      </c>
    </row>
    <row r="3863" spans="1:8" ht="135" x14ac:dyDescent="0.25">
      <c r="A3863" s="21" t="s">
        <v>8880</v>
      </c>
      <c r="B3863" s="25" t="s">
        <v>8882</v>
      </c>
      <c r="C3863" s="26">
        <v>1</v>
      </c>
      <c r="D3863" s="27" t="s">
        <v>110</v>
      </c>
      <c r="E3863" s="26">
        <v>547.70000000000005</v>
      </c>
      <c r="F3863" s="28" t="s">
        <v>618</v>
      </c>
      <c r="G3863" s="26">
        <f>ROUND(C3863*E3863,0)</f>
        <v>548</v>
      </c>
      <c r="H3863" t="s">
        <v>8881</v>
      </c>
    </row>
    <row r="3864" spans="1:8" ht="135" x14ac:dyDescent="0.25">
      <c r="A3864" s="21" t="s">
        <v>8883</v>
      </c>
      <c r="B3864" s="25" t="s">
        <v>8885</v>
      </c>
      <c r="C3864" s="26">
        <v>1</v>
      </c>
      <c r="D3864" s="27" t="s">
        <v>8886</v>
      </c>
      <c r="E3864" s="26">
        <v>23.05</v>
      </c>
      <c r="F3864" s="28" t="s">
        <v>8887</v>
      </c>
      <c r="G3864" s="26">
        <f>ROUND(C3864*E3864,0)</f>
        <v>23</v>
      </c>
      <c r="H3864" t="s">
        <v>8884</v>
      </c>
    </row>
    <row r="3865" spans="1:8" ht="240" x14ac:dyDescent="0.25">
      <c r="A3865" s="21" t="s">
        <v>8888</v>
      </c>
      <c r="B3865" s="25" t="s">
        <v>8890</v>
      </c>
      <c r="C3865" s="26">
        <v>1</v>
      </c>
      <c r="D3865" s="27" t="s">
        <v>110</v>
      </c>
      <c r="E3865" s="26">
        <v>573.45000000000005</v>
      </c>
      <c r="F3865" s="28" t="s">
        <v>618</v>
      </c>
      <c r="G3865" s="26">
        <f>ROUND(C3865*E3865,0)</f>
        <v>573</v>
      </c>
      <c r="H3865" t="s">
        <v>8889</v>
      </c>
    </row>
    <row r="3866" spans="1:8" x14ac:dyDescent="0.25">
      <c r="A3866" s="21"/>
      <c r="B3866" s="45" t="s">
        <v>8891</v>
      </c>
      <c r="C3866" s="45"/>
      <c r="D3866" s="45"/>
      <c r="E3866" s="45"/>
      <c r="F3866" s="45"/>
      <c r="G3866" s="29">
        <f>SUM(G3807:G3865)</f>
        <v>54919</v>
      </c>
    </row>
    <row r="3867" spans="1:8" x14ac:dyDescent="0.25">
      <c r="A3867" s="46" t="s">
        <v>8892</v>
      </c>
      <c r="B3867" s="47"/>
      <c r="C3867" s="47"/>
      <c r="D3867" s="47"/>
      <c r="E3867" s="47"/>
      <c r="F3867" s="47"/>
      <c r="G3867" s="47"/>
    </row>
    <row r="3868" spans="1:8" ht="135" x14ac:dyDescent="0.25">
      <c r="A3868" s="21" t="s">
        <v>8893</v>
      </c>
      <c r="B3868" s="25" t="s">
        <v>8895</v>
      </c>
      <c r="C3868" s="26"/>
      <c r="D3868" s="27"/>
      <c r="E3868" s="26"/>
      <c r="F3868" s="28"/>
      <c r="G3868" s="26"/>
      <c r="H3868" t="s">
        <v>8894</v>
      </c>
    </row>
    <row r="3869" spans="1:8" x14ac:dyDescent="0.25">
      <c r="A3869" s="21" t="s">
        <v>8896</v>
      </c>
      <c r="B3869" s="25" t="s">
        <v>8897</v>
      </c>
      <c r="C3869" s="26"/>
      <c r="D3869" s="27"/>
      <c r="E3869" s="26"/>
      <c r="F3869" s="28"/>
      <c r="G3869" s="26"/>
      <c r="H3869" t="s">
        <v>8897</v>
      </c>
    </row>
    <row r="3870" spans="1:8" x14ac:dyDescent="0.25">
      <c r="A3870" s="21" t="s">
        <v>8898</v>
      </c>
      <c r="B3870" s="25" t="s">
        <v>8899</v>
      </c>
      <c r="C3870" s="26">
        <v>1</v>
      </c>
      <c r="D3870" s="27" t="s">
        <v>110</v>
      </c>
      <c r="E3870" s="26">
        <v>707.75</v>
      </c>
      <c r="F3870" s="28" t="s">
        <v>68</v>
      </c>
      <c r="G3870" s="26">
        <f>ROUND(C3870*E3870,0)</f>
        <v>708</v>
      </c>
      <c r="H3870" t="s">
        <v>8899</v>
      </c>
    </row>
    <row r="3871" spans="1:8" x14ac:dyDescent="0.25">
      <c r="A3871" s="21" t="s">
        <v>8900</v>
      </c>
      <c r="B3871" s="25" t="s">
        <v>8901</v>
      </c>
      <c r="C3871" s="26">
        <v>1</v>
      </c>
      <c r="D3871" s="27" t="s">
        <v>110</v>
      </c>
      <c r="E3871" s="26">
        <v>774.05</v>
      </c>
      <c r="F3871" s="28" t="s">
        <v>68</v>
      </c>
      <c r="G3871" s="26">
        <f>ROUND(C3871*E3871,0)</f>
        <v>774</v>
      </c>
      <c r="H3871" t="s">
        <v>8901</v>
      </c>
    </row>
    <row r="3872" spans="1:8" x14ac:dyDescent="0.25">
      <c r="A3872" s="21" t="s">
        <v>8902</v>
      </c>
      <c r="B3872" s="25" t="s">
        <v>8903</v>
      </c>
      <c r="C3872" s="26">
        <v>1</v>
      </c>
      <c r="D3872" s="27" t="s">
        <v>110</v>
      </c>
      <c r="E3872" s="26">
        <v>990.8</v>
      </c>
      <c r="F3872" s="28" t="s">
        <v>68</v>
      </c>
      <c r="G3872" s="26">
        <f>ROUND(C3872*E3872,0)</f>
        <v>991</v>
      </c>
      <c r="H3872" t="s">
        <v>8903</v>
      </c>
    </row>
    <row r="3873" spans="1:8" x14ac:dyDescent="0.25">
      <c r="A3873" s="21" t="s">
        <v>8904</v>
      </c>
      <c r="B3873" s="25" t="s">
        <v>8905</v>
      </c>
      <c r="C3873" s="26"/>
      <c r="D3873" s="27"/>
      <c r="E3873" s="26"/>
      <c r="F3873" s="28"/>
      <c r="G3873" s="26"/>
      <c r="H3873" t="s">
        <v>8905</v>
      </c>
    </row>
    <row r="3874" spans="1:8" x14ac:dyDescent="0.25">
      <c r="A3874" s="21" t="s">
        <v>8906</v>
      </c>
      <c r="B3874" s="25" t="s">
        <v>8899</v>
      </c>
      <c r="C3874" s="26">
        <v>1</v>
      </c>
      <c r="D3874" s="27" t="s">
        <v>110</v>
      </c>
      <c r="E3874" s="26">
        <v>1695.1</v>
      </c>
      <c r="F3874" s="28" t="s">
        <v>68</v>
      </c>
      <c r="G3874" s="26">
        <f>ROUND(C3874*E3874,0)</f>
        <v>1695</v>
      </c>
      <c r="H3874" t="s">
        <v>8899</v>
      </c>
    </row>
    <row r="3875" spans="1:8" x14ac:dyDescent="0.25">
      <c r="A3875" s="21" t="s">
        <v>8907</v>
      </c>
      <c r="B3875" s="25" t="s">
        <v>8901</v>
      </c>
      <c r="C3875" s="26">
        <v>1</v>
      </c>
      <c r="D3875" s="27" t="s">
        <v>110</v>
      </c>
      <c r="E3875" s="26">
        <v>1792.85</v>
      </c>
      <c r="F3875" s="28" t="s">
        <v>68</v>
      </c>
      <c r="G3875" s="26">
        <f>ROUND(C3875*E3875,0)</f>
        <v>1793</v>
      </c>
      <c r="H3875" t="s">
        <v>8901</v>
      </c>
    </row>
    <row r="3876" spans="1:8" x14ac:dyDescent="0.25">
      <c r="A3876" s="21" t="s">
        <v>8908</v>
      </c>
      <c r="B3876" s="25" t="s">
        <v>8903</v>
      </c>
      <c r="C3876" s="26">
        <v>1</v>
      </c>
      <c r="D3876" s="27" t="s">
        <v>110</v>
      </c>
      <c r="E3876" s="26">
        <v>2131.4499999999998</v>
      </c>
      <c r="F3876" s="28" t="s">
        <v>68</v>
      </c>
      <c r="G3876" s="26">
        <f>ROUND(C3876*E3876,0)</f>
        <v>2131</v>
      </c>
      <c r="H3876" t="s">
        <v>8903</v>
      </c>
    </row>
    <row r="3877" spans="1:8" ht="150" x14ac:dyDescent="0.25">
      <c r="A3877" s="21" t="s">
        <v>8909</v>
      </c>
      <c r="B3877" s="25" t="s">
        <v>8911</v>
      </c>
      <c r="C3877" s="26"/>
      <c r="D3877" s="27"/>
      <c r="E3877" s="26"/>
      <c r="F3877" s="28"/>
      <c r="G3877" s="26"/>
      <c r="H3877" t="s">
        <v>8910</v>
      </c>
    </row>
    <row r="3878" spans="1:8" x14ac:dyDescent="0.25">
      <c r="A3878" s="21" t="s">
        <v>8912</v>
      </c>
      <c r="B3878" s="25" t="s">
        <v>8897</v>
      </c>
      <c r="C3878" s="26"/>
      <c r="D3878" s="27"/>
      <c r="E3878" s="26"/>
      <c r="F3878" s="28"/>
      <c r="G3878" s="26"/>
      <c r="H3878" t="s">
        <v>8897</v>
      </c>
    </row>
    <row r="3879" spans="1:8" x14ac:dyDescent="0.25">
      <c r="A3879" s="21" t="s">
        <v>8913</v>
      </c>
      <c r="B3879" s="25" t="s">
        <v>8899</v>
      </c>
      <c r="C3879" s="26">
        <v>1</v>
      </c>
      <c r="D3879" s="27" t="s">
        <v>110</v>
      </c>
      <c r="E3879" s="26">
        <v>825.7</v>
      </c>
      <c r="F3879" s="28" t="s">
        <v>68</v>
      </c>
      <c r="G3879" s="26">
        <f>ROUND(C3879*E3879,0)</f>
        <v>826</v>
      </c>
      <c r="H3879" t="s">
        <v>8899</v>
      </c>
    </row>
    <row r="3880" spans="1:8" x14ac:dyDescent="0.25">
      <c r="A3880" s="21" t="s">
        <v>8914</v>
      </c>
      <c r="B3880" s="25" t="s">
        <v>8901</v>
      </c>
      <c r="C3880" s="26">
        <v>1</v>
      </c>
      <c r="D3880" s="27" t="s">
        <v>110</v>
      </c>
      <c r="E3880" s="26">
        <v>917.4</v>
      </c>
      <c r="F3880" s="28" t="s">
        <v>68</v>
      </c>
      <c r="G3880" s="26">
        <f>ROUND(C3880*E3880,0)</f>
        <v>917</v>
      </c>
      <c r="H3880" t="s">
        <v>8901</v>
      </c>
    </row>
    <row r="3881" spans="1:8" x14ac:dyDescent="0.25">
      <c r="A3881" s="21" t="s">
        <v>8915</v>
      </c>
      <c r="B3881" s="25" t="s">
        <v>8903</v>
      </c>
      <c r="C3881" s="26">
        <v>1</v>
      </c>
      <c r="D3881" s="27" t="s">
        <v>110</v>
      </c>
      <c r="E3881" s="26">
        <v>1238.5</v>
      </c>
      <c r="F3881" s="28" t="s">
        <v>68</v>
      </c>
      <c r="G3881" s="26">
        <f>ROUND(C3881*E3881,0)</f>
        <v>1239</v>
      </c>
      <c r="H3881" t="s">
        <v>8903</v>
      </c>
    </row>
    <row r="3882" spans="1:8" x14ac:dyDescent="0.25">
      <c r="A3882" s="21" t="s">
        <v>8916</v>
      </c>
      <c r="B3882" s="25" t="s">
        <v>8905</v>
      </c>
      <c r="C3882" s="26"/>
      <c r="D3882" s="27"/>
      <c r="E3882" s="26"/>
      <c r="F3882" s="28"/>
      <c r="G3882" s="26"/>
      <c r="H3882" t="s">
        <v>8905</v>
      </c>
    </row>
    <row r="3883" spans="1:8" x14ac:dyDescent="0.25">
      <c r="A3883" s="21" t="s">
        <v>8917</v>
      </c>
      <c r="B3883" s="25" t="s">
        <v>8899</v>
      </c>
      <c r="C3883" s="26">
        <v>1</v>
      </c>
      <c r="D3883" s="27" t="s">
        <v>110</v>
      </c>
      <c r="E3883" s="26">
        <v>1870.6</v>
      </c>
      <c r="F3883" s="28" t="s">
        <v>68</v>
      </c>
      <c r="G3883" s="26">
        <f>ROUND(C3883*E3883,0)</f>
        <v>1871</v>
      </c>
      <c r="H3883" t="s">
        <v>8899</v>
      </c>
    </row>
    <row r="3884" spans="1:8" x14ac:dyDescent="0.25">
      <c r="A3884" s="21" t="s">
        <v>8918</v>
      </c>
      <c r="B3884" s="25" t="s">
        <v>8901</v>
      </c>
      <c r="C3884" s="26">
        <v>1</v>
      </c>
      <c r="D3884" s="27" t="s">
        <v>110</v>
      </c>
      <c r="E3884" s="26">
        <v>1955.6</v>
      </c>
      <c r="F3884" s="28" t="s">
        <v>68</v>
      </c>
      <c r="G3884" s="26">
        <f>ROUND(C3884*E3884,0)</f>
        <v>1956</v>
      </c>
      <c r="H3884" t="s">
        <v>8901</v>
      </c>
    </row>
    <row r="3885" spans="1:8" x14ac:dyDescent="0.25">
      <c r="A3885" s="21" t="s">
        <v>8919</v>
      </c>
      <c r="B3885" s="25" t="s">
        <v>8903</v>
      </c>
      <c r="C3885" s="26">
        <v>1</v>
      </c>
      <c r="D3885" s="27" t="s">
        <v>110</v>
      </c>
      <c r="E3885" s="26">
        <v>2496.5500000000002</v>
      </c>
      <c r="F3885" s="28" t="s">
        <v>68</v>
      </c>
      <c r="G3885" s="26">
        <f>ROUND(C3885*E3885,0)</f>
        <v>2497</v>
      </c>
      <c r="H3885" t="s">
        <v>8903</v>
      </c>
    </row>
    <row r="3886" spans="1:8" ht="105" x14ac:dyDescent="0.25">
      <c r="A3886" s="21" t="s">
        <v>8920</v>
      </c>
      <c r="B3886" s="25" t="s">
        <v>8922</v>
      </c>
      <c r="C3886" s="26"/>
      <c r="D3886" s="27"/>
      <c r="E3886" s="26"/>
      <c r="F3886" s="28"/>
      <c r="G3886" s="26"/>
      <c r="H3886" t="s">
        <v>8921</v>
      </c>
    </row>
    <row r="3887" spans="1:8" x14ac:dyDescent="0.25">
      <c r="A3887" s="21" t="s">
        <v>8923</v>
      </c>
      <c r="B3887" s="25" t="s">
        <v>8924</v>
      </c>
      <c r="C3887" s="26">
        <v>1</v>
      </c>
      <c r="D3887" s="27" t="s">
        <v>110</v>
      </c>
      <c r="E3887" s="26">
        <v>672.3</v>
      </c>
      <c r="F3887" s="28" t="s">
        <v>68</v>
      </c>
      <c r="G3887" s="26">
        <f>ROUND(C3887*E3887,0)</f>
        <v>672</v>
      </c>
      <c r="H3887" t="s">
        <v>8924</v>
      </c>
    </row>
    <row r="3888" spans="1:8" x14ac:dyDescent="0.25">
      <c r="A3888" s="21" t="s">
        <v>8925</v>
      </c>
      <c r="B3888" s="25" t="s">
        <v>8926</v>
      </c>
      <c r="C3888" s="26">
        <v>1</v>
      </c>
      <c r="D3888" s="27" t="s">
        <v>110</v>
      </c>
      <c r="E3888" s="26">
        <v>793.25</v>
      </c>
      <c r="F3888" s="28" t="s">
        <v>68</v>
      </c>
      <c r="G3888" s="26">
        <f>ROUND(C3888*E3888,0)</f>
        <v>793</v>
      </c>
      <c r="H3888" t="s">
        <v>8926</v>
      </c>
    </row>
    <row r="3889" spans="1:8" x14ac:dyDescent="0.25">
      <c r="A3889" s="21" t="s">
        <v>8927</v>
      </c>
      <c r="B3889" s="25" t="s">
        <v>8928</v>
      </c>
      <c r="C3889" s="26">
        <v>1</v>
      </c>
      <c r="D3889" s="27" t="s">
        <v>110</v>
      </c>
      <c r="E3889" s="26">
        <v>1113.3499999999999</v>
      </c>
      <c r="F3889" s="28" t="s">
        <v>68</v>
      </c>
      <c r="G3889" s="26">
        <f>ROUND(C3889*E3889,0)</f>
        <v>1113</v>
      </c>
      <c r="H3889" t="s">
        <v>8928</v>
      </c>
    </row>
    <row r="3890" spans="1:8" ht="105" x14ac:dyDescent="0.25">
      <c r="A3890" s="21" t="s">
        <v>8929</v>
      </c>
      <c r="B3890" s="25" t="s">
        <v>8931</v>
      </c>
      <c r="C3890" s="26"/>
      <c r="D3890" s="27"/>
      <c r="E3890" s="26"/>
      <c r="F3890" s="28"/>
      <c r="G3890" s="26"/>
      <c r="H3890" t="s">
        <v>8930</v>
      </c>
    </row>
    <row r="3891" spans="1:8" x14ac:dyDescent="0.25">
      <c r="A3891" s="21" t="s">
        <v>8932</v>
      </c>
      <c r="B3891" s="25" t="s">
        <v>8924</v>
      </c>
      <c r="C3891" s="26">
        <v>1</v>
      </c>
      <c r="D3891" s="27" t="s">
        <v>110</v>
      </c>
      <c r="E3891" s="26">
        <v>686.55</v>
      </c>
      <c r="F3891" s="28" t="s">
        <v>68</v>
      </c>
      <c r="G3891" s="26">
        <f t="shared" ref="G3891:G3898" si="133">ROUND(C3891*E3891,0)</f>
        <v>687</v>
      </c>
      <c r="H3891" t="s">
        <v>8924</v>
      </c>
    </row>
    <row r="3892" spans="1:8" x14ac:dyDescent="0.25">
      <c r="A3892" s="21" t="s">
        <v>8933</v>
      </c>
      <c r="B3892" s="25" t="s">
        <v>8926</v>
      </c>
      <c r="C3892" s="26">
        <v>1</v>
      </c>
      <c r="D3892" s="27" t="s">
        <v>110</v>
      </c>
      <c r="E3892" s="26">
        <v>807.45</v>
      </c>
      <c r="F3892" s="28" t="s">
        <v>68</v>
      </c>
      <c r="G3892" s="26">
        <f t="shared" si="133"/>
        <v>807</v>
      </c>
      <c r="H3892" t="s">
        <v>8926</v>
      </c>
    </row>
    <row r="3893" spans="1:8" x14ac:dyDescent="0.25">
      <c r="A3893" s="21" t="s">
        <v>8934</v>
      </c>
      <c r="B3893" s="25" t="s">
        <v>8928</v>
      </c>
      <c r="C3893" s="26">
        <v>1</v>
      </c>
      <c r="D3893" s="27" t="s">
        <v>110</v>
      </c>
      <c r="E3893" s="26">
        <v>1255.7</v>
      </c>
      <c r="F3893" s="28" t="s">
        <v>68</v>
      </c>
      <c r="G3893" s="26">
        <f t="shared" si="133"/>
        <v>1256</v>
      </c>
      <c r="H3893" t="s">
        <v>8928</v>
      </c>
    </row>
    <row r="3894" spans="1:8" ht="75" x14ac:dyDescent="0.25">
      <c r="A3894" s="21" t="s">
        <v>8935</v>
      </c>
      <c r="B3894" s="25" t="s">
        <v>8937</v>
      </c>
      <c r="C3894" s="26">
        <v>1</v>
      </c>
      <c r="D3894" s="27" t="s">
        <v>21</v>
      </c>
      <c r="E3894" s="26">
        <v>1509.8</v>
      </c>
      <c r="F3894" s="28" t="s">
        <v>22</v>
      </c>
      <c r="G3894" s="26">
        <f t="shared" si="133"/>
        <v>1510</v>
      </c>
      <c r="H3894" t="s">
        <v>8936</v>
      </c>
    </row>
    <row r="3895" spans="1:8" ht="75" x14ac:dyDescent="0.25">
      <c r="A3895" s="21" t="s">
        <v>8938</v>
      </c>
      <c r="B3895" s="25" t="s">
        <v>8940</v>
      </c>
      <c r="C3895" s="26">
        <v>1</v>
      </c>
      <c r="D3895" s="27" t="s">
        <v>21</v>
      </c>
      <c r="E3895" s="26">
        <v>1538.25</v>
      </c>
      <c r="F3895" s="28" t="s">
        <v>22</v>
      </c>
      <c r="G3895" s="26">
        <f t="shared" si="133"/>
        <v>1538</v>
      </c>
      <c r="H3895" t="s">
        <v>8939</v>
      </c>
    </row>
    <row r="3896" spans="1:8" ht="75" x14ac:dyDescent="0.25">
      <c r="A3896" s="21" t="s">
        <v>8941</v>
      </c>
      <c r="B3896" s="25" t="s">
        <v>8943</v>
      </c>
      <c r="C3896" s="26">
        <v>1</v>
      </c>
      <c r="D3896" s="27" t="s">
        <v>21</v>
      </c>
      <c r="E3896" s="26">
        <v>1538.25</v>
      </c>
      <c r="F3896" s="28" t="s">
        <v>22</v>
      </c>
      <c r="G3896" s="26">
        <f t="shared" si="133"/>
        <v>1538</v>
      </c>
      <c r="H3896" t="s">
        <v>8942</v>
      </c>
    </row>
    <row r="3897" spans="1:8" ht="75" x14ac:dyDescent="0.25">
      <c r="A3897" s="21" t="s">
        <v>8944</v>
      </c>
      <c r="B3897" s="25" t="s">
        <v>8946</v>
      </c>
      <c r="C3897" s="26">
        <v>1</v>
      </c>
      <c r="D3897" s="27" t="s">
        <v>21</v>
      </c>
      <c r="E3897" s="26">
        <v>2024.5</v>
      </c>
      <c r="F3897" s="28" t="s">
        <v>22</v>
      </c>
      <c r="G3897" s="26">
        <f t="shared" si="133"/>
        <v>2025</v>
      </c>
      <c r="H3897" t="s">
        <v>8945</v>
      </c>
    </row>
    <row r="3898" spans="1:8" ht="150" x14ac:dyDescent="0.25">
      <c r="A3898" s="21" t="s">
        <v>8947</v>
      </c>
      <c r="B3898" s="25" t="s">
        <v>8949</v>
      </c>
      <c r="C3898" s="26">
        <v>1</v>
      </c>
      <c r="D3898" s="27" t="s">
        <v>201</v>
      </c>
      <c r="E3898" s="26">
        <v>1399.95</v>
      </c>
      <c r="F3898" s="28" t="s">
        <v>202</v>
      </c>
      <c r="G3898" s="26">
        <f t="shared" si="133"/>
        <v>1400</v>
      </c>
      <c r="H3898" t="s">
        <v>8948</v>
      </c>
    </row>
    <row r="3899" spans="1:8" ht="165" x14ac:dyDescent="0.25">
      <c r="A3899" s="21" t="s">
        <v>8950</v>
      </c>
      <c r="B3899" s="25" t="s">
        <v>8952</v>
      </c>
      <c r="C3899" s="26"/>
      <c r="D3899" s="27"/>
      <c r="E3899" s="26"/>
      <c r="F3899" s="28"/>
      <c r="G3899" s="26"/>
      <c r="H3899" t="s">
        <v>8951</v>
      </c>
    </row>
    <row r="3900" spans="1:8" ht="30" x14ac:dyDescent="0.25">
      <c r="A3900" s="21" t="s">
        <v>8953</v>
      </c>
      <c r="B3900" s="25" t="s">
        <v>8954</v>
      </c>
      <c r="C3900" s="26">
        <v>1</v>
      </c>
      <c r="D3900" s="27" t="s">
        <v>110</v>
      </c>
      <c r="E3900" s="26">
        <v>1359.25</v>
      </c>
      <c r="F3900" s="28" t="s">
        <v>68</v>
      </c>
      <c r="G3900" s="26">
        <f>ROUND(C3900*E3900,0)</f>
        <v>1359</v>
      </c>
      <c r="H3900" t="s">
        <v>8954</v>
      </c>
    </row>
    <row r="3901" spans="1:8" ht="30" x14ac:dyDescent="0.25">
      <c r="A3901" s="21" t="s">
        <v>8955</v>
      </c>
      <c r="B3901" s="25" t="s">
        <v>8956</v>
      </c>
      <c r="C3901" s="26">
        <v>1</v>
      </c>
      <c r="D3901" s="27" t="s">
        <v>110</v>
      </c>
      <c r="E3901" s="26">
        <v>1972.25</v>
      </c>
      <c r="F3901" s="28" t="s">
        <v>68</v>
      </c>
      <c r="G3901" s="26">
        <f>ROUND(C3901*E3901,0)</f>
        <v>1972</v>
      </c>
      <c r="H3901" t="s">
        <v>8956</v>
      </c>
    </row>
    <row r="3902" spans="1:8" ht="30" x14ac:dyDescent="0.25">
      <c r="A3902" s="21" t="s">
        <v>8957</v>
      </c>
      <c r="B3902" s="25" t="s">
        <v>8958</v>
      </c>
      <c r="C3902" s="26">
        <v>1</v>
      </c>
      <c r="D3902" s="27" t="s">
        <v>110</v>
      </c>
      <c r="E3902" s="26">
        <v>2442.75</v>
      </c>
      <c r="F3902" s="28" t="s">
        <v>68</v>
      </c>
      <c r="G3902" s="26">
        <f>ROUND(C3902*E3902,0)</f>
        <v>2443</v>
      </c>
      <c r="H3902" t="s">
        <v>8958</v>
      </c>
    </row>
    <row r="3903" spans="1:8" ht="195" x14ac:dyDescent="0.25">
      <c r="A3903" s="21" t="s">
        <v>8959</v>
      </c>
      <c r="B3903" s="25" t="s">
        <v>8961</v>
      </c>
      <c r="C3903" s="26"/>
      <c r="D3903" s="27"/>
      <c r="E3903" s="26"/>
      <c r="F3903" s="28"/>
      <c r="G3903" s="26"/>
      <c r="H3903" t="s">
        <v>8960</v>
      </c>
    </row>
    <row r="3904" spans="1:8" x14ac:dyDescent="0.25">
      <c r="A3904" s="21" t="s">
        <v>8962</v>
      </c>
      <c r="B3904" s="25" t="s">
        <v>8924</v>
      </c>
      <c r="C3904" s="26">
        <v>1</v>
      </c>
      <c r="D3904" s="27" t="s">
        <v>110</v>
      </c>
      <c r="E3904" s="26">
        <v>1456.8</v>
      </c>
      <c r="F3904" s="28" t="s">
        <v>68</v>
      </c>
      <c r="G3904" s="26">
        <f>ROUND(C3904*E3904,0)</f>
        <v>1457</v>
      </c>
      <c r="H3904" t="s">
        <v>8924</v>
      </c>
    </row>
    <row r="3905" spans="1:8" x14ac:dyDescent="0.25">
      <c r="A3905" s="21" t="s">
        <v>8963</v>
      </c>
      <c r="B3905" s="25" t="s">
        <v>8926</v>
      </c>
      <c r="C3905" s="26">
        <v>1</v>
      </c>
      <c r="D3905" s="27" t="s">
        <v>110</v>
      </c>
      <c r="E3905" s="26">
        <v>2102.25</v>
      </c>
      <c r="F3905" s="28" t="s">
        <v>68</v>
      </c>
      <c r="G3905" s="26">
        <f>ROUND(C3905*E3905,0)</f>
        <v>2102</v>
      </c>
      <c r="H3905" t="s">
        <v>8926</v>
      </c>
    </row>
    <row r="3906" spans="1:8" x14ac:dyDescent="0.25">
      <c r="A3906" s="21" t="s">
        <v>8964</v>
      </c>
      <c r="B3906" s="25" t="s">
        <v>8928</v>
      </c>
      <c r="C3906" s="26">
        <v>1</v>
      </c>
      <c r="D3906" s="27" t="s">
        <v>110</v>
      </c>
      <c r="E3906" s="26">
        <v>2571.0500000000002</v>
      </c>
      <c r="F3906" s="28" t="s">
        <v>68</v>
      </c>
      <c r="G3906" s="26">
        <f>ROUND(C3906*E3906,0)</f>
        <v>2571</v>
      </c>
      <c r="H3906" t="s">
        <v>8928</v>
      </c>
    </row>
    <row r="3907" spans="1:8" ht="225" x14ac:dyDescent="0.25">
      <c r="A3907" s="21" t="s">
        <v>8965</v>
      </c>
      <c r="B3907" s="25" t="s">
        <v>8967</v>
      </c>
      <c r="C3907" s="26">
        <v>1</v>
      </c>
      <c r="D3907" s="27" t="s">
        <v>8968</v>
      </c>
      <c r="E3907" s="26">
        <v>1085.05</v>
      </c>
      <c r="F3907" s="28" t="s">
        <v>8969</v>
      </c>
      <c r="G3907" s="26">
        <f>ROUND(C3907*E3907,0)</f>
        <v>1085</v>
      </c>
      <c r="H3907" t="s">
        <v>8966</v>
      </c>
    </row>
    <row r="3908" spans="1:8" ht="60" x14ac:dyDescent="0.25">
      <c r="A3908" s="21" t="s">
        <v>8970</v>
      </c>
      <c r="B3908" s="25" t="s">
        <v>8972</v>
      </c>
      <c r="C3908" s="26"/>
      <c r="D3908" s="27"/>
      <c r="E3908" s="26"/>
      <c r="F3908" s="28"/>
      <c r="G3908" s="26"/>
      <c r="H3908" t="s">
        <v>8971</v>
      </c>
    </row>
    <row r="3909" spans="1:8" x14ac:dyDescent="0.25">
      <c r="A3909" s="21" t="s">
        <v>8973</v>
      </c>
      <c r="B3909" s="25" t="s">
        <v>6023</v>
      </c>
      <c r="C3909" s="26">
        <v>1</v>
      </c>
      <c r="D3909" s="27" t="s">
        <v>201</v>
      </c>
      <c r="E3909" s="26">
        <v>224.1</v>
      </c>
      <c r="F3909" s="28" t="s">
        <v>202</v>
      </c>
      <c r="G3909" s="26">
        <f>ROUND(C3909*E3909,0)</f>
        <v>224</v>
      </c>
      <c r="H3909" t="s">
        <v>6023</v>
      </c>
    </row>
    <row r="3910" spans="1:8" x14ac:dyDescent="0.25">
      <c r="A3910" s="21" t="s">
        <v>8974</v>
      </c>
      <c r="B3910" s="25" t="s">
        <v>7118</v>
      </c>
      <c r="C3910" s="26">
        <v>1</v>
      </c>
      <c r="D3910" s="27" t="s">
        <v>201</v>
      </c>
      <c r="E3910" s="26">
        <v>246.45</v>
      </c>
      <c r="F3910" s="28" t="s">
        <v>202</v>
      </c>
      <c r="G3910" s="26">
        <f>ROUND(C3910*E3910,0)</f>
        <v>246</v>
      </c>
      <c r="H3910" t="s">
        <v>7118</v>
      </c>
    </row>
    <row r="3911" spans="1:8" x14ac:dyDescent="0.25">
      <c r="A3911" s="21" t="s">
        <v>8975</v>
      </c>
      <c r="B3911" s="25" t="s">
        <v>7121</v>
      </c>
      <c r="C3911" s="26">
        <v>1</v>
      </c>
      <c r="D3911" s="27" t="s">
        <v>201</v>
      </c>
      <c r="E3911" s="26">
        <v>321.14999999999998</v>
      </c>
      <c r="F3911" s="28" t="s">
        <v>202</v>
      </c>
      <c r="G3911" s="26">
        <f>ROUND(C3911*E3911,0)</f>
        <v>321</v>
      </c>
      <c r="H3911" t="s">
        <v>7121</v>
      </c>
    </row>
    <row r="3912" spans="1:8" ht="60" x14ac:dyDescent="0.25">
      <c r="A3912" s="21" t="s">
        <v>8976</v>
      </c>
      <c r="B3912" s="25" t="s">
        <v>8978</v>
      </c>
      <c r="C3912" s="26"/>
      <c r="D3912" s="27"/>
      <c r="E3912" s="26"/>
      <c r="F3912" s="28"/>
      <c r="G3912" s="26"/>
      <c r="H3912" t="s">
        <v>8977</v>
      </c>
    </row>
    <row r="3913" spans="1:8" x14ac:dyDescent="0.25">
      <c r="A3913" s="21" t="s">
        <v>8979</v>
      </c>
      <c r="B3913" s="25" t="s">
        <v>8980</v>
      </c>
      <c r="C3913" s="26">
        <v>1</v>
      </c>
      <c r="D3913" s="27" t="s">
        <v>201</v>
      </c>
      <c r="E3913" s="26">
        <v>1911.4</v>
      </c>
      <c r="F3913" s="28" t="s">
        <v>202</v>
      </c>
      <c r="G3913" s="26">
        <f>ROUND(C3913*E3913,0)</f>
        <v>1911</v>
      </c>
      <c r="H3913" t="s">
        <v>8980</v>
      </c>
    </row>
    <row r="3914" spans="1:8" x14ac:dyDescent="0.25">
      <c r="A3914" s="21" t="s">
        <v>8981</v>
      </c>
      <c r="B3914" s="25" t="s">
        <v>8982</v>
      </c>
      <c r="C3914" s="26">
        <v>1</v>
      </c>
      <c r="D3914" s="27" t="s">
        <v>201</v>
      </c>
      <c r="E3914" s="26">
        <v>2019.05</v>
      </c>
      <c r="F3914" s="28" t="s">
        <v>202</v>
      </c>
      <c r="G3914" s="26">
        <f>ROUND(C3914*E3914,0)</f>
        <v>2019</v>
      </c>
      <c r="H3914" t="s">
        <v>8982</v>
      </c>
    </row>
    <row r="3915" spans="1:8" x14ac:dyDescent="0.25">
      <c r="A3915" s="21" t="s">
        <v>8983</v>
      </c>
      <c r="B3915" s="25" t="s">
        <v>8984</v>
      </c>
      <c r="C3915" s="26">
        <v>1</v>
      </c>
      <c r="D3915" s="27" t="s">
        <v>201</v>
      </c>
      <c r="E3915" s="26">
        <v>2293.65</v>
      </c>
      <c r="F3915" s="28" t="s">
        <v>202</v>
      </c>
      <c r="G3915" s="26">
        <f>ROUND(C3915*E3915,0)</f>
        <v>2294</v>
      </c>
      <c r="H3915" t="s">
        <v>8984</v>
      </c>
    </row>
    <row r="3916" spans="1:8" ht="45" x14ac:dyDescent="0.25">
      <c r="A3916" s="21" t="s">
        <v>8985</v>
      </c>
      <c r="B3916" s="25" t="s">
        <v>8987</v>
      </c>
      <c r="C3916" s="26"/>
      <c r="D3916" s="27"/>
      <c r="E3916" s="26"/>
      <c r="F3916" s="28"/>
      <c r="G3916" s="26"/>
      <c r="H3916" t="s">
        <v>8986</v>
      </c>
    </row>
    <row r="3917" spans="1:8" x14ac:dyDescent="0.25">
      <c r="A3917" s="21" t="s">
        <v>8988</v>
      </c>
      <c r="B3917" s="25" t="s">
        <v>6023</v>
      </c>
      <c r="C3917" s="26">
        <v>1</v>
      </c>
      <c r="D3917" s="27" t="s">
        <v>201</v>
      </c>
      <c r="E3917" s="26">
        <v>265.10000000000002</v>
      </c>
      <c r="F3917" s="28" t="s">
        <v>202</v>
      </c>
      <c r="G3917" s="26">
        <f>ROUND(C3917*E3917,0)</f>
        <v>265</v>
      </c>
      <c r="H3917" t="s">
        <v>6023</v>
      </c>
    </row>
    <row r="3918" spans="1:8" x14ac:dyDescent="0.25">
      <c r="A3918" s="21" t="s">
        <v>8989</v>
      </c>
      <c r="B3918" s="25" t="s">
        <v>7118</v>
      </c>
      <c r="C3918" s="26">
        <v>1</v>
      </c>
      <c r="D3918" s="27" t="s">
        <v>201</v>
      </c>
      <c r="E3918" s="26">
        <v>322</v>
      </c>
      <c r="F3918" s="28" t="s">
        <v>202</v>
      </c>
      <c r="G3918" s="26">
        <f>ROUND(C3918*E3918,0)</f>
        <v>322</v>
      </c>
      <c r="H3918" t="s">
        <v>7118</v>
      </c>
    </row>
    <row r="3919" spans="1:8" x14ac:dyDescent="0.25">
      <c r="A3919" s="21" t="s">
        <v>8990</v>
      </c>
      <c r="B3919" s="25" t="s">
        <v>7121</v>
      </c>
      <c r="C3919" s="26">
        <v>1</v>
      </c>
      <c r="D3919" s="27" t="s">
        <v>201</v>
      </c>
      <c r="E3919" s="26">
        <v>357.6</v>
      </c>
      <c r="F3919" s="28" t="s">
        <v>202</v>
      </c>
      <c r="G3919" s="26">
        <f>ROUND(C3919*E3919,0)</f>
        <v>358</v>
      </c>
      <c r="H3919" t="s">
        <v>7121</v>
      </c>
    </row>
    <row r="3920" spans="1:8" x14ac:dyDescent="0.25">
      <c r="A3920" s="21"/>
      <c r="B3920" s="45" t="s">
        <v>8991</v>
      </c>
      <c r="C3920" s="45"/>
      <c r="D3920" s="45"/>
      <c r="E3920" s="45"/>
      <c r="F3920" s="45"/>
      <c r="G3920" s="29">
        <f>SUM(G3868:G3919)</f>
        <v>51686</v>
      </c>
    </row>
    <row r="3921" spans="1:8" x14ac:dyDescent="0.25">
      <c r="A3921" s="46" t="s">
        <v>8992</v>
      </c>
      <c r="B3921" s="47"/>
      <c r="C3921" s="47"/>
      <c r="D3921" s="47"/>
      <c r="E3921" s="47"/>
      <c r="F3921" s="47"/>
      <c r="G3921" s="47"/>
    </row>
    <row r="3922" spans="1:8" ht="105" x14ac:dyDescent="0.25">
      <c r="A3922" s="21" t="s">
        <v>8993</v>
      </c>
      <c r="B3922" s="25" t="s">
        <v>8995</v>
      </c>
      <c r="C3922" s="26">
        <v>1</v>
      </c>
      <c r="D3922" s="27" t="s">
        <v>15</v>
      </c>
      <c r="E3922" s="26">
        <v>72.45</v>
      </c>
      <c r="F3922" s="28" t="s">
        <v>16</v>
      </c>
      <c r="G3922" s="26">
        <f>ROUND(C3922*E3922,0)</f>
        <v>72</v>
      </c>
      <c r="H3922" t="s">
        <v>8994</v>
      </c>
    </row>
    <row r="3923" spans="1:8" ht="210" x14ac:dyDescent="0.25">
      <c r="A3923" s="21" t="s">
        <v>8996</v>
      </c>
      <c r="B3923" s="25" t="s">
        <v>8998</v>
      </c>
      <c r="C3923" s="26"/>
      <c r="D3923" s="27"/>
      <c r="E3923" s="26"/>
      <c r="F3923" s="28"/>
      <c r="G3923" s="26"/>
      <c r="H3923" t="s">
        <v>8997</v>
      </c>
    </row>
    <row r="3924" spans="1:8" ht="105" x14ac:dyDescent="0.25">
      <c r="A3924" s="21"/>
      <c r="B3924" s="25" t="s">
        <v>8999</v>
      </c>
      <c r="C3924" s="26"/>
      <c r="D3924" s="27"/>
      <c r="E3924" s="26"/>
      <c r="F3924" s="28"/>
      <c r="G3924" s="26"/>
    </row>
    <row r="3925" spans="1:8" ht="30" x14ac:dyDescent="0.25">
      <c r="A3925" s="21"/>
      <c r="B3925" s="25" t="s">
        <v>9000</v>
      </c>
      <c r="C3925" s="26"/>
      <c r="D3925" s="27"/>
      <c r="E3925" s="26"/>
      <c r="F3925" s="28"/>
      <c r="G3925" s="26"/>
    </row>
    <row r="3926" spans="1:8" ht="30" x14ac:dyDescent="0.25">
      <c r="A3926" s="21"/>
      <c r="B3926" s="25" t="s">
        <v>9001</v>
      </c>
      <c r="C3926" s="26">
        <v>1</v>
      </c>
      <c r="D3926" s="27" t="s">
        <v>15</v>
      </c>
      <c r="E3926" s="26">
        <v>338.25</v>
      </c>
      <c r="F3926" s="28" t="s">
        <v>16</v>
      </c>
      <c r="G3926" s="26">
        <f t="shared" ref="G3926:G3932" si="134">ROUND(C3926*E3926,0)</f>
        <v>338</v>
      </c>
    </row>
    <row r="3927" spans="1:8" ht="330" x14ac:dyDescent="0.25">
      <c r="A3927" s="21" t="s">
        <v>9002</v>
      </c>
      <c r="B3927" s="25" t="s">
        <v>9004</v>
      </c>
      <c r="C3927" s="26">
        <v>1</v>
      </c>
      <c r="D3927" s="27" t="s">
        <v>15</v>
      </c>
      <c r="E3927" s="26">
        <v>211.05</v>
      </c>
      <c r="F3927" s="28" t="s">
        <v>16</v>
      </c>
      <c r="G3927" s="26">
        <f t="shared" si="134"/>
        <v>211</v>
      </c>
      <c r="H3927" t="s">
        <v>9003</v>
      </c>
    </row>
    <row r="3928" spans="1:8" ht="105" x14ac:dyDescent="0.25">
      <c r="A3928" s="21" t="s">
        <v>9005</v>
      </c>
      <c r="B3928" s="25" t="s">
        <v>9007</v>
      </c>
      <c r="C3928" s="26">
        <v>1</v>
      </c>
      <c r="D3928" s="27" t="s">
        <v>15</v>
      </c>
      <c r="E3928" s="26">
        <v>77.900000000000006</v>
      </c>
      <c r="F3928" s="28" t="s">
        <v>16</v>
      </c>
      <c r="G3928" s="26">
        <f t="shared" si="134"/>
        <v>78</v>
      </c>
      <c r="H3928" t="s">
        <v>9006</v>
      </c>
    </row>
    <row r="3929" spans="1:8" ht="90" x14ac:dyDescent="0.25">
      <c r="A3929" s="21" t="s">
        <v>9008</v>
      </c>
      <c r="B3929" s="25" t="s">
        <v>9010</v>
      </c>
      <c r="C3929" s="26">
        <v>1</v>
      </c>
      <c r="D3929" s="27" t="s">
        <v>15</v>
      </c>
      <c r="E3929" s="26">
        <v>374.3</v>
      </c>
      <c r="F3929" s="28" t="s">
        <v>16</v>
      </c>
      <c r="G3929" s="26">
        <f t="shared" si="134"/>
        <v>374</v>
      </c>
      <c r="H3929" t="s">
        <v>9009</v>
      </c>
    </row>
    <row r="3930" spans="1:8" ht="105" x14ac:dyDescent="0.25">
      <c r="A3930" s="21" t="s">
        <v>9011</v>
      </c>
      <c r="B3930" s="25" t="s">
        <v>9013</v>
      </c>
      <c r="C3930" s="26">
        <v>1</v>
      </c>
      <c r="D3930" s="27" t="s">
        <v>15</v>
      </c>
      <c r="E3930" s="26">
        <v>374.3</v>
      </c>
      <c r="F3930" s="28" t="s">
        <v>16</v>
      </c>
      <c r="G3930" s="26">
        <f t="shared" si="134"/>
        <v>374</v>
      </c>
      <c r="H3930" t="s">
        <v>9012</v>
      </c>
    </row>
    <row r="3931" spans="1:8" ht="165" x14ac:dyDescent="0.25">
      <c r="A3931" s="21" t="s">
        <v>9014</v>
      </c>
      <c r="B3931" s="25" t="s">
        <v>9016</v>
      </c>
      <c r="C3931" s="26">
        <v>1</v>
      </c>
      <c r="D3931" s="27" t="s">
        <v>15</v>
      </c>
      <c r="E3931" s="26">
        <v>329.05</v>
      </c>
      <c r="F3931" s="28" t="s">
        <v>16</v>
      </c>
      <c r="G3931" s="26">
        <f t="shared" si="134"/>
        <v>329</v>
      </c>
      <c r="H3931" t="s">
        <v>9015</v>
      </c>
    </row>
    <row r="3932" spans="1:8" ht="195" x14ac:dyDescent="0.25">
      <c r="A3932" s="21" t="s">
        <v>9017</v>
      </c>
      <c r="B3932" s="25" t="s">
        <v>9019</v>
      </c>
      <c r="C3932" s="26">
        <v>1</v>
      </c>
      <c r="D3932" s="27" t="s">
        <v>15</v>
      </c>
      <c r="E3932" s="26">
        <v>109.9</v>
      </c>
      <c r="F3932" s="28" t="s">
        <v>16</v>
      </c>
      <c r="G3932" s="26">
        <f t="shared" si="134"/>
        <v>110</v>
      </c>
      <c r="H3932" t="s">
        <v>9018</v>
      </c>
    </row>
    <row r="3933" spans="1:8" x14ac:dyDescent="0.25">
      <c r="A3933" s="21"/>
      <c r="B3933" s="45" t="s">
        <v>9020</v>
      </c>
      <c r="C3933" s="45"/>
      <c r="D3933" s="45"/>
      <c r="E3933" s="45"/>
      <c r="F3933" s="45"/>
      <c r="G3933" s="29">
        <f>SUM(G3922:G3932)</f>
        <v>1886</v>
      </c>
    </row>
    <row r="3934" spans="1:8" x14ac:dyDescent="0.25">
      <c r="A3934" s="46" t="s">
        <v>9021</v>
      </c>
      <c r="B3934" s="47"/>
      <c r="C3934" s="47"/>
      <c r="D3934" s="47"/>
      <c r="E3934" s="47"/>
      <c r="F3934" s="47"/>
      <c r="G3934" s="47"/>
    </row>
    <row r="3935" spans="1:8" ht="210" x14ac:dyDescent="0.25">
      <c r="A3935" s="21" t="s">
        <v>9022</v>
      </c>
      <c r="B3935" s="25" t="s">
        <v>9024</v>
      </c>
      <c r="C3935" s="26">
        <v>1</v>
      </c>
      <c r="D3935" s="27" t="s">
        <v>725</v>
      </c>
      <c r="E3935" s="26">
        <v>414.3</v>
      </c>
      <c r="F3935" s="28" t="s">
        <v>726</v>
      </c>
      <c r="G3935" s="26">
        <f>ROUND(C3935*E3935,0)</f>
        <v>414</v>
      </c>
      <c r="H3935" t="s">
        <v>9023</v>
      </c>
    </row>
    <row r="3936" spans="1:8" ht="90" x14ac:dyDescent="0.25">
      <c r="A3936" s="21" t="s">
        <v>9025</v>
      </c>
      <c r="B3936" s="25" t="s">
        <v>9026</v>
      </c>
      <c r="C3936" s="26">
        <v>1</v>
      </c>
      <c r="D3936" s="27" t="s">
        <v>15</v>
      </c>
      <c r="E3936" s="26">
        <v>3510.5</v>
      </c>
      <c r="F3936" s="28" t="s">
        <v>16</v>
      </c>
      <c r="G3936" s="26">
        <f>ROUND(C3936*E3936,0)</f>
        <v>3511</v>
      </c>
      <c r="H3936" t="s">
        <v>9026</v>
      </c>
    </row>
    <row r="3937" spans="1:8" ht="240" x14ac:dyDescent="0.25">
      <c r="A3937" s="21" t="s">
        <v>9027</v>
      </c>
      <c r="B3937" s="25" t="s">
        <v>9029</v>
      </c>
      <c r="C3937" s="26"/>
      <c r="D3937" s="27"/>
      <c r="E3937" s="26"/>
      <c r="F3937" s="28"/>
      <c r="G3937" s="26"/>
      <c r="H3937" t="s">
        <v>9028</v>
      </c>
    </row>
    <row r="3938" spans="1:8" ht="120" x14ac:dyDescent="0.25">
      <c r="A3938" s="21"/>
      <c r="B3938" s="25" t="s">
        <v>9030</v>
      </c>
      <c r="C3938" s="26"/>
      <c r="D3938" s="27"/>
      <c r="E3938" s="26"/>
      <c r="F3938" s="28"/>
      <c r="G3938" s="26"/>
    </row>
    <row r="3939" spans="1:8" ht="165" x14ac:dyDescent="0.25">
      <c r="A3939" s="21"/>
      <c r="B3939" s="25" t="s">
        <v>9031</v>
      </c>
      <c r="C3939" s="26">
        <v>1</v>
      </c>
      <c r="D3939" s="27" t="s">
        <v>15</v>
      </c>
      <c r="E3939" s="26">
        <v>3718.7</v>
      </c>
      <c r="F3939" s="28" t="s">
        <v>16</v>
      </c>
      <c r="G3939" s="26">
        <f>ROUND(C3939*E3939,0)</f>
        <v>3719</v>
      </c>
    </row>
    <row r="3940" spans="1:8" ht="180" x14ac:dyDescent="0.25">
      <c r="A3940" s="21" t="s">
        <v>9032</v>
      </c>
      <c r="B3940" s="25" t="s">
        <v>9034</v>
      </c>
      <c r="C3940" s="26">
        <v>1</v>
      </c>
      <c r="D3940" s="27" t="s">
        <v>15</v>
      </c>
      <c r="E3940" s="26">
        <v>3671.5</v>
      </c>
      <c r="F3940" s="28" t="s">
        <v>16</v>
      </c>
      <c r="G3940" s="26">
        <f>ROUND(C3940*E3940,0)</f>
        <v>3672</v>
      </c>
      <c r="H3940" t="s">
        <v>9033</v>
      </c>
    </row>
    <row r="3941" spans="1:8" ht="105" x14ac:dyDescent="0.25">
      <c r="A3941" s="21" t="s">
        <v>9035</v>
      </c>
      <c r="B3941" s="25" t="s">
        <v>9037</v>
      </c>
      <c r="C3941" s="26"/>
      <c r="D3941" s="27"/>
      <c r="E3941" s="26"/>
      <c r="F3941" s="28"/>
      <c r="G3941" s="26"/>
      <c r="H3941" t="s">
        <v>9036</v>
      </c>
    </row>
    <row r="3942" spans="1:8" ht="150" x14ac:dyDescent="0.25">
      <c r="A3942" s="21"/>
      <c r="B3942" s="25" t="s">
        <v>9038</v>
      </c>
      <c r="C3942" s="26">
        <v>1</v>
      </c>
      <c r="D3942" s="27" t="s">
        <v>15</v>
      </c>
      <c r="E3942" s="26">
        <v>2159.65</v>
      </c>
      <c r="F3942" s="28" t="s">
        <v>16</v>
      </c>
      <c r="G3942" s="26">
        <f>ROUND(C3942*E3942,0)</f>
        <v>2160</v>
      </c>
    </row>
    <row r="3943" spans="1:8" ht="150" x14ac:dyDescent="0.25">
      <c r="A3943" s="21" t="s">
        <v>9039</v>
      </c>
      <c r="B3943" s="25" t="s">
        <v>9041</v>
      </c>
      <c r="C3943" s="26"/>
      <c r="D3943" s="27"/>
      <c r="E3943" s="26"/>
      <c r="F3943" s="28"/>
      <c r="G3943" s="26"/>
      <c r="H3943" t="s">
        <v>9040</v>
      </c>
    </row>
    <row r="3944" spans="1:8" ht="60" x14ac:dyDescent="0.25">
      <c r="A3944" s="21"/>
      <c r="B3944" s="25" t="s">
        <v>9042</v>
      </c>
      <c r="C3944" s="26"/>
      <c r="D3944" s="27"/>
      <c r="E3944" s="26"/>
      <c r="F3944" s="28"/>
      <c r="G3944" s="26"/>
    </row>
    <row r="3945" spans="1:8" ht="45" x14ac:dyDescent="0.25">
      <c r="A3945" s="21"/>
      <c r="B3945" s="25" t="s">
        <v>9043</v>
      </c>
      <c r="C3945" s="26"/>
      <c r="D3945" s="27"/>
      <c r="E3945" s="26"/>
      <c r="F3945" s="28"/>
      <c r="G3945" s="26"/>
    </row>
    <row r="3946" spans="1:8" ht="135" x14ac:dyDescent="0.25">
      <c r="A3946" s="21"/>
      <c r="B3946" s="25" t="s">
        <v>9044</v>
      </c>
      <c r="C3946" s="26">
        <v>1</v>
      </c>
      <c r="D3946" s="27" t="s">
        <v>15</v>
      </c>
      <c r="E3946" s="26">
        <v>2450.15</v>
      </c>
      <c r="F3946" s="28" t="s">
        <v>16</v>
      </c>
      <c r="G3946" s="26">
        <f>ROUND(C3946*E3946,0)</f>
        <v>2450</v>
      </c>
    </row>
    <row r="3947" spans="1:8" ht="255" x14ac:dyDescent="0.25">
      <c r="A3947" s="21" t="s">
        <v>9045</v>
      </c>
      <c r="B3947" s="25" t="s">
        <v>9047</v>
      </c>
      <c r="C3947" s="26">
        <v>1</v>
      </c>
      <c r="D3947" s="27" t="s">
        <v>15</v>
      </c>
      <c r="E3947" s="26">
        <v>9502.35</v>
      </c>
      <c r="F3947" s="28" t="s">
        <v>16</v>
      </c>
      <c r="G3947" s="26">
        <f>ROUND(C3947*E3947,0)</f>
        <v>9502</v>
      </c>
      <c r="H3947" t="s">
        <v>9046</v>
      </c>
    </row>
    <row r="3948" spans="1:8" x14ac:dyDescent="0.25">
      <c r="A3948" s="21"/>
      <c r="B3948" s="45" t="s">
        <v>9048</v>
      </c>
      <c r="C3948" s="45"/>
      <c r="D3948" s="45"/>
      <c r="E3948" s="45"/>
      <c r="F3948" s="45"/>
      <c r="G3948" s="29">
        <f>SUM(G3935:G3947)</f>
        <v>25428</v>
      </c>
    </row>
    <row r="3949" spans="1:8" x14ac:dyDescent="0.25">
      <c r="A3949" s="46" t="s">
        <v>9049</v>
      </c>
      <c r="B3949" s="47"/>
      <c r="C3949" s="47"/>
      <c r="D3949" s="47"/>
      <c r="E3949" s="47"/>
      <c r="F3949" s="47"/>
      <c r="G3949" s="47"/>
    </row>
    <row r="3950" spans="1:8" ht="105" x14ac:dyDescent="0.25">
      <c r="A3950" s="21" t="s">
        <v>9050</v>
      </c>
      <c r="B3950" s="25" t="s">
        <v>9052</v>
      </c>
      <c r="C3950" s="26"/>
      <c r="D3950" s="27"/>
      <c r="E3950" s="26"/>
      <c r="F3950" s="28"/>
      <c r="G3950" s="26"/>
      <c r="H3950" t="s">
        <v>9051</v>
      </c>
    </row>
    <row r="3951" spans="1:8" ht="180" x14ac:dyDescent="0.25">
      <c r="A3951" s="21"/>
      <c r="B3951" s="25" t="s">
        <v>9053</v>
      </c>
      <c r="C3951" s="26">
        <v>1</v>
      </c>
      <c r="D3951" s="27" t="s">
        <v>15</v>
      </c>
      <c r="E3951" s="26">
        <v>6145.85</v>
      </c>
      <c r="F3951" s="28" t="s">
        <v>16</v>
      </c>
      <c r="G3951" s="26">
        <f t="shared" ref="G3951:G3959" si="135">ROUND(C3951*E3951,0)</f>
        <v>6146</v>
      </c>
    </row>
    <row r="3952" spans="1:8" ht="240" x14ac:dyDescent="0.25">
      <c r="A3952" s="21" t="s">
        <v>9054</v>
      </c>
      <c r="B3952" s="25" t="s">
        <v>9056</v>
      </c>
      <c r="C3952" s="26">
        <v>1</v>
      </c>
      <c r="D3952" s="27" t="s">
        <v>15</v>
      </c>
      <c r="E3952" s="26">
        <v>6033.55</v>
      </c>
      <c r="F3952" s="28" t="s">
        <v>16</v>
      </c>
      <c r="G3952" s="26">
        <f t="shared" si="135"/>
        <v>6034</v>
      </c>
      <c r="H3952" t="s">
        <v>9055</v>
      </c>
    </row>
    <row r="3953" spans="1:8" ht="330" x14ac:dyDescent="0.25">
      <c r="A3953" s="21" t="s">
        <v>9057</v>
      </c>
      <c r="B3953" s="25" t="s">
        <v>9059</v>
      </c>
      <c r="C3953" s="26">
        <v>1</v>
      </c>
      <c r="D3953" s="27" t="s">
        <v>15</v>
      </c>
      <c r="E3953" s="26">
        <v>6283.85</v>
      </c>
      <c r="F3953" s="28" t="s">
        <v>16</v>
      </c>
      <c r="G3953" s="26">
        <f t="shared" si="135"/>
        <v>6284</v>
      </c>
      <c r="H3953" t="s">
        <v>9058</v>
      </c>
    </row>
    <row r="3954" spans="1:8" ht="180" x14ac:dyDescent="0.25">
      <c r="A3954" s="21" t="s">
        <v>9060</v>
      </c>
      <c r="B3954" s="25" t="s">
        <v>9062</v>
      </c>
      <c r="C3954" s="26">
        <v>1</v>
      </c>
      <c r="D3954" s="27" t="s">
        <v>15</v>
      </c>
      <c r="E3954" s="26">
        <v>6935.75</v>
      </c>
      <c r="F3954" s="28" t="s">
        <v>16</v>
      </c>
      <c r="G3954" s="26">
        <f t="shared" si="135"/>
        <v>6936</v>
      </c>
      <c r="H3954" t="s">
        <v>9061</v>
      </c>
    </row>
    <row r="3955" spans="1:8" ht="195" x14ac:dyDescent="0.25">
      <c r="A3955" s="21" t="s">
        <v>9063</v>
      </c>
      <c r="B3955" s="25" t="s">
        <v>9065</v>
      </c>
      <c r="C3955" s="26">
        <v>1</v>
      </c>
      <c r="D3955" s="27" t="s">
        <v>15</v>
      </c>
      <c r="E3955" s="26">
        <v>4555.75</v>
      </c>
      <c r="F3955" s="28" t="s">
        <v>16</v>
      </c>
      <c r="G3955" s="26">
        <f t="shared" si="135"/>
        <v>4556</v>
      </c>
      <c r="H3955" t="s">
        <v>9064</v>
      </c>
    </row>
    <row r="3956" spans="1:8" ht="150" x14ac:dyDescent="0.25">
      <c r="A3956" s="21" t="s">
        <v>9066</v>
      </c>
      <c r="B3956" s="25" t="s">
        <v>9068</v>
      </c>
      <c r="C3956" s="26">
        <v>1</v>
      </c>
      <c r="D3956" s="27" t="s">
        <v>9069</v>
      </c>
      <c r="E3956" s="26">
        <v>325.95</v>
      </c>
      <c r="F3956" s="28" t="s">
        <v>9070</v>
      </c>
      <c r="G3956" s="26">
        <f t="shared" si="135"/>
        <v>326</v>
      </c>
      <c r="H3956" t="s">
        <v>9067</v>
      </c>
    </row>
    <row r="3957" spans="1:8" ht="120" x14ac:dyDescent="0.25">
      <c r="A3957" s="21" t="s">
        <v>9071</v>
      </c>
      <c r="B3957" s="25" t="s">
        <v>9073</v>
      </c>
      <c r="C3957" s="26">
        <v>1</v>
      </c>
      <c r="D3957" s="27" t="s">
        <v>15</v>
      </c>
      <c r="E3957" s="26">
        <v>6012.1</v>
      </c>
      <c r="F3957" s="28" t="s">
        <v>16</v>
      </c>
      <c r="G3957" s="26">
        <f t="shared" si="135"/>
        <v>6012</v>
      </c>
      <c r="H3957" t="s">
        <v>9072</v>
      </c>
    </row>
    <row r="3958" spans="1:8" ht="105" x14ac:dyDescent="0.25">
      <c r="A3958" s="21" t="s">
        <v>9074</v>
      </c>
      <c r="B3958" s="25" t="s">
        <v>9076</v>
      </c>
      <c r="C3958" s="26">
        <v>1</v>
      </c>
      <c r="D3958" s="27" t="s">
        <v>110</v>
      </c>
      <c r="E3958" s="26">
        <v>4830.1000000000004</v>
      </c>
      <c r="F3958" s="28" t="s">
        <v>68</v>
      </c>
      <c r="G3958" s="26">
        <f t="shared" si="135"/>
        <v>4830</v>
      </c>
      <c r="H3958" t="s">
        <v>9075</v>
      </c>
    </row>
    <row r="3959" spans="1:8" ht="240" x14ac:dyDescent="0.25">
      <c r="A3959" s="21" t="s">
        <v>9077</v>
      </c>
      <c r="B3959" s="25" t="s">
        <v>9079</v>
      </c>
      <c r="C3959" s="26">
        <v>1</v>
      </c>
      <c r="D3959" s="27" t="s">
        <v>15</v>
      </c>
      <c r="E3959" s="26">
        <v>4039.1</v>
      </c>
      <c r="F3959" s="28" t="s">
        <v>16</v>
      </c>
      <c r="G3959" s="26">
        <f t="shared" si="135"/>
        <v>4039</v>
      </c>
      <c r="H3959" t="s">
        <v>9078</v>
      </c>
    </row>
    <row r="3960" spans="1:8" ht="75" x14ac:dyDescent="0.25">
      <c r="A3960" s="21" t="s">
        <v>9080</v>
      </c>
      <c r="B3960" s="25" t="s">
        <v>9082</v>
      </c>
      <c r="C3960" s="26"/>
      <c r="D3960" s="27"/>
      <c r="E3960" s="26"/>
      <c r="F3960" s="28"/>
      <c r="G3960" s="26"/>
      <c r="H3960" t="s">
        <v>9081</v>
      </c>
    </row>
    <row r="3961" spans="1:8" ht="30" x14ac:dyDescent="0.25">
      <c r="A3961" s="21" t="s">
        <v>9083</v>
      </c>
      <c r="B3961" s="25" t="s">
        <v>9084</v>
      </c>
      <c r="C3961" s="26">
        <v>1</v>
      </c>
      <c r="D3961" s="27" t="s">
        <v>15</v>
      </c>
      <c r="E3961" s="26">
        <v>2942</v>
      </c>
      <c r="F3961" s="28" t="s">
        <v>16</v>
      </c>
      <c r="G3961" s="26">
        <f>ROUND(C3961*E3961,0)</f>
        <v>2942</v>
      </c>
      <c r="H3961" t="s">
        <v>9084</v>
      </c>
    </row>
    <row r="3962" spans="1:8" ht="30" x14ac:dyDescent="0.25">
      <c r="A3962" s="21" t="s">
        <v>9085</v>
      </c>
      <c r="B3962" s="25" t="s">
        <v>9086</v>
      </c>
      <c r="C3962" s="26">
        <v>1</v>
      </c>
      <c r="D3962" s="27" t="s">
        <v>15</v>
      </c>
      <c r="E3962" s="26">
        <v>3332</v>
      </c>
      <c r="F3962" s="28" t="s">
        <v>16</v>
      </c>
      <c r="G3962" s="26">
        <f>ROUND(C3962*E3962,0)</f>
        <v>3332</v>
      </c>
      <c r="H3962" t="s">
        <v>9086</v>
      </c>
    </row>
    <row r="3963" spans="1:8" ht="30" x14ac:dyDescent="0.25">
      <c r="A3963" s="21" t="s">
        <v>9087</v>
      </c>
      <c r="B3963" s="25" t="s">
        <v>9088</v>
      </c>
      <c r="C3963" s="26">
        <v>1</v>
      </c>
      <c r="D3963" s="27" t="s">
        <v>15</v>
      </c>
      <c r="E3963" s="26">
        <v>3923.65</v>
      </c>
      <c r="F3963" s="28" t="s">
        <v>16</v>
      </c>
      <c r="G3963" s="26">
        <f>ROUND(C3963*E3963,0)</f>
        <v>3924</v>
      </c>
      <c r="H3963" t="s">
        <v>9088</v>
      </c>
    </row>
    <row r="3964" spans="1:8" ht="30" x14ac:dyDescent="0.25">
      <c r="A3964" s="21" t="s">
        <v>9089</v>
      </c>
      <c r="B3964" s="25" t="s">
        <v>9090</v>
      </c>
      <c r="C3964" s="26">
        <v>1</v>
      </c>
      <c r="D3964" s="27" t="s">
        <v>15</v>
      </c>
      <c r="E3964" s="26">
        <v>4906.8</v>
      </c>
      <c r="F3964" s="28" t="s">
        <v>16</v>
      </c>
      <c r="G3964" s="26">
        <f>ROUND(C3964*E3964,0)</f>
        <v>4907</v>
      </c>
      <c r="H3964" t="s">
        <v>9090</v>
      </c>
    </row>
    <row r="3965" spans="1:8" ht="30" x14ac:dyDescent="0.25">
      <c r="A3965" s="21" t="s">
        <v>9091</v>
      </c>
      <c r="B3965" s="25" t="s">
        <v>9092</v>
      </c>
      <c r="C3965" s="26">
        <v>1</v>
      </c>
      <c r="D3965" s="27" t="s">
        <v>15</v>
      </c>
      <c r="E3965" s="26">
        <v>5601.55</v>
      </c>
      <c r="F3965" s="28" t="s">
        <v>16</v>
      </c>
      <c r="G3965" s="26">
        <f>ROUND(C3965*E3965,0)</f>
        <v>5602</v>
      </c>
      <c r="H3965" t="s">
        <v>9092</v>
      </c>
    </row>
    <row r="3966" spans="1:8" ht="150" x14ac:dyDescent="0.25">
      <c r="A3966" s="21" t="s">
        <v>9093</v>
      </c>
      <c r="B3966" s="25" t="s">
        <v>9095</v>
      </c>
      <c r="C3966" s="26"/>
      <c r="D3966" s="27"/>
      <c r="E3966" s="26"/>
      <c r="F3966" s="28"/>
      <c r="G3966" s="26"/>
      <c r="H3966" t="s">
        <v>9094</v>
      </c>
    </row>
    <row r="3967" spans="1:8" ht="30" x14ac:dyDescent="0.25">
      <c r="A3967" s="21" t="s">
        <v>9096</v>
      </c>
      <c r="B3967" s="25" t="s">
        <v>9090</v>
      </c>
      <c r="C3967" s="26">
        <v>1</v>
      </c>
      <c r="D3967" s="27" t="s">
        <v>15</v>
      </c>
      <c r="E3967" s="26">
        <v>5127.6000000000004</v>
      </c>
      <c r="F3967" s="28" t="s">
        <v>16</v>
      </c>
      <c r="G3967" s="26">
        <f t="shared" ref="G3967:G3977" si="136">ROUND(C3967*E3967,0)</f>
        <v>5128</v>
      </c>
      <c r="H3967" t="s">
        <v>9090</v>
      </c>
    </row>
    <row r="3968" spans="1:8" ht="30" x14ac:dyDescent="0.25">
      <c r="A3968" s="21" t="s">
        <v>9097</v>
      </c>
      <c r="B3968" s="25" t="s">
        <v>9092</v>
      </c>
      <c r="C3968" s="26">
        <v>1</v>
      </c>
      <c r="D3968" s="27" t="s">
        <v>15</v>
      </c>
      <c r="E3968" s="26">
        <v>5824.1</v>
      </c>
      <c r="F3968" s="28" t="s">
        <v>16</v>
      </c>
      <c r="G3968" s="26">
        <f t="shared" si="136"/>
        <v>5824</v>
      </c>
      <c r="H3968" t="s">
        <v>9092</v>
      </c>
    </row>
    <row r="3969" spans="1:8" ht="240" x14ac:dyDescent="0.25">
      <c r="A3969" s="21" t="s">
        <v>9098</v>
      </c>
      <c r="B3969" s="25" t="s">
        <v>9100</v>
      </c>
      <c r="C3969" s="26">
        <v>1</v>
      </c>
      <c r="D3969" s="27" t="s">
        <v>15</v>
      </c>
      <c r="E3969" s="26">
        <v>1004.55</v>
      </c>
      <c r="F3969" s="28" t="s">
        <v>16</v>
      </c>
      <c r="G3969" s="26">
        <f t="shared" si="136"/>
        <v>1005</v>
      </c>
      <c r="H3969" t="s">
        <v>9099</v>
      </c>
    </row>
    <row r="3970" spans="1:8" ht="255" x14ac:dyDescent="0.25">
      <c r="A3970" s="21" t="s">
        <v>9101</v>
      </c>
      <c r="B3970" s="25" t="s">
        <v>9103</v>
      </c>
      <c r="C3970" s="26">
        <v>1</v>
      </c>
      <c r="D3970" s="27" t="s">
        <v>15</v>
      </c>
      <c r="E3970" s="26">
        <v>1091.6500000000001</v>
      </c>
      <c r="F3970" s="28" t="s">
        <v>16</v>
      </c>
      <c r="G3970" s="26">
        <f t="shared" si="136"/>
        <v>1092</v>
      </c>
      <c r="H3970" t="s">
        <v>9102</v>
      </c>
    </row>
    <row r="3971" spans="1:8" ht="180" x14ac:dyDescent="0.25">
      <c r="A3971" s="21" t="s">
        <v>9104</v>
      </c>
      <c r="B3971" s="25" t="s">
        <v>9106</v>
      </c>
      <c r="C3971" s="26">
        <v>1</v>
      </c>
      <c r="D3971" s="27" t="s">
        <v>110</v>
      </c>
      <c r="E3971" s="26">
        <v>450.95</v>
      </c>
      <c r="F3971" s="28" t="s">
        <v>68</v>
      </c>
      <c r="G3971" s="26">
        <f t="shared" si="136"/>
        <v>451</v>
      </c>
      <c r="H3971" t="s">
        <v>9105</v>
      </c>
    </row>
    <row r="3972" spans="1:8" ht="195" x14ac:dyDescent="0.25">
      <c r="A3972" s="21" t="s">
        <v>9107</v>
      </c>
      <c r="B3972" s="25" t="s">
        <v>9109</v>
      </c>
      <c r="C3972" s="26">
        <v>1</v>
      </c>
      <c r="D3972" s="27" t="s">
        <v>15</v>
      </c>
      <c r="E3972" s="26">
        <v>5350.55</v>
      </c>
      <c r="F3972" s="28" t="s">
        <v>16</v>
      </c>
      <c r="G3972" s="26">
        <f t="shared" si="136"/>
        <v>5351</v>
      </c>
      <c r="H3972" t="s">
        <v>9108</v>
      </c>
    </row>
    <row r="3973" spans="1:8" ht="45" x14ac:dyDescent="0.25">
      <c r="A3973" s="21" t="s">
        <v>9110</v>
      </c>
      <c r="B3973" s="25" t="s">
        <v>9112</v>
      </c>
      <c r="C3973" s="26">
        <v>1</v>
      </c>
      <c r="D3973" s="27" t="s">
        <v>201</v>
      </c>
      <c r="E3973" s="26">
        <v>144.05000000000001</v>
      </c>
      <c r="F3973" s="28" t="s">
        <v>202</v>
      </c>
      <c r="G3973" s="26">
        <f t="shared" si="136"/>
        <v>144</v>
      </c>
      <c r="H3973" t="s">
        <v>9111</v>
      </c>
    </row>
    <row r="3974" spans="1:8" ht="150" x14ac:dyDescent="0.25">
      <c r="A3974" s="21" t="s">
        <v>9113</v>
      </c>
      <c r="B3974" s="25" t="s">
        <v>9115</v>
      </c>
      <c r="C3974" s="26">
        <v>1</v>
      </c>
      <c r="D3974" s="27" t="s">
        <v>15</v>
      </c>
      <c r="E3974" s="26">
        <v>249.9</v>
      </c>
      <c r="F3974" s="28" t="s">
        <v>16</v>
      </c>
      <c r="G3974" s="26">
        <f t="shared" si="136"/>
        <v>250</v>
      </c>
      <c r="H3974" t="s">
        <v>9114</v>
      </c>
    </row>
    <row r="3975" spans="1:8" ht="150" x14ac:dyDescent="0.25">
      <c r="A3975" s="21" t="s">
        <v>9116</v>
      </c>
      <c r="B3975" s="25" t="s">
        <v>9118</v>
      </c>
      <c r="C3975" s="26">
        <v>1</v>
      </c>
      <c r="D3975" s="27" t="s">
        <v>15</v>
      </c>
      <c r="E3975" s="26">
        <v>276.5</v>
      </c>
      <c r="F3975" s="28" t="s">
        <v>16</v>
      </c>
      <c r="G3975" s="26">
        <f t="shared" si="136"/>
        <v>277</v>
      </c>
      <c r="H3975" t="s">
        <v>9117</v>
      </c>
    </row>
    <row r="3976" spans="1:8" ht="150" x14ac:dyDescent="0.25">
      <c r="A3976" s="21" t="s">
        <v>9119</v>
      </c>
      <c r="B3976" s="25" t="s">
        <v>9121</v>
      </c>
      <c r="C3976" s="26">
        <v>1</v>
      </c>
      <c r="D3976" s="27" t="s">
        <v>15</v>
      </c>
      <c r="E3976" s="26">
        <v>401.7</v>
      </c>
      <c r="F3976" s="28" t="s">
        <v>16</v>
      </c>
      <c r="G3976" s="26">
        <f t="shared" si="136"/>
        <v>402</v>
      </c>
      <c r="H3976" t="s">
        <v>9120</v>
      </c>
    </row>
    <row r="3977" spans="1:8" ht="150" x14ac:dyDescent="0.25">
      <c r="A3977" s="21" t="s">
        <v>9122</v>
      </c>
      <c r="B3977" s="25" t="s">
        <v>9124</v>
      </c>
      <c r="C3977" s="26">
        <v>1</v>
      </c>
      <c r="D3977" s="27" t="s">
        <v>15</v>
      </c>
      <c r="E3977" s="26">
        <v>555.04999999999995</v>
      </c>
      <c r="F3977" s="28" t="s">
        <v>16</v>
      </c>
      <c r="G3977" s="26">
        <f t="shared" si="136"/>
        <v>555</v>
      </c>
      <c r="H3977" t="s">
        <v>9123</v>
      </c>
    </row>
    <row r="3978" spans="1:8" ht="150" x14ac:dyDescent="0.25">
      <c r="A3978" s="21" t="s">
        <v>9125</v>
      </c>
      <c r="B3978" s="25" t="s">
        <v>9127</v>
      </c>
      <c r="C3978" s="26"/>
      <c r="D3978" s="27"/>
      <c r="E3978" s="26"/>
      <c r="F3978" s="28"/>
      <c r="G3978" s="26"/>
      <c r="H3978" t="s">
        <v>9126</v>
      </c>
    </row>
    <row r="3979" spans="1:8" ht="195" x14ac:dyDescent="0.25">
      <c r="A3979" s="21"/>
      <c r="B3979" s="25" t="s">
        <v>9128</v>
      </c>
      <c r="C3979" s="26">
        <v>1</v>
      </c>
      <c r="D3979" s="27" t="s">
        <v>15</v>
      </c>
      <c r="E3979" s="26">
        <v>986.95</v>
      </c>
      <c r="F3979" s="28" t="s">
        <v>16</v>
      </c>
      <c r="G3979" s="26">
        <f>ROUND(C3979*E3979,0)</f>
        <v>987</v>
      </c>
    </row>
    <row r="3980" spans="1:8" ht="270" x14ac:dyDescent="0.25">
      <c r="A3980" s="21" t="s">
        <v>9129</v>
      </c>
      <c r="B3980" s="25" t="s">
        <v>9131</v>
      </c>
      <c r="C3980" s="26">
        <v>1</v>
      </c>
      <c r="D3980" s="27" t="s">
        <v>15</v>
      </c>
      <c r="E3980" s="26">
        <v>1166.95</v>
      </c>
      <c r="F3980" s="28" t="s">
        <v>16</v>
      </c>
      <c r="G3980" s="26">
        <f>ROUND(C3980*E3980,0)</f>
        <v>1167</v>
      </c>
      <c r="H3980" t="s">
        <v>9130</v>
      </c>
    </row>
    <row r="3981" spans="1:8" ht="120" x14ac:dyDescent="0.25">
      <c r="A3981" s="21" t="s">
        <v>9132</v>
      </c>
      <c r="B3981" s="25" t="s">
        <v>9134</v>
      </c>
      <c r="C3981" s="26"/>
      <c r="D3981" s="27"/>
      <c r="E3981" s="26"/>
      <c r="F3981" s="28"/>
      <c r="G3981" s="26"/>
      <c r="H3981" t="s">
        <v>9133</v>
      </c>
    </row>
    <row r="3982" spans="1:8" ht="30" x14ac:dyDescent="0.25">
      <c r="A3982" s="21" t="s">
        <v>9135</v>
      </c>
      <c r="B3982" s="25" t="s">
        <v>9136</v>
      </c>
      <c r="C3982" s="26">
        <v>1</v>
      </c>
      <c r="D3982" s="27" t="s">
        <v>15</v>
      </c>
      <c r="E3982" s="26">
        <v>393.85</v>
      </c>
      <c r="F3982" s="28" t="s">
        <v>16</v>
      </c>
      <c r="G3982" s="26">
        <f t="shared" ref="G3982:G3996" si="137">ROUND(C3982*E3982,0)</f>
        <v>394</v>
      </c>
      <c r="H3982" t="s">
        <v>9136</v>
      </c>
    </row>
    <row r="3983" spans="1:8" ht="30" x14ac:dyDescent="0.25">
      <c r="A3983" s="21" t="s">
        <v>9137</v>
      </c>
      <c r="B3983" s="25" t="s">
        <v>9138</v>
      </c>
      <c r="C3983" s="26">
        <v>1</v>
      </c>
      <c r="D3983" s="27" t="s">
        <v>15</v>
      </c>
      <c r="E3983" s="26">
        <v>411.1</v>
      </c>
      <c r="F3983" s="28" t="s">
        <v>16</v>
      </c>
      <c r="G3983" s="26">
        <f t="shared" si="137"/>
        <v>411</v>
      </c>
      <c r="H3983" t="s">
        <v>9138</v>
      </c>
    </row>
    <row r="3984" spans="1:8" ht="30" x14ac:dyDescent="0.25">
      <c r="A3984" s="21" t="s">
        <v>9139</v>
      </c>
      <c r="B3984" s="25" t="s">
        <v>9140</v>
      </c>
      <c r="C3984" s="26">
        <v>1</v>
      </c>
      <c r="D3984" s="27" t="s">
        <v>15</v>
      </c>
      <c r="E3984" s="26">
        <v>645.79999999999995</v>
      </c>
      <c r="F3984" s="28" t="s">
        <v>16</v>
      </c>
      <c r="G3984" s="26">
        <f t="shared" si="137"/>
        <v>646</v>
      </c>
      <c r="H3984" t="s">
        <v>9140</v>
      </c>
    </row>
    <row r="3985" spans="1:8" ht="30" x14ac:dyDescent="0.25">
      <c r="A3985" s="21" t="s">
        <v>9141</v>
      </c>
      <c r="B3985" s="25" t="s">
        <v>9142</v>
      </c>
      <c r="C3985" s="26">
        <v>1</v>
      </c>
      <c r="D3985" s="27" t="s">
        <v>15</v>
      </c>
      <c r="E3985" s="26">
        <v>663.05</v>
      </c>
      <c r="F3985" s="28" t="s">
        <v>16</v>
      </c>
      <c r="G3985" s="26">
        <f t="shared" si="137"/>
        <v>663</v>
      </c>
      <c r="H3985" t="s">
        <v>9142</v>
      </c>
    </row>
    <row r="3986" spans="1:8" ht="30" x14ac:dyDescent="0.25">
      <c r="A3986" s="21" t="s">
        <v>9143</v>
      </c>
      <c r="B3986" s="25" t="s">
        <v>9144</v>
      </c>
      <c r="C3986" s="26">
        <v>1</v>
      </c>
      <c r="D3986" s="27" t="s">
        <v>15</v>
      </c>
      <c r="E3986" s="26">
        <v>681.8</v>
      </c>
      <c r="F3986" s="28" t="s">
        <v>16</v>
      </c>
      <c r="G3986" s="26">
        <f t="shared" si="137"/>
        <v>682</v>
      </c>
      <c r="H3986" t="s">
        <v>9144</v>
      </c>
    </row>
    <row r="3987" spans="1:8" ht="30" x14ac:dyDescent="0.25">
      <c r="A3987" s="21" t="s">
        <v>9145</v>
      </c>
      <c r="B3987" s="25" t="s">
        <v>9146</v>
      </c>
      <c r="C3987" s="26">
        <v>1</v>
      </c>
      <c r="D3987" s="27" t="s">
        <v>15</v>
      </c>
      <c r="E3987" s="26">
        <v>699.05</v>
      </c>
      <c r="F3987" s="28" t="s">
        <v>16</v>
      </c>
      <c r="G3987" s="26">
        <f t="shared" si="137"/>
        <v>699</v>
      </c>
      <c r="H3987" t="s">
        <v>9146</v>
      </c>
    </row>
    <row r="3988" spans="1:8" ht="30" x14ac:dyDescent="0.25">
      <c r="A3988" s="21" t="s">
        <v>9147</v>
      </c>
      <c r="B3988" s="25" t="s">
        <v>9148</v>
      </c>
      <c r="C3988" s="26">
        <v>1</v>
      </c>
      <c r="D3988" s="27" t="s">
        <v>15</v>
      </c>
      <c r="E3988" s="26">
        <v>843</v>
      </c>
      <c r="F3988" s="28" t="s">
        <v>16</v>
      </c>
      <c r="G3988" s="26">
        <f t="shared" si="137"/>
        <v>843</v>
      </c>
      <c r="H3988" t="s">
        <v>9148</v>
      </c>
    </row>
    <row r="3989" spans="1:8" ht="30" x14ac:dyDescent="0.25">
      <c r="A3989" s="21" t="s">
        <v>9149</v>
      </c>
      <c r="B3989" s="25" t="s">
        <v>9150</v>
      </c>
      <c r="C3989" s="26">
        <v>1</v>
      </c>
      <c r="D3989" s="27" t="s">
        <v>15</v>
      </c>
      <c r="E3989" s="26">
        <v>933.75</v>
      </c>
      <c r="F3989" s="28" t="s">
        <v>16</v>
      </c>
      <c r="G3989" s="26">
        <f t="shared" si="137"/>
        <v>934</v>
      </c>
      <c r="H3989" t="s">
        <v>9150</v>
      </c>
    </row>
    <row r="3990" spans="1:8" ht="30" x14ac:dyDescent="0.25">
      <c r="A3990" s="21" t="s">
        <v>9151</v>
      </c>
      <c r="B3990" s="25" t="s">
        <v>9152</v>
      </c>
      <c r="C3990" s="26">
        <v>1</v>
      </c>
      <c r="D3990" s="27" t="s">
        <v>15</v>
      </c>
      <c r="E3990" s="26">
        <v>1022.95</v>
      </c>
      <c r="F3990" s="28" t="s">
        <v>16</v>
      </c>
      <c r="G3990" s="26">
        <f t="shared" si="137"/>
        <v>1023</v>
      </c>
      <c r="H3990" t="s">
        <v>9152</v>
      </c>
    </row>
    <row r="3991" spans="1:8" ht="30" x14ac:dyDescent="0.25">
      <c r="A3991" s="21" t="s">
        <v>9153</v>
      </c>
      <c r="B3991" s="25" t="s">
        <v>9154</v>
      </c>
      <c r="C3991" s="26">
        <v>1</v>
      </c>
      <c r="D3991" s="27" t="s">
        <v>15</v>
      </c>
      <c r="E3991" s="26">
        <v>1202.9000000000001</v>
      </c>
      <c r="F3991" s="28" t="s">
        <v>16</v>
      </c>
      <c r="G3991" s="26">
        <f t="shared" si="137"/>
        <v>1203</v>
      </c>
      <c r="H3991" t="s">
        <v>9154</v>
      </c>
    </row>
    <row r="3992" spans="1:8" ht="30" x14ac:dyDescent="0.25">
      <c r="A3992" s="21" t="s">
        <v>9155</v>
      </c>
      <c r="B3992" s="25" t="s">
        <v>9156</v>
      </c>
      <c r="C3992" s="26">
        <v>1</v>
      </c>
      <c r="D3992" s="27" t="s">
        <v>15</v>
      </c>
      <c r="E3992" s="26">
        <v>1337.5</v>
      </c>
      <c r="F3992" s="28" t="s">
        <v>16</v>
      </c>
      <c r="G3992" s="26">
        <f t="shared" si="137"/>
        <v>1338</v>
      </c>
      <c r="H3992" t="s">
        <v>9156</v>
      </c>
    </row>
    <row r="3993" spans="1:8" ht="30" x14ac:dyDescent="0.25">
      <c r="A3993" s="21" t="s">
        <v>9157</v>
      </c>
      <c r="B3993" s="25" t="s">
        <v>9158</v>
      </c>
      <c r="C3993" s="26">
        <v>1</v>
      </c>
      <c r="D3993" s="27" t="s">
        <v>15</v>
      </c>
      <c r="E3993" s="26">
        <v>1562.85</v>
      </c>
      <c r="F3993" s="28" t="s">
        <v>16</v>
      </c>
      <c r="G3993" s="26">
        <f t="shared" si="137"/>
        <v>1563</v>
      </c>
      <c r="H3993" t="s">
        <v>9158</v>
      </c>
    </row>
    <row r="3994" spans="1:8" ht="30" x14ac:dyDescent="0.25">
      <c r="A3994" s="21" t="s">
        <v>9159</v>
      </c>
      <c r="B3994" s="25" t="s">
        <v>9160</v>
      </c>
      <c r="C3994" s="26">
        <v>1</v>
      </c>
      <c r="D3994" s="27" t="s">
        <v>15</v>
      </c>
      <c r="E3994" s="26">
        <v>1742.8</v>
      </c>
      <c r="F3994" s="28" t="s">
        <v>16</v>
      </c>
      <c r="G3994" s="26">
        <f t="shared" si="137"/>
        <v>1743</v>
      </c>
      <c r="H3994" t="s">
        <v>9160</v>
      </c>
    </row>
    <row r="3995" spans="1:8" ht="30" x14ac:dyDescent="0.25">
      <c r="A3995" s="21" t="s">
        <v>9161</v>
      </c>
      <c r="B3995" s="25" t="s">
        <v>9162</v>
      </c>
      <c r="C3995" s="26">
        <v>1</v>
      </c>
      <c r="D3995" s="27" t="s">
        <v>15</v>
      </c>
      <c r="E3995" s="26">
        <v>1833.6</v>
      </c>
      <c r="F3995" s="28" t="s">
        <v>16</v>
      </c>
      <c r="G3995" s="26">
        <f t="shared" si="137"/>
        <v>1834</v>
      </c>
      <c r="H3995" t="s">
        <v>9162</v>
      </c>
    </row>
    <row r="3996" spans="1:8" ht="30" x14ac:dyDescent="0.25">
      <c r="A3996" s="21" t="s">
        <v>9163</v>
      </c>
      <c r="B3996" s="25" t="s">
        <v>9164</v>
      </c>
      <c r="C3996" s="26">
        <v>1</v>
      </c>
      <c r="D3996" s="27" t="s">
        <v>15</v>
      </c>
      <c r="E3996" s="26">
        <v>1922.8</v>
      </c>
      <c r="F3996" s="28" t="s">
        <v>16</v>
      </c>
      <c r="G3996" s="26">
        <f t="shared" si="137"/>
        <v>1923</v>
      </c>
      <c r="H3996" t="s">
        <v>9164</v>
      </c>
    </row>
    <row r="3997" spans="1:8" ht="210" x14ac:dyDescent="0.25">
      <c r="A3997" s="21" t="s">
        <v>9165</v>
      </c>
      <c r="B3997" s="25" t="s">
        <v>9167</v>
      </c>
      <c r="C3997" s="26"/>
      <c r="D3997" s="27"/>
      <c r="E3997" s="26"/>
      <c r="F3997" s="28"/>
      <c r="G3997" s="26"/>
      <c r="H3997" t="s">
        <v>9166</v>
      </c>
    </row>
    <row r="3998" spans="1:8" ht="30" x14ac:dyDescent="0.25">
      <c r="A3998" s="21" t="s">
        <v>9168</v>
      </c>
      <c r="B3998" s="25" t="s">
        <v>9169</v>
      </c>
      <c r="C3998" s="26">
        <v>1</v>
      </c>
      <c r="D3998" s="27" t="s">
        <v>15</v>
      </c>
      <c r="E3998" s="26">
        <v>1153.95</v>
      </c>
      <c r="F3998" s="28" t="s">
        <v>16</v>
      </c>
      <c r="G3998" s="26">
        <f>ROUND(C3998*E3998,0)</f>
        <v>1154</v>
      </c>
      <c r="H3998" t="s">
        <v>9169</v>
      </c>
    </row>
    <row r="3999" spans="1:8" ht="30" x14ac:dyDescent="0.25">
      <c r="A3999" s="21" t="s">
        <v>9170</v>
      </c>
      <c r="B3999" s="25" t="s">
        <v>9171</v>
      </c>
      <c r="C3999" s="26">
        <v>1</v>
      </c>
      <c r="D3999" s="27" t="s">
        <v>15</v>
      </c>
      <c r="E3999" s="26">
        <v>1462.9</v>
      </c>
      <c r="F3999" s="28" t="s">
        <v>16</v>
      </c>
      <c r="G3999" s="26">
        <f>ROUND(C3999*E3999,0)</f>
        <v>1463</v>
      </c>
      <c r="H3999" t="s">
        <v>9171</v>
      </c>
    </row>
    <row r="4000" spans="1:8" ht="105" x14ac:dyDescent="0.25">
      <c r="A4000" s="21" t="s">
        <v>9172</v>
      </c>
      <c r="B4000" s="25" t="s">
        <v>9174</v>
      </c>
      <c r="C4000" s="26"/>
      <c r="D4000" s="27"/>
      <c r="E4000" s="26"/>
      <c r="F4000" s="28"/>
      <c r="G4000" s="26"/>
      <c r="H4000" t="s">
        <v>9173</v>
      </c>
    </row>
    <row r="4001" spans="1:8" ht="270" x14ac:dyDescent="0.25">
      <c r="A4001" s="21"/>
      <c r="B4001" s="25" t="s">
        <v>9175</v>
      </c>
      <c r="C4001" s="26"/>
      <c r="D4001" s="27"/>
      <c r="E4001" s="26"/>
      <c r="F4001" s="28"/>
      <c r="G4001" s="26"/>
    </row>
    <row r="4002" spans="1:8" ht="105" x14ac:dyDescent="0.25">
      <c r="A4002" s="21"/>
      <c r="B4002" s="25" t="s">
        <v>9176</v>
      </c>
      <c r="C4002" s="26"/>
      <c r="D4002" s="27"/>
      <c r="E4002" s="26"/>
      <c r="F4002" s="28"/>
      <c r="G4002" s="26"/>
    </row>
    <row r="4003" spans="1:8" ht="30" x14ac:dyDescent="0.25">
      <c r="A4003" s="21" t="s">
        <v>9177</v>
      </c>
      <c r="B4003" s="25" t="s">
        <v>9178</v>
      </c>
      <c r="C4003" s="26">
        <v>1</v>
      </c>
      <c r="D4003" s="27" t="s">
        <v>15</v>
      </c>
      <c r="E4003" s="26">
        <v>2207</v>
      </c>
      <c r="F4003" s="28" t="s">
        <v>16</v>
      </c>
      <c r="G4003" s="26">
        <f>ROUND(C4003*E4003,0)</f>
        <v>2207</v>
      </c>
      <c r="H4003" t="s">
        <v>9178</v>
      </c>
    </row>
    <row r="4004" spans="1:8" ht="75" x14ac:dyDescent="0.25">
      <c r="A4004" s="21" t="s">
        <v>9179</v>
      </c>
      <c r="B4004" s="25" t="s">
        <v>9181</v>
      </c>
      <c r="C4004" s="26">
        <v>1</v>
      </c>
      <c r="D4004" s="27" t="s">
        <v>15</v>
      </c>
      <c r="E4004" s="26">
        <v>2301.1</v>
      </c>
      <c r="F4004" s="28" t="s">
        <v>16</v>
      </c>
      <c r="G4004" s="26">
        <f>ROUND(C4004*E4004,0)</f>
        <v>2301</v>
      </c>
      <c r="H4004" t="s">
        <v>9180</v>
      </c>
    </row>
    <row r="4005" spans="1:8" ht="105" x14ac:dyDescent="0.25">
      <c r="A4005" s="21" t="s">
        <v>9182</v>
      </c>
      <c r="B4005" s="25" t="s">
        <v>9184</v>
      </c>
      <c r="C4005" s="26"/>
      <c r="D4005" s="27"/>
      <c r="E4005" s="26"/>
      <c r="F4005" s="28"/>
      <c r="G4005" s="26"/>
      <c r="H4005" t="s">
        <v>9183</v>
      </c>
    </row>
    <row r="4006" spans="1:8" ht="285" x14ac:dyDescent="0.25">
      <c r="A4006" s="21"/>
      <c r="B4006" s="25" t="s">
        <v>9185</v>
      </c>
      <c r="C4006" s="26"/>
      <c r="D4006" s="27"/>
      <c r="E4006" s="26"/>
      <c r="F4006" s="28"/>
      <c r="G4006" s="26"/>
    </row>
    <row r="4007" spans="1:8" ht="105" x14ac:dyDescent="0.25">
      <c r="A4007" s="21"/>
      <c r="B4007" s="25" t="s">
        <v>9186</v>
      </c>
      <c r="C4007" s="26"/>
      <c r="D4007" s="27"/>
      <c r="E4007" s="26"/>
      <c r="F4007" s="28"/>
      <c r="G4007" s="26"/>
    </row>
    <row r="4008" spans="1:8" ht="30" x14ac:dyDescent="0.25">
      <c r="A4008" s="21" t="s">
        <v>9187</v>
      </c>
      <c r="B4008" s="25" t="s">
        <v>9188</v>
      </c>
      <c r="C4008" s="26">
        <v>1</v>
      </c>
      <c r="D4008" s="27" t="s">
        <v>15</v>
      </c>
      <c r="E4008" s="26">
        <v>2630.4</v>
      </c>
      <c r="F4008" s="28" t="s">
        <v>16</v>
      </c>
      <c r="G4008" s="26">
        <f>ROUND(C4008*E4008,0)</f>
        <v>2630</v>
      </c>
      <c r="H4008" t="s">
        <v>9188</v>
      </c>
    </row>
    <row r="4009" spans="1:8" ht="285" x14ac:dyDescent="0.25">
      <c r="A4009" s="21" t="s">
        <v>9189</v>
      </c>
      <c r="B4009" s="25" t="s">
        <v>9191</v>
      </c>
      <c r="C4009" s="26"/>
      <c r="D4009" s="27"/>
      <c r="E4009" s="26"/>
      <c r="F4009" s="28"/>
      <c r="G4009" s="26"/>
      <c r="H4009" t="s">
        <v>9190</v>
      </c>
    </row>
    <row r="4010" spans="1:8" ht="240" x14ac:dyDescent="0.25">
      <c r="A4010" s="21"/>
      <c r="B4010" s="25" t="s">
        <v>9192</v>
      </c>
      <c r="C4010" s="26"/>
      <c r="D4010" s="27"/>
      <c r="E4010" s="26"/>
      <c r="F4010" s="28"/>
      <c r="G4010" s="26"/>
    </row>
    <row r="4011" spans="1:8" ht="30" x14ac:dyDescent="0.25">
      <c r="A4011" s="21" t="s">
        <v>9193</v>
      </c>
      <c r="B4011" s="25" t="s">
        <v>9194</v>
      </c>
      <c r="C4011" s="26">
        <v>1</v>
      </c>
      <c r="D4011" s="27" t="s">
        <v>15</v>
      </c>
      <c r="E4011" s="26">
        <v>3117.6</v>
      </c>
      <c r="F4011" s="28" t="s">
        <v>16</v>
      </c>
      <c r="G4011" s="26">
        <f>ROUND(C4011*E4011,0)</f>
        <v>3118</v>
      </c>
      <c r="H4011" t="s">
        <v>9194</v>
      </c>
    </row>
    <row r="4012" spans="1:8" ht="210" x14ac:dyDescent="0.25">
      <c r="A4012" s="21" t="s">
        <v>9195</v>
      </c>
      <c r="B4012" s="25" t="s">
        <v>9197</v>
      </c>
      <c r="C4012" s="26">
        <v>1</v>
      </c>
      <c r="D4012" s="27" t="s">
        <v>15</v>
      </c>
      <c r="E4012" s="26">
        <v>1781.2</v>
      </c>
      <c r="F4012" s="28" t="s">
        <v>16</v>
      </c>
      <c r="G4012" s="26">
        <f>ROUND(C4012*E4012,0)</f>
        <v>1781</v>
      </c>
      <c r="H4012" t="s">
        <v>9196</v>
      </c>
    </row>
    <row r="4013" spans="1:8" ht="285" x14ac:dyDescent="0.25">
      <c r="A4013" s="21" t="s">
        <v>9198</v>
      </c>
      <c r="B4013" s="25" t="s">
        <v>9200</v>
      </c>
      <c r="C4013" s="26"/>
      <c r="D4013" s="27"/>
      <c r="E4013" s="26"/>
      <c r="F4013" s="28"/>
      <c r="G4013" s="26"/>
      <c r="H4013" t="s">
        <v>9199</v>
      </c>
    </row>
    <row r="4014" spans="1:8" ht="150" x14ac:dyDescent="0.25">
      <c r="A4014" s="21"/>
      <c r="B4014" s="25" t="s">
        <v>9201</v>
      </c>
      <c r="C4014" s="26"/>
      <c r="D4014" s="27"/>
      <c r="E4014" s="26"/>
      <c r="F4014" s="28"/>
      <c r="G4014" s="26"/>
    </row>
    <row r="4015" spans="1:8" ht="30" x14ac:dyDescent="0.25">
      <c r="A4015" s="21" t="s">
        <v>9202</v>
      </c>
      <c r="B4015" s="25" t="s">
        <v>9203</v>
      </c>
      <c r="C4015" s="26">
        <v>1</v>
      </c>
      <c r="D4015" s="27" t="s">
        <v>15</v>
      </c>
      <c r="E4015" s="26">
        <v>1852.05</v>
      </c>
      <c r="F4015" s="28" t="s">
        <v>16</v>
      </c>
      <c r="G4015" s="26">
        <f>ROUND(C4015*E4015,0)</f>
        <v>1852</v>
      </c>
      <c r="H4015" t="s">
        <v>9203</v>
      </c>
    </row>
    <row r="4016" spans="1:8" ht="45" x14ac:dyDescent="0.25">
      <c r="A4016" s="21" t="s">
        <v>9204</v>
      </c>
      <c r="B4016" s="25" t="s">
        <v>9205</v>
      </c>
      <c r="C4016" s="26">
        <v>1</v>
      </c>
      <c r="D4016" s="27" t="s">
        <v>15</v>
      </c>
      <c r="E4016" s="26">
        <v>1907.35</v>
      </c>
      <c r="F4016" s="28" t="s">
        <v>16</v>
      </c>
      <c r="G4016" s="26">
        <f>ROUND(C4016*E4016,0)</f>
        <v>1907</v>
      </c>
      <c r="H4016" t="s">
        <v>9205</v>
      </c>
    </row>
    <row r="4017" spans="1:8" ht="300" x14ac:dyDescent="0.25">
      <c r="A4017" s="21" t="s">
        <v>9206</v>
      </c>
      <c r="B4017" s="25" t="s">
        <v>9207</v>
      </c>
      <c r="C4017" s="26"/>
      <c r="D4017" s="27"/>
      <c r="E4017" s="26"/>
      <c r="F4017" s="28"/>
      <c r="G4017" s="26"/>
      <c r="H4017" t="s">
        <v>9199</v>
      </c>
    </row>
    <row r="4018" spans="1:8" ht="195" x14ac:dyDescent="0.25">
      <c r="A4018" s="21"/>
      <c r="B4018" s="25" t="s">
        <v>9208</v>
      </c>
      <c r="C4018" s="26"/>
      <c r="D4018" s="27"/>
      <c r="E4018" s="26"/>
      <c r="F4018" s="28"/>
      <c r="G4018" s="26"/>
    </row>
    <row r="4019" spans="1:8" ht="30" x14ac:dyDescent="0.25">
      <c r="A4019" s="21" t="s">
        <v>9209</v>
      </c>
      <c r="B4019" s="25" t="s">
        <v>9210</v>
      </c>
      <c r="C4019" s="26">
        <v>1</v>
      </c>
      <c r="D4019" s="27" t="s">
        <v>15</v>
      </c>
      <c r="E4019" s="26">
        <v>2333.6</v>
      </c>
      <c r="F4019" s="28" t="s">
        <v>16</v>
      </c>
      <c r="G4019" s="26">
        <f>ROUND(C4019*E4019,0)</f>
        <v>2334</v>
      </c>
      <c r="H4019" t="s">
        <v>9210</v>
      </c>
    </row>
    <row r="4020" spans="1:8" ht="30" x14ac:dyDescent="0.25">
      <c r="A4020" s="21" t="s">
        <v>9211</v>
      </c>
      <c r="B4020" s="25" t="s">
        <v>9212</v>
      </c>
      <c r="C4020" s="26">
        <v>1</v>
      </c>
      <c r="D4020" s="27" t="s">
        <v>15</v>
      </c>
      <c r="E4020" s="26">
        <v>2671.2</v>
      </c>
      <c r="F4020" s="28" t="s">
        <v>16</v>
      </c>
      <c r="G4020" s="26">
        <f>ROUND(C4020*E4020,0)</f>
        <v>2671</v>
      </c>
      <c r="H4020" t="s">
        <v>9212</v>
      </c>
    </row>
    <row r="4021" spans="1:8" ht="45" x14ac:dyDescent="0.25">
      <c r="A4021" s="21" t="s">
        <v>9213</v>
      </c>
      <c r="B4021" s="25" t="s">
        <v>9215</v>
      </c>
      <c r="C4021" s="26">
        <v>1</v>
      </c>
      <c r="D4021" s="27" t="s">
        <v>15</v>
      </c>
      <c r="E4021" s="26">
        <v>2447.15</v>
      </c>
      <c r="F4021" s="28" t="s">
        <v>16</v>
      </c>
      <c r="G4021" s="26">
        <f>ROUND(C4021*E4021,0)</f>
        <v>2447</v>
      </c>
      <c r="H4021" t="s">
        <v>9214</v>
      </c>
    </row>
    <row r="4022" spans="1:8" ht="135" x14ac:dyDescent="0.25">
      <c r="A4022" s="21" t="s">
        <v>9216</v>
      </c>
      <c r="B4022" s="25" t="s">
        <v>9218</v>
      </c>
      <c r="C4022" s="26"/>
      <c r="D4022" s="27"/>
      <c r="E4022" s="26"/>
      <c r="F4022" s="28"/>
      <c r="G4022" s="26"/>
      <c r="H4022" t="s">
        <v>9217</v>
      </c>
    </row>
    <row r="4023" spans="1:8" ht="30" x14ac:dyDescent="0.25">
      <c r="A4023" s="21" t="s">
        <v>9219</v>
      </c>
      <c r="B4023" s="25" t="s">
        <v>9220</v>
      </c>
      <c r="C4023" s="26">
        <v>1</v>
      </c>
      <c r="D4023" s="27" t="s">
        <v>15</v>
      </c>
      <c r="E4023" s="26">
        <v>378</v>
      </c>
      <c r="F4023" s="28" t="s">
        <v>16</v>
      </c>
      <c r="G4023" s="26">
        <f>ROUND(C4023*E4023,0)</f>
        <v>378</v>
      </c>
      <c r="H4023" t="s">
        <v>9220</v>
      </c>
    </row>
    <row r="4024" spans="1:8" ht="30" x14ac:dyDescent="0.25">
      <c r="A4024" s="21" t="s">
        <v>9221</v>
      </c>
      <c r="B4024" s="25" t="s">
        <v>9222</v>
      </c>
      <c r="C4024" s="26">
        <v>1</v>
      </c>
      <c r="D4024" s="27" t="s">
        <v>15</v>
      </c>
      <c r="E4024" s="26">
        <v>256.35000000000002</v>
      </c>
      <c r="F4024" s="28" t="s">
        <v>16</v>
      </c>
      <c r="G4024" s="26">
        <f>ROUND(C4024*E4024,0)</f>
        <v>256</v>
      </c>
      <c r="H4024" t="s">
        <v>9222</v>
      </c>
    </row>
    <row r="4025" spans="1:8" ht="30" x14ac:dyDescent="0.25">
      <c r="A4025" s="21" t="s">
        <v>9223</v>
      </c>
      <c r="B4025" s="25" t="s">
        <v>9224</v>
      </c>
      <c r="C4025" s="26">
        <v>1</v>
      </c>
      <c r="D4025" s="27" t="s">
        <v>15</v>
      </c>
      <c r="E4025" s="26">
        <v>126.75</v>
      </c>
      <c r="F4025" s="28" t="s">
        <v>16</v>
      </c>
      <c r="G4025" s="26">
        <f>ROUND(C4025*E4025,0)</f>
        <v>127</v>
      </c>
      <c r="H4025" t="s">
        <v>9224</v>
      </c>
    </row>
    <row r="4026" spans="1:8" ht="120" x14ac:dyDescent="0.25">
      <c r="A4026" s="21" t="s">
        <v>9225</v>
      </c>
      <c r="B4026" s="25" t="s">
        <v>9227</v>
      </c>
      <c r="C4026" s="26"/>
      <c r="D4026" s="27"/>
      <c r="E4026" s="26"/>
      <c r="F4026" s="28"/>
      <c r="G4026" s="26"/>
      <c r="H4026" t="s">
        <v>9226</v>
      </c>
    </row>
    <row r="4027" spans="1:8" x14ac:dyDescent="0.25">
      <c r="A4027" s="21" t="s">
        <v>9228</v>
      </c>
      <c r="B4027" s="25" t="s">
        <v>9229</v>
      </c>
      <c r="C4027" s="26">
        <v>1</v>
      </c>
      <c r="D4027" s="27" t="s">
        <v>110</v>
      </c>
      <c r="E4027" s="26">
        <v>8.25</v>
      </c>
      <c r="F4027" s="28" t="s">
        <v>68</v>
      </c>
      <c r="G4027" s="26">
        <f>ROUND(C4027*E4027,0)</f>
        <v>8</v>
      </c>
      <c r="H4027" t="s">
        <v>9229</v>
      </c>
    </row>
    <row r="4028" spans="1:8" x14ac:dyDescent="0.25">
      <c r="A4028" s="21" t="s">
        <v>9230</v>
      </c>
      <c r="B4028" s="25" t="s">
        <v>9231</v>
      </c>
      <c r="C4028" s="26">
        <v>1</v>
      </c>
      <c r="D4028" s="27" t="s">
        <v>110</v>
      </c>
      <c r="E4028" s="26">
        <v>16.45</v>
      </c>
      <c r="F4028" s="28" t="s">
        <v>68</v>
      </c>
      <c r="G4028" s="26">
        <f>ROUND(C4028*E4028,0)</f>
        <v>16</v>
      </c>
      <c r="H4028" t="s">
        <v>9231</v>
      </c>
    </row>
    <row r="4029" spans="1:8" ht="135" x14ac:dyDescent="0.25">
      <c r="A4029" s="21" t="s">
        <v>9232</v>
      </c>
      <c r="B4029" s="25" t="s">
        <v>9234</v>
      </c>
      <c r="C4029" s="26"/>
      <c r="D4029" s="27"/>
      <c r="E4029" s="26"/>
      <c r="F4029" s="28"/>
      <c r="G4029" s="26"/>
      <c r="H4029" t="s">
        <v>9233</v>
      </c>
    </row>
    <row r="4030" spans="1:8" x14ac:dyDescent="0.25">
      <c r="A4030" s="21" t="s">
        <v>9235</v>
      </c>
      <c r="B4030" s="25" t="s">
        <v>9236</v>
      </c>
      <c r="C4030" s="26">
        <v>1</v>
      </c>
      <c r="D4030" s="27" t="s">
        <v>201</v>
      </c>
      <c r="E4030" s="26">
        <v>141.19999999999999</v>
      </c>
      <c r="F4030" s="28" t="s">
        <v>202</v>
      </c>
      <c r="G4030" s="26">
        <f>ROUND(C4030*E4030,0)</f>
        <v>141</v>
      </c>
      <c r="H4030" t="s">
        <v>9236</v>
      </c>
    </row>
    <row r="4031" spans="1:8" ht="60" x14ac:dyDescent="0.25">
      <c r="A4031" s="21" t="s">
        <v>9237</v>
      </c>
      <c r="B4031" s="25" t="s">
        <v>9239</v>
      </c>
      <c r="C4031" s="26"/>
      <c r="D4031" s="27"/>
      <c r="E4031" s="26"/>
      <c r="F4031" s="28"/>
      <c r="G4031" s="26"/>
      <c r="H4031" t="s">
        <v>9238</v>
      </c>
    </row>
    <row r="4032" spans="1:8" ht="60" x14ac:dyDescent="0.25">
      <c r="A4032" s="21" t="s">
        <v>9240</v>
      </c>
      <c r="B4032" s="25" t="s">
        <v>9241</v>
      </c>
      <c r="C4032" s="26">
        <v>1</v>
      </c>
      <c r="D4032" s="27" t="s">
        <v>15</v>
      </c>
      <c r="E4032" s="26">
        <v>141.19999999999999</v>
      </c>
      <c r="F4032" s="28" t="s">
        <v>16</v>
      </c>
      <c r="G4032" s="26">
        <f>ROUND(C4032*E4032,0)</f>
        <v>141</v>
      </c>
      <c r="H4032" t="s">
        <v>9241</v>
      </c>
    </row>
    <row r="4033" spans="1:8" ht="30" x14ac:dyDescent="0.25">
      <c r="A4033" s="21" t="s">
        <v>9242</v>
      </c>
      <c r="B4033" s="25" t="s">
        <v>9243</v>
      </c>
      <c r="C4033" s="26">
        <v>1</v>
      </c>
      <c r="D4033" s="27" t="s">
        <v>15</v>
      </c>
      <c r="E4033" s="26">
        <v>285.2</v>
      </c>
      <c r="F4033" s="28" t="s">
        <v>16</v>
      </c>
      <c r="G4033" s="26">
        <f>ROUND(C4033*E4033,0)</f>
        <v>285</v>
      </c>
      <c r="H4033" t="s">
        <v>9243</v>
      </c>
    </row>
    <row r="4034" spans="1:8" ht="90" x14ac:dyDescent="0.25">
      <c r="A4034" s="21" t="s">
        <v>9244</v>
      </c>
      <c r="B4034" s="25" t="s">
        <v>9246</v>
      </c>
      <c r="C4034" s="26"/>
      <c r="D4034" s="27"/>
      <c r="E4034" s="26"/>
      <c r="F4034" s="28"/>
      <c r="G4034" s="26"/>
      <c r="H4034" t="s">
        <v>9245</v>
      </c>
    </row>
    <row r="4035" spans="1:8" ht="135" x14ac:dyDescent="0.25">
      <c r="A4035" s="21"/>
      <c r="B4035" s="25" t="s">
        <v>9247</v>
      </c>
      <c r="C4035" s="26"/>
      <c r="D4035" s="27"/>
      <c r="E4035" s="26"/>
      <c r="F4035" s="28"/>
      <c r="G4035" s="26"/>
    </row>
    <row r="4036" spans="1:8" ht="30" x14ac:dyDescent="0.25">
      <c r="A4036" s="21" t="s">
        <v>9248</v>
      </c>
      <c r="B4036" s="25" t="s">
        <v>9249</v>
      </c>
      <c r="C4036" s="26">
        <v>1</v>
      </c>
      <c r="D4036" s="27" t="s">
        <v>15</v>
      </c>
      <c r="E4036" s="26">
        <v>388.65</v>
      </c>
      <c r="F4036" s="28" t="s">
        <v>16</v>
      </c>
      <c r="G4036" s="26">
        <f>ROUND(C4036*E4036,0)</f>
        <v>389</v>
      </c>
      <c r="H4036" t="s">
        <v>9249</v>
      </c>
    </row>
    <row r="4037" spans="1:8" ht="30" x14ac:dyDescent="0.25">
      <c r="A4037" s="21" t="s">
        <v>9250</v>
      </c>
      <c r="B4037" s="25" t="s">
        <v>9251</v>
      </c>
      <c r="C4037" s="26">
        <v>1</v>
      </c>
      <c r="D4037" s="27" t="s">
        <v>15</v>
      </c>
      <c r="E4037" s="26">
        <v>587.35</v>
      </c>
      <c r="F4037" s="28" t="s">
        <v>16</v>
      </c>
      <c r="G4037" s="26">
        <f>ROUND(C4037*E4037,0)</f>
        <v>587</v>
      </c>
      <c r="H4037" t="s">
        <v>9251</v>
      </c>
    </row>
    <row r="4038" spans="1:8" ht="30" x14ac:dyDescent="0.25">
      <c r="A4038" s="21" t="s">
        <v>9252</v>
      </c>
      <c r="B4038" s="25" t="s">
        <v>9253</v>
      </c>
      <c r="C4038" s="26">
        <v>1</v>
      </c>
      <c r="D4038" s="27" t="s">
        <v>15</v>
      </c>
      <c r="E4038" s="26">
        <v>1174.7</v>
      </c>
      <c r="F4038" s="28" t="s">
        <v>16</v>
      </c>
      <c r="G4038" s="26">
        <f>ROUND(C4038*E4038,0)</f>
        <v>1175</v>
      </c>
      <c r="H4038" t="s">
        <v>9253</v>
      </c>
    </row>
    <row r="4039" spans="1:8" ht="135" x14ac:dyDescent="0.25">
      <c r="A4039" s="21" t="s">
        <v>9254</v>
      </c>
      <c r="B4039" s="25" t="s">
        <v>9256</v>
      </c>
      <c r="C4039" s="26"/>
      <c r="D4039" s="27"/>
      <c r="E4039" s="26"/>
      <c r="F4039" s="28"/>
      <c r="G4039" s="26"/>
      <c r="H4039" t="s">
        <v>9255</v>
      </c>
    </row>
    <row r="4040" spans="1:8" ht="105" x14ac:dyDescent="0.25">
      <c r="A4040" s="21"/>
      <c r="B4040" s="25" t="s">
        <v>9257</v>
      </c>
      <c r="C4040" s="26"/>
      <c r="D4040" s="27"/>
      <c r="E4040" s="26"/>
      <c r="F4040" s="28"/>
      <c r="G4040" s="26"/>
    </row>
    <row r="4041" spans="1:8" ht="75" x14ac:dyDescent="0.25">
      <c r="A4041" s="21"/>
      <c r="B4041" s="25" t="s">
        <v>9258</v>
      </c>
      <c r="C4041" s="26"/>
      <c r="D4041" s="27"/>
      <c r="E4041" s="26"/>
      <c r="F4041" s="28"/>
      <c r="G4041" s="26"/>
    </row>
    <row r="4042" spans="1:8" ht="30" x14ac:dyDescent="0.25">
      <c r="A4042" s="21" t="s">
        <v>9259</v>
      </c>
      <c r="B4042" s="25" t="s">
        <v>9260</v>
      </c>
      <c r="C4042" s="26">
        <v>1</v>
      </c>
      <c r="D4042" s="27" t="s">
        <v>15</v>
      </c>
      <c r="E4042" s="26">
        <v>569.15</v>
      </c>
      <c r="F4042" s="28" t="s">
        <v>16</v>
      </c>
      <c r="G4042" s="26">
        <f>ROUND(C4042*E4042,0)</f>
        <v>569</v>
      </c>
      <c r="H4042" t="s">
        <v>9260</v>
      </c>
    </row>
    <row r="4043" spans="1:8" ht="30" x14ac:dyDescent="0.25">
      <c r="A4043" s="21" t="s">
        <v>9261</v>
      </c>
      <c r="B4043" s="25" t="s">
        <v>9262</v>
      </c>
      <c r="C4043" s="26">
        <v>1</v>
      </c>
      <c r="D4043" s="27" t="s">
        <v>15</v>
      </c>
      <c r="E4043" s="26">
        <v>853.7</v>
      </c>
      <c r="F4043" s="28" t="s">
        <v>16</v>
      </c>
      <c r="G4043" s="26">
        <f>ROUND(C4043*E4043,0)</f>
        <v>854</v>
      </c>
      <c r="H4043" t="s">
        <v>9262</v>
      </c>
    </row>
    <row r="4044" spans="1:8" ht="165" x14ac:dyDescent="0.25">
      <c r="A4044" s="21" t="s">
        <v>9263</v>
      </c>
      <c r="B4044" s="25" t="s">
        <v>9265</v>
      </c>
      <c r="C4044" s="26"/>
      <c r="D4044" s="27"/>
      <c r="E4044" s="26"/>
      <c r="F4044" s="28"/>
      <c r="G4044" s="26"/>
      <c r="H4044" t="s">
        <v>9264</v>
      </c>
    </row>
    <row r="4045" spans="1:8" ht="135" x14ac:dyDescent="0.25">
      <c r="A4045" s="21"/>
      <c r="B4045" s="25" t="s">
        <v>9266</v>
      </c>
      <c r="C4045" s="26"/>
      <c r="D4045" s="27"/>
      <c r="E4045" s="26"/>
      <c r="F4045" s="28"/>
      <c r="G4045" s="26"/>
    </row>
    <row r="4046" spans="1:8" ht="60" x14ac:dyDescent="0.25">
      <c r="A4046" s="21"/>
      <c r="B4046" s="25" t="s">
        <v>9267</v>
      </c>
      <c r="C4046" s="26"/>
      <c r="D4046" s="27"/>
      <c r="E4046" s="26"/>
      <c r="F4046" s="28"/>
      <c r="G4046" s="26"/>
    </row>
    <row r="4047" spans="1:8" ht="30" x14ac:dyDescent="0.25">
      <c r="A4047" s="21" t="s">
        <v>9268</v>
      </c>
      <c r="B4047" s="25" t="s">
        <v>9260</v>
      </c>
      <c r="C4047" s="26">
        <v>1</v>
      </c>
      <c r="D4047" s="27" t="s">
        <v>15</v>
      </c>
      <c r="E4047" s="26">
        <v>569.15</v>
      </c>
      <c r="F4047" s="28" t="s">
        <v>16</v>
      </c>
      <c r="G4047" s="26">
        <f>ROUND(C4047*E4047,0)</f>
        <v>569</v>
      </c>
      <c r="H4047" t="s">
        <v>9260</v>
      </c>
    </row>
    <row r="4048" spans="1:8" ht="30" x14ac:dyDescent="0.25">
      <c r="A4048" s="21" t="s">
        <v>9269</v>
      </c>
      <c r="B4048" s="25" t="s">
        <v>9262</v>
      </c>
      <c r="C4048" s="26">
        <v>1</v>
      </c>
      <c r="D4048" s="27" t="s">
        <v>15</v>
      </c>
      <c r="E4048" s="26">
        <v>853.7</v>
      </c>
      <c r="F4048" s="28" t="s">
        <v>16</v>
      </c>
      <c r="G4048" s="26">
        <f>ROUND(C4048*E4048,0)</f>
        <v>854</v>
      </c>
      <c r="H4048" t="s">
        <v>9262</v>
      </c>
    </row>
    <row r="4049" spans="1:8" ht="30" x14ac:dyDescent="0.25">
      <c r="A4049" s="21" t="s">
        <v>9270</v>
      </c>
      <c r="B4049" s="25" t="s">
        <v>9271</v>
      </c>
      <c r="C4049" s="26">
        <v>1</v>
      </c>
      <c r="D4049" s="27" t="s">
        <v>15</v>
      </c>
      <c r="E4049" s="26">
        <v>1138.25</v>
      </c>
      <c r="F4049" s="28" t="s">
        <v>16</v>
      </c>
      <c r="G4049" s="26">
        <f>ROUND(C4049*E4049,0)</f>
        <v>1138</v>
      </c>
      <c r="H4049" t="s">
        <v>9271</v>
      </c>
    </row>
    <row r="4050" spans="1:8" ht="120" x14ac:dyDescent="0.25">
      <c r="A4050" s="21" t="s">
        <v>9272</v>
      </c>
      <c r="B4050" s="25" t="s">
        <v>9274</v>
      </c>
      <c r="C4050" s="26"/>
      <c r="D4050" s="27"/>
      <c r="E4050" s="26"/>
      <c r="F4050" s="28"/>
      <c r="G4050" s="26"/>
      <c r="H4050" t="s">
        <v>9273</v>
      </c>
    </row>
    <row r="4051" spans="1:8" ht="60" x14ac:dyDescent="0.25">
      <c r="A4051" s="21" t="s">
        <v>9275</v>
      </c>
      <c r="B4051" s="25" t="s">
        <v>9277</v>
      </c>
      <c r="C4051" s="26">
        <v>1</v>
      </c>
      <c r="D4051" s="27" t="s">
        <v>725</v>
      </c>
      <c r="E4051" s="26">
        <v>119.3</v>
      </c>
      <c r="F4051" s="28" t="s">
        <v>726</v>
      </c>
      <c r="G4051" s="26">
        <f>ROUND(C4051*E4051,0)</f>
        <v>119</v>
      </c>
      <c r="H4051" t="s">
        <v>9276</v>
      </c>
    </row>
    <row r="4052" spans="1:8" ht="45" x14ac:dyDescent="0.25">
      <c r="A4052" s="21" t="s">
        <v>9278</v>
      </c>
      <c r="B4052" s="25" t="s">
        <v>9279</v>
      </c>
      <c r="C4052" s="26">
        <v>1</v>
      </c>
      <c r="D4052" s="27" t="s">
        <v>725</v>
      </c>
      <c r="E4052" s="26">
        <v>124</v>
      </c>
      <c r="F4052" s="28" t="s">
        <v>726</v>
      </c>
      <c r="G4052" s="26">
        <f>ROUND(C4052*E4052,0)</f>
        <v>124</v>
      </c>
      <c r="H4052" t="s">
        <v>9279</v>
      </c>
    </row>
    <row r="4053" spans="1:8" ht="30" x14ac:dyDescent="0.25">
      <c r="A4053" s="21" t="s">
        <v>9280</v>
      </c>
      <c r="B4053" s="25" t="s">
        <v>9281</v>
      </c>
      <c r="C4053" s="26">
        <v>1</v>
      </c>
      <c r="D4053" s="27" t="s">
        <v>725</v>
      </c>
      <c r="E4053" s="26">
        <v>553.4</v>
      </c>
      <c r="F4053" s="28" t="s">
        <v>726</v>
      </c>
      <c r="G4053" s="26">
        <f>ROUND(C4053*E4053,0)</f>
        <v>553</v>
      </c>
      <c r="H4053" t="s">
        <v>9281</v>
      </c>
    </row>
    <row r="4054" spans="1:8" ht="90" x14ac:dyDescent="0.25">
      <c r="A4054" s="21" t="s">
        <v>9282</v>
      </c>
      <c r="B4054" s="25" t="s">
        <v>9284</v>
      </c>
      <c r="C4054" s="26"/>
      <c r="D4054" s="27"/>
      <c r="E4054" s="26"/>
      <c r="F4054" s="28"/>
      <c r="G4054" s="26"/>
      <c r="H4054" t="s">
        <v>9283</v>
      </c>
    </row>
    <row r="4055" spans="1:8" ht="30" x14ac:dyDescent="0.25">
      <c r="A4055" s="21" t="s">
        <v>9285</v>
      </c>
      <c r="B4055" s="25" t="s">
        <v>9286</v>
      </c>
      <c r="C4055" s="26">
        <v>1</v>
      </c>
      <c r="D4055" s="27" t="s">
        <v>15</v>
      </c>
      <c r="E4055" s="26">
        <v>54.25</v>
      </c>
      <c r="F4055" s="28" t="s">
        <v>16</v>
      </c>
      <c r="G4055" s="26">
        <f>ROUND(C4055*E4055,0)</f>
        <v>54</v>
      </c>
      <c r="H4055" t="s">
        <v>9286</v>
      </c>
    </row>
    <row r="4056" spans="1:8" ht="75" x14ac:dyDescent="0.25">
      <c r="A4056" s="21" t="s">
        <v>9287</v>
      </c>
      <c r="B4056" s="25" t="s">
        <v>9289</v>
      </c>
      <c r="C4056" s="26">
        <v>1</v>
      </c>
      <c r="D4056" s="27" t="s">
        <v>15</v>
      </c>
      <c r="E4056" s="26">
        <v>382.4</v>
      </c>
      <c r="F4056" s="28" t="s">
        <v>16</v>
      </c>
      <c r="G4056" s="26">
        <f>ROUND(C4056*E4056,0)</f>
        <v>382</v>
      </c>
      <c r="H4056" t="s">
        <v>9288</v>
      </c>
    </row>
    <row r="4057" spans="1:8" ht="225" x14ac:dyDescent="0.25">
      <c r="A4057" s="21" t="s">
        <v>9290</v>
      </c>
      <c r="B4057" s="25" t="s">
        <v>9292</v>
      </c>
      <c r="C4057" s="26"/>
      <c r="D4057" s="27"/>
      <c r="E4057" s="26"/>
      <c r="F4057" s="28"/>
      <c r="G4057" s="26"/>
      <c r="H4057" t="s">
        <v>9291</v>
      </c>
    </row>
    <row r="4058" spans="1:8" ht="30" x14ac:dyDescent="0.25">
      <c r="A4058" s="21" t="s">
        <v>9293</v>
      </c>
      <c r="B4058" s="25" t="s">
        <v>9294</v>
      </c>
      <c r="C4058" s="26">
        <v>1</v>
      </c>
      <c r="D4058" s="27" t="s">
        <v>15</v>
      </c>
      <c r="E4058" s="26">
        <v>746.9</v>
      </c>
      <c r="F4058" s="28" t="s">
        <v>16</v>
      </c>
      <c r="G4058" s="26">
        <f>ROUND(C4058*E4058,0)</f>
        <v>747</v>
      </c>
      <c r="H4058" t="s">
        <v>9294</v>
      </c>
    </row>
    <row r="4059" spans="1:8" ht="30" x14ac:dyDescent="0.25">
      <c r="A4059" s="21" t="s">
        <v>9295</v>
      </c>
      <c r="B4059" s="25" t="s">
        <v>9260</v>
      </c>
      <c r="C4059" s="26">
        <v>1</v>
      </c>
      <c r="D4059" s="27" t="s">
        <v>15</v>
      </c>
      <c r="E4059" s="26">
        <v>1151.05</v>
      </c>
      <c r="F4059" s="28" t="s">
        <v>16</v>
      </c>
      <c r="G4059" s="26">
        <f>ROUND(C4059*E4059,0)</f>
        <v>1151</v>
      </c>
      <c r="H4059" t="s">
        <v>9260</v>
      </c>
    </row>
    <row r="4060" spans="1:8" ht="30" x14ac:dyDescent="0.25">
      <c r="A4060" s="21" t="s">
        <v>9296</v>
      </c>
      <c r="B4060" s="25" t="s">
        <v>9262</v>
      </c>
      <c r="C4060" s="26">
        <v>1</v>
      </c>
      <c r="D4060" s="27" t="s">
        <v>15</v>
      </c>
      <c r="E4060" s="26">
        <v>1628.85</v>
      </c>
      <c r="F4060" s="28" t="s">
        <v>16</v>
      </c>
      <c r="G4060" s="26">
        <f>ROUND(C4060*E4060,0)</f>
        <v>1629</v>
      </c>
      <c r="H4060" t="s">
        <v>9262</v>
      </c>
    </row>
    <row r="4061" spans="1:8" ht="150" x14ac:dyDescent="0.25">
      <c r="A4061" s="21" t="s">
        <v>9297</v>
      </c>
      <c r="B4061" s="25" t="s">
        <v>9299</v>
      </c>
      <c r="C4061" s="26">
        <v>1</v>
      </c>
      <c r="D4061" s="27" t="s">
        <v>201</v>
      </c>
      <c r="E4061" s="26">
        <v>236.9</v>
      </c>
      <c r="F4061" s="28" t="s">
        <v>202</v>
      </c>
      <c r="G4061" s="26">
        <f>ROUND(C4061*E4061,0)</f>
        <v>237</v>
      </c>
      <c r="H4061" t="s">
        <v>9298</v>
      </c>
    </row>
    <row r="4062" spans="1:8" ht="120" x14ac:dyDescent="0.25">
      <c r="A4062" s="21" t="s">
        <v>9300</v>
      </c>
      <c r="B4062" s="25" t="s">
        <v>9302</v>
      </c>
      <c r="C4062" s="26">
        <v>1</v>
      </c>
      <c r="D4062" s="27" t="s">
        <v>15</v>
      </c>
      <c r="E4062" s="26">
        <v>902.55</v>
      </c>
      <c r="F4062" s="28" t="s">
        <v>16</v>
      </c>
      <c r="G4062" s="26">
        <f>ROUND(C4062*E4062,0)</f>
        <v>903</v>
      </c>
      <c r="H4062" t="s">
        <v>9301</v>
      </c>
    </row>
    <row r="4063" spans="1:8" ht="330" x14ac:dyDescent="0.25">
      <c r="A4063" s="21" t="s">
        <v>9303</v>
      </c>
      <c r="B4063" s="25" t="s">
        <v>9305</v>
      </c>
      <c r="C4063" s="26"/>
      <c r="D4063" s="27"/>
      <c r="E4063" s="26"/>
      <c r="F4063" s="28"/>
      <c r="G4063" s="26"/>
      <c r="H4063" t="s">
        <v>9304</v>
      </c>
    </row>
    <row r="4064" spans="1:8" ht="255" x14ac:dyDescent="0.25">
      <c r="A4064" s="21"/>
      <c r="B4064" s="25" t="s">
        <v>9306</v>
      </c>
      <c r="C4064" s="26"/>
      <c r="D4064" s="27"/>
      <c r="E4064" s="26"/>
      <c r="F4064" s="28"/>
      <c r="G4064" s="26"/>
    </row>
    <row r="4065" spans="1:8" ht="150" x14ac:dyDescent="0.25">
      <c r="A4065" s="21"/>
      <c r="B4065" s="25" t="s">
        <v>9307</v>
      </c>
      <c r="C4065" s="26"/>
      <c r="D4065" s="27"/>
      <c r="E4065" s="26"/>
      <c r="F4065" s="28"/>
      <c r="G4065" s="26"/>
    </row>
    <row r="4066" spans="1:8" ht="90" x14ac:dyDescent="0.25">
      <c r="A4066" s="21"/>
      <c r="B4066" s="25" t="s">
        <v>9308</v>
      </c>
      <c r="C4066" s="26">
        <v>1</v>
      </c>
      <c r="D4066" s="27" t="s">
        <v>725</v>
      </c>
      <c r="E4066" s="26">
        <v>285.89999999999998</v>
      </c>
      <c r="F4066" s="28" t="s">
        <v>726</v>
      </c>
      <c r="G4066" s="26">
        <f>ROUND(C4066*E4066,0)</f>
        <v>286</v>
      </c>
    </row>
    <row r="4067" spans="1:8" ht="270" x14ac:dyDescent="0.25">
      <c r="A4067" s="21" t="s">
        <v>9309</v>
      </c>
      <c r="B4067" s="25" t="s">
        <v>9311</v>
      </c>
      <c r="C4067" s="26"/>
      <c r="D4067" s="27"/>
      <c r="E4067" s="26"/>
      <c r="F4067" s="28"/>
      <c r="G4067" s="26"/>
      <c r="H4067" t="s">
        <v>9310</v>
      </c>
    </row>
    <row r="4068" spans="1:8" ht="135" x14ac:dyDescent="0.25">
      <c r="A4068" s="21" t="s">
        <v>9312</v>
      </c>
      <c r="B4068" s="25" t="s">
        <v>9314</v>
      </c>
      <c r="C4068" s="26">
        <v>1</v>
      </c>
      <c r="D4068" s="27" t="s">
        <v>15</v>
      </c>
      <c r="E4068" s="26">
        <v>3580.65</v>
      </c>
      <c r="F4068" s="28" t="s">
        <v>16</v>
      </c>
      <c r="G4068" s="26">
        <f>ROUND(C4068*E4068,0)</f>
        <v>3581</v>
      </c>
      <c r="H4068" t="s">
        <v>9313</v>
      </c>
    </row>
    <row r="4069" spans="1:8" ht="135" x14ac:dyDescent="0.25">
      <c r="A4069" s="21" t="s">
        <v>9315</v>
      </c>
      <c r="B4069" s="25" t="s">
        <v>9316</v>
      </c>
      <c r="C4069" s="26">
        <v>1</v>
      </c>
      <c r="D4069" s="27" t="s">
        <v>15</v>
      </c>
      <c r="E4069" s="26">
        <v>2821.65</v>
      </c>
      <c r="F4069" s="28" t="s">
        <v>16</v>
      </c>
      <c r="G4069" s="26">
        <f>ROUND(C4069*E4069,0)</f>
        <v>2822</v>
      </c>
      <c r="H4069" t="s">
        <v>105</v>
      </c>
    </row>
    <row r="4070" spans="1:8" ht="120" x14ac:dyDescent="0.25">
      <c r="A4070" s="21" t="s">
        <v>9317</v>
      </c>
      <c r="B4070" s="25" t="s">
        <v>9319</v>
      </c>
      <c r="C4070" s="26">
        <v>1</v>
      </c>
      <c r="D4070" s="27" t="s">
        <v>15</v>
      </c>
      <c r="E4070" s="26">
        <v>3167.85</v>
      </c>
      <c r="F4070" s="28" t="s">
        <v>16</v>
      </c>
      <c r="G4070" s="26">
        <f>ROUND(C4070*E4070,0)</f>
        <v>3168</v>
      </c>
      <c r="H4070" t="s">
        <v>9318</v>
      </c>
    </row>
    <row r="4071" spans="1:8" ht="180" x14ac:dyDescent="0.25">
      <c r="A4071" s="21" t="s">
        <v>9320</v>
      </c>
      <c r="B4071" s="25" t="s">
        <v>9322</v>
      </c>
      <c r="C4071" s="26"/>
      <c r="D4071" s="27"/>
      <c r="E4071" s="26"/>
      <c r="F4071" s="28"/>
      <c r="G4071" s="26"/>
      <c r="H4071" t="s">
        <v>9321</v>
      </c>
    </row>
    <row r="4072" spans="1:8" ht="45" x14ac:dyDescent="0.25">
      <c r="A4072" s="21" t="s">
        <v>9323</v>
      </c>
      <c r="B4072" s="25" t="s">
        <v>9325</v>
      </c>
      <c r="C4072" s="26">
        <v>1</v>
      </c>
      <c r="D4072" s="27" t="s">
        <v>15</v>
      </c>
      <c r="E4072" s="26">
        <v>2221.0500000000002</v>
      </c>
      <c r="F4072" s="28" t="s">
        <v>16</v>
      </c>
      <c r="G4072" s="26">
        <f>ROUND(C4072*E4072,0)</f>
        <v>2221</v>
      </c>
      <c r="H4072" t="s">
        <v>9324</v>
      </c>
    </row>
    <row r="4073" spans="1:8" ht="30" x14ac:dyDescent="0.25">
      <c r="A4073" s="21" t="s">
        <v>9326</v>
      </c>
      <c r="B4073" s="25" t="s">
        <v>9327</v>
      </c>
      <c r="C4073" s="26">
        <v>1</v>
      </c>
      <c r="D4073" s="27" t="s">
        <v>15</v>
      </c>
      <c r="E4073" s="26">
        <v>2189.75</v>
      </c>
      <c r="F4073" s="28" t="s">
        <v>16</v>
      </c>
      <c r="G4073" s="26">
        <f>ROUND(C4073*E4073,0)</f>
        <v>2190</v>
      </c>
      <c r="H4073" t="s">
        <v>9327</v>
      </c>
    </row>
    <row r="4074" spans="1:8" ht="75" x14ac:dyDescent="0.25">
      <c r="A4074" s="21" t="s">
        <v>9328</v>
      </c>
      <c r="B4074" s="25" t="s">
        <v>9329</v>
      </c>
      <c r="C4074" s="26">
        <v>1</v>
      </c>
      <c r="D4074" s="27" t="s">
        <v>15</v>
      </c>
      <c r="E4074" s="26">
        <v>298.75</v>
      </c>
      <c r="F4074" s="28" t="s">
        <v>16</v>
      </c>
      <c r="G4074" s="26">
        <f>ROUND(C4074*E4074,0)</f>
        <v>299</v>
      </c>
      <c r="H4074" t="s">
        <v>9329</v>
      </c>
    </row>
    <row r="4075" spans="1:8" ht="90" x14ac:dyDescent="0.25">
      <c r="A4075" s="21" t="s">
        <v>9330</v>
      </c>
      <c r="B4075" s="25" t="s">
        <v>9331</v>
      </c>
      <c r="C4075" s="26"/>
      <c r="D4075" s="27"/>
      <c r="E4075" s="26"/>
      <c r="F4075" s="28"/>
      <c r="G4075" s="26"/>
      <c r="H4075" t="s">
        <v>9331</v>
      </c>
    </row>
    <row r="4076" spans="1:8" ht="30" x14ac:dyDescent="0.25">
      <c r="A4076" s="21" t="s">
        <v>9332</v>
      </c>
      <c r="B4076" s="25" t="s">
        <v>9333</v>
      </c>
      <c r="C4076" s="26">
        <v>1</v>
      </c>
      <c r="D4076" s="27" t="s">
        <v>15</v>
      </c>
      <c r="E4076" s="26">
        <v>1430.15</v>
      </c>
      <c r="F4076" s="28" t="s">
        <v>16</v>
      </c>
      <c r="G4076" s="26">
        <f>ROUND(C4076*E4076,0)</f>
        <v>1430</v>
      </c>
      <c r="H4076" t="s">
        <v>9333</v>
      </c>
    </row>
    <row r="4077" spans="1:8" ht="45" x14ac:dyDescent="0.25">
      <c r="A4077" s="21" t="s">
        <v>9334</v>
      </c>
      <c r="B4077" s="25" t="s">
        <v>9335</v>
      </c>
      <c r="C4077" s="26">
        <v>1</v>
      </c>
      <c r="D4077" s="27" t="s">
        <v>15</v>
      </c>
      <c r="E4077" s="26">
        <v>991.95</v>
      </c>
      <c r="F4077" s="28" t="s">
        <v>16</v>
      </c>
      <c r="G4077" s="26">
        <f>ROUND(C4077*E4077,0)</f>
        <v>992</v>
      </c>
      <c r="H4077" t="s">
        <v>9335</v>
      </c>
    </row>
    <row r="4078" spans="1:8" ht="180" x14ac:dyDescent="0.25">
      <c r="A4078" s="21" t="s">
        <v>9336</v>
      </c>
      <c r="B4078" s="25" t="s">
        <v>9338</v>
      </c>
      <c r="C4078" s="26"/>
      <c r="D4078" s="27"/>
      <c r="E4078" s="26"/>
      <c r="F4078" s="28"/>
      <c r="G4078" s="26"/>
      <c r="H4078" t="s">
        <v>9337</v>
      </c>
    </row>
    <row r="4079" spans="1:8" ht="180" x14ac:dyDescent="0.25">
      <c r="A4079" s="21"/>
      <c r="B4079" s="25" t="s">
        <v>9339</v>
      </c>
      <c r="C4079" s="26">
        <v>1</v>
      </c>
      <c r="D4079" s="27" t="s">
        <v>15</v>
      </c>
      <c r="E4079" s="26">
        <v>4347.1499999999996</v>
      </c>
      <c r="F4079" s="28" t="s">
        <v>16</v>
      </c>
      <c r="G4079" s="26">
        <f>ROUND(C4079*E4079,0)</f>
        <v>4347</v>
      </c>
    </row>
    <row r="4080" spans="1:8" ht="360" x14ac:dyDescent="0.25">
      <c r="A4080" s="21" t="s">
        <v>9340</v>
      </c>
      <c r="B4080" s="25" t="s">
        <v>9341</v>
      </c>
      <c r="C4080" s="26">
        <v>1</v>
      </c>
      <c r="D4080" s="27" t="s">
        <v>15</v>
      </c>
      <c r="E4080" s="26">
        <v>4701.6000000000004</v>
      </c>
      <c r="F4080" s="28" t="s">
        <v>16</v>
      </c>
      <c r="G4080" s="26">
        <f>ROUND(C4080*E4080,0)</f>
        <v>4702</v>
      </c>
      <c r="H4080" t="s">
        <v>9341</v>
      </c>
    </row>
    <row r="4081" spans="1:8" ht="345" x14ac:dyDescent="0.25">
      <c r="A4081" s="21" t="s">
        <v>9342</v>
      </c>
      <c r="B4081" s="25" t="s">
        <v>9344</v>
      </c>
      <c r="C4081" s="26"/>
      <c r="D4081" s="27"/>
      <c r="E4081" s="26"/>
      <c r="F4081" s="28"/>
      <c r="G4081" s="26"/>
      <c r="H4081" t="s">
        <v>9343</v>
      </c>
    </row>
    <row r="4082" spans="1:8" ht="345" x14ac:dyDescent="0.25">
      <c r="A4082" s="21"/>
      <c r="B4082" s="25" t="s">
        <v>9345</v>
      </c>
      <c r="C4082" s="26">
        <v>1</v>
      </c>
      <c r="D4082" s="27" t="s">
        <v>15</v>
      </c>
      <c r="E4082" s="26">
        <v>451.35</v>
      </c>
      <c r="F4082" s="28" t="s">
        <v>16</v>
      </c>
      <c r="G4082" s="26">
        <f>ROUND(C4082*E4082,0)</f>
        <v>451</v>
      </c>
    </row>
    <row r="4083" spans="1:8" ht="360" x14ac:dyDescent="0.25">
      <c r="A4083" s="21" t="s">
        <v>9346</v>
      </c>
      <c r="B4083" s="25" t="s">
        <v>9348</v>
      </c>
      <c r="C4083" s="26"/>
      <c r="D4083" s="27"/>
      <c r="E4083" s="26"/>
      <c r="F4083" s="28"/>
      <c r="G4083" s="26"/>
      <c r="H4083" t="s">
        <v>9347</v>
      </c>
    </row>
    <row r="4084" spans="1:8" ht="90" x14ac:dyDescent="0.25">
      <c r="A4084" s="21"/>
      <c r="B4084" s="25" t="s">
        <v>9349</v>
      </c>
      <c r="C4084" s="26"/>
      <c r="D4084" s="27"/>
      <c r="E4084" s="26"/>
      <c r="F4084" s="28"/>
      <c r="G4084" s="26"/>
    </row>
    <row r="4085" spans="1:8" ht="30" x14ac:dyDescent="0.25">
      <c r="A4085" s="21" t="s">
        <v>9350</v>
      </c>
      <c r="B4085" s="25" t="s">
        <v>9351</v>
      </c>
      <c r="C4085" s="26">
        <v>1</v>
      </c>
      <c r="D4085" s="27" t="s">
        <v>15</v>
      </c>
      <c r="E4085" s="26">
        <v>1315.7</v>
      </c>
      <c r="F4085" s="28" t="s">
        <v>16</v>
      </c>
      <c r="G4085" s="26">
        <f>ROUND(C4085*E4085,0)</f>
        <v>1316</v>
      </c>
      <c r="H4085" t="s">
        <v>9351</v>
      </c>
    </row>
    <row r="4086" spans="1:8" ht="30" x14ac:dyDescent="0.25">
      <c r="A4086" s="21" t="s">
        <v>9352</v>
      </c>
      <c r="B4086" s="25" t="s">
        <v>9353</v>
      </c>
      <c r="C4086" s="26">
        <v>1</v>
      </c>
      <c r="D4086" s="27" t="s">
        <v>15</v>
      </c>
      <c r="E4086" s="26">
        <v>1487.5</v>
      </c>
      <c r="F4086" s="28" t="s">
        <v>16</v>
      </c>
      <c r="G4086" s="26">
        <f>ROUND(C4086*E4086,0)</f>
        <v>1488</v>
      </c>
      <c r="H4086" t="s">
        <v>9353</v>
      </c>
    </row>
    <row r="4087" spans="1:8" ht="30" x14ac:dyDescent="0.25">
      <c r="A4087" s="21" t="s">
        <v>9354</v>
      </c>
      <c r="B4087" s="25" t="s">
        <v>9355</v>
      </c>
      <c r="C4087" s="26">
        <v>1</v>
      </c>
      <c r="D4087" s="27" t="s">
        <v>15</v>
      </c>
      <c r="E4087" s="26">
        <v>1840.05</v>
      </c>
      <c r="F4087" s="28" t="s">
        <v>16</v>
      </c>
      <c r="G4087" s="26">
        <f>ROUND(C4087*E4087,0)</f>
        <v>1840</v>
      </c>
      <c r="H4087" t="s">
        <v>9355</v>
      </c>
    </row>
    <row r="4088" spans="1:8" ht="30" x14ac:dyDescent="0.25">
      <c r="A4088" s="21" t="s">
        <v>9356</v>
      </c>
      <c r="B4088" s="25" t="s">
        <v>9357</v>
      </c>
      <c r="C4088" s="26">
        <v>1</v>
      </c>
      <c r="D4088" s="27" t="s">
        <v>15</v>
      </c>
      <c r="E4088" s="26">
        <v>2141.8000000000002</v>
      </c>
      <c r="F4088" s="28" t="s">
        <v>16</v>
      </c>
      <c r="G4088" s="26">
        <f>ROUND(C4088*E4088,0)</f>
        <v>2142</v>
      </c>
      <c r="H4088" t="s">
        <v>9357</v>
      </c>
    </row>
    <row r="4089" spans="1:8" ht="30" x14ac:dyDescent="0.25">
      <c r="A4089" s="21" t="s">
        <v>9358</v>
      </c>
      <c r="B4089" s="25" t="s">
        <v>9359</v>
      </c>
      <c r="C4089" s="26">
        <v>1</v>
      </c>
      <c r="D4089" s="27" t="s">
        <v>15</v>
      </c>
      <c r="E4089" s="26">
        <v>2518.1999999999998</v>
      </c>
      <c r="F4089" s="28" t="s">
        <v>16</v>
      </c>
      <c r="G4089" s="26">
        <f>ROUND(C4089*E4089,0)</f>
        <v>2518</v>
      </c>
      <c r="H4089" t="s">
        <v>9359</v>
      </c>
    </row>
    <row r="4090" spans="1:8" ht="225" x14ac:dyDescent="0.25">
      <c r="A4090" s="21" t="s">
        <v>9360</v>
      </c>
      <c r="B4090" s="25" t="s">
        <v>9362</v>
      </c>
      <c r="C4090" s="26"/>
      <c r="D4090" s="27"/>
      <c r="E4090" s="26"/>
      <c r="F4090" s="28"/>
      <c r="G4090" s="26"/>
      <c r="H4090" t="s">
        <v>9361</v>
      </c>
    </row>
    <row r="4091" spans="1:8" ht="210" x14ac:dyDescent="0.25">
      <c r="A4091" s="21"/>
      <c r="B4091" s="25" t="s">
        <v>9363</v>
      </c>
      <c r="C4091" s="26"/>
      <c r="D4091" s="27"/>
      <c r="E4091" s="26"/>
      <c r="F4091" s="28"/>
      <c r="G4091" s="26"/>
    </row>
    <row r="4092" spans="1:8" ht="60" x14ac:dyDescent="0.25">
      <c r="A4092" s="21" t="s">
        <v>9364</v>
      </c>
      <c r="B4092" s="25" t="s">
        <v>9366</v>
      </c>
      <c r="C4092" s="26">
        <v>1</v>
      </c>
      <c r="D4092" s="27" t="s">
        <v>15</v>
      </c>
      <c r="E4092" s="26">
        <v>1527.5</v>
      </c>
      <c r="F4092" s="28" t="s">
        <v>16</v>
      </c>
      <c r="G4092" s="26">
        <f t="shared" ref="G4092:G4098" si="138">ROUND(C4092*E4092,0)</f>
        <v>1528</v>
      </c>
      <c r="H4092" t="s">
        <v>9365</v>
      </c>
    </row>
    <row r="4093" spans="1:8" ht="60" x14ac:dyDescent="0.25">
      <c r="A4093" s="21" t="s">
        <v>9367</v>
      </c>
      <c r="B4093" s="25" t="s">
        <v>9368</v>
      </c>
      <c r="C4093" s="26">
        <v>1</v>
      </c>
      <c r="D4093" s="27" t="s">
        <v>15</v>
      </c>
      <c r="E4093" s="26">
        <v>1635.05</v>
      </c>
      <c r="F4093" s="28" t="s">
        <v>16</v>
      </c>
      <c r="G4093" s="26">
        <f t="shared" si="138"/>
        <v>1635</v>
      </c>
      <c r="H4093" t="s">
        <v>105</v>
      </c>
    </row>
    <row r="4094" spans="1:8" ht="60" x14ac:dyDescent="0.25">
      <c r="A4094" s="21" t="s">
        <v>9369</v>
      </c>
      <c r="B4094" s="25" t="s">
        <v>9370</v>
      </c>
      <c r="C4094" s="26">
        <v>1</v>
      </c>
      <c r="D4094" s="27" t="s">
        <v>15</v>
      </c>
      <c r="E4094" s="26">
        <v>2068.25</v>
      </c>
      <c r="F4094" s="28" t="s">
        <v>16</v>
      </c>
      <c r="G4094" s="26">
        <f t="shared" si="138"/>
        <v>2068</v>
      </c>
      <c r="H4094" t="s">
        <v>105</v>
      </c>
    </row>
    <row r="4095" spans="1:8" ht="60" x14ac:dyDescent="0.25">
      <c r="A4095" s="21" t="s">
        <v>9371</v>
      </c>
      <c r="B4095" s="25" t="s">
        <v>9373</v>
      </c>
      <c r="C4095" s="26">
        <v>1</v>
      </c>
      <c r="D4095" s="27" t="s">
        <v>15</v>
      </c>
      <c r="E4095" s="26">
        <v>1841.2</v>
      </c>
      <c r="F4095" s="28" t="s">
        <v>16</v>
      </c>
      <c r="G4095" s="26">
        <f t="shared" si="138"/>
        <v>1841</v>
      </c>
      <c r="H4095" t="s">
        <v>9372</v>
      </c>
    </row>
    <row r="4096" spans="1:8" ht="60" x14ac:dyDescent="0.25">
      <c r="A4096" s="21" t="s">
        <v>9374</v>
      </c>
      <c r="B4096" s="25" t="s">
        <v>9375</v>
      </c>
      <c r="C4096" s="26">
        <v>1</v>
      </c>
      <c r="D4096" s="27" t="s">
        <v>15</v>
      </c>
      <c r="E4096" s="26">
        <v>1784.4</v>
      </c>
      <c r="F4096" s="28" t="s">
        <v>16</v>
      </c>
      <c r="G4096" s="26">
        <f t="shared" si="138"/>
        <v>1784</v>
      </c>
      <c r="H4096" t="s">
        <v>105</v>
      </c>
    </row>
    <row r="4097" spans="1:8" ht="60" x14ac:dyDescent="0.25">
      <c r="A4097" s="21" t="s">
        <v>9376</v>
      </c>
      <c r="B4097" s="25" t="s">
        <v>9377</v>
      </c>
      <c r="C4097" s="26">
        <v>1</v>
      </c>
      <c r="D4097" s="27" t="s">
        <v>15</v>
      </c>
      <c r="E4097" s="26">
        <v>2326.65</v>
      </c>
      <c r="F4097" s="28" t="s">
        <v>16</v>
      </c>
      <c r="G4097" s="26">
        <f t="shared" si="138"/>
        <v>2327</v>
      </c>
      <c r="H4097" t="s">
        <v>105</v>
      </c>
    </row>
    <row r="4098" spans="1:8" ht="285" x14ac:dyDescent="0.25">
      <c r="A4098" s="21" t="s">
        <v>9378</v>
      </c>
      <c r="B4098" s="25" t="s">
        <v>9380</v>
      </c>
      <c r="C4098" s="26">
        <v>1</v>
      </c>
      <c r="D4098" s="27" t="s">
        <v>15</v>
      </c>
      <c r="E4098" s="26">
        <v>1477.3</v>
      </c>
      <c r="F4098" s="28" t="s">
        <v>16</v>
      </c>
      <c r="G4098" s="26">
        <f t="shared" si="138"/>
        <v>1477</v>
      </c>
      <c r="H4098" t="s">
        <v>9379</v>
      </c>
    </row>
    <row r="4099" spans="1:8" ht="285" x14ac:dyDescent="0.25">
      <c r="A4099" s="21" t="s">
        <v>9381</v>
      </c>
      <c r="B4099" s="25" t="s">
        <v>9383</v>
      </c>
      <c r="C4099" s="26"/>
      <c r="D4099" s="27"/>
      <c r="E4099" s="26"/>
      <c r="F4099" s="28"/>
      <c r="G4099" s="26"/>
      <c r="H4099" t="s">
        <v>9382</v>
      </c>
    </row>
    <row r="4100" spans="1:8" ht="105" x14ac:dyDescent="0.25">
      <c r="A4100" s="21"/>
      <c r="B4100" s="25" t="s">
        <v>9384</v>
      </c>
      <c r="C4100" s="26"/>
      <c r="D4100" s="27"/>
      <c r="E4100" s="26"/>
      <c r="F4100" s="28"/>
      <c r="G4100" s="26"/>
    </row>
    <row r="4101" spans="1:8" ht="165" x14ac:dyDescent="0.25">
      <c r="A4101" s="21"/>
      <c r="B4101" s="25" t="s">
        <v>9385</v>
      </c>
      <c r="C4101" s="26">
        <v>1</v>
      </c>
      <c r="D4101" s="27" t="s">
        <v>15</v>
      </c>
      <c r="E4101" s="26">
        <v>283.25</v>
      </c>
      <c r="F4101" s="28" t="s">
        <v>16</v>
      </c>
      <c r="G4101" s="26">
        <f>ROUND(C4101*E4101,0)</f>
        <v>283</v>
      </c>
    </row>
    <row r="4102" spans="1:8" ht="90" x14ac:dyDescent="0.25">
      <c r="A4102" s="21" t="s">
        <v>9386</v>
      </c>
      <c r="B4102" s="25" t="s">
        <v>9388</v>
      </c>
      <c r="C4102" s="26"/>
      <c r="D4102" s="27"/>
      <c r="E4102" s="26"/>
      <c r="F4102" s="28"/>
      <c r="G4102" s="26"/>
      <c r="H4102" t="s">
        <v>9387</v>
      </c>
    </row>
    <row r="4103" spans="1:8" ht="30" x14ac:dyDescent="0.25">
      <c r="A4103" s="21"/>
      <c r="B4103" s="25" t="s">
        <v>9389</v>
      </c>
      <c r="C4103" s="26"/>
      <c r="D4103" s="27"/>
      <c r="E4103" s="26"/>
      <c r="F4103" s="28"/>
      <c r="G4103" s="26"/>
    </row>
    <row r="4104" spans="1:8" ht="75" x14ac:dyDescent="0.25">
      <c r="A4104" s="21"/>
      <c r="B4104" s="25" t="s">
        <v>9390</v>
      </c>
      <c r="C4104" s="26"/>
      <c r="D4104" s="27"/>
      <c r="E4104" s="26"/>
      <c r="F4104" s="28"/>
      <c r="G4104" s="26"/>
    </row>
    <row r="4105" spans="1:8" ht="90" x14ac:dyDescent="0.25">
      <c r="A4105" s="21"/>
      <c r="B4105" s="25" t="s">
        <v>9391</v>
      </c>
      <c r="C4105" s="26"/>
      <c r="D4105" s="27"/>
      <c r="E4105" s="26"/>
      <c r="F4105" s="28"/>
      <c r="G4105" s="26"/>
    </row>
    <row r="4106" spans="1:8" ht="30" x14ac:dyDescent="0.25">
      <c r="A4106" s="21"/>
      <c r="B4106" s="25" t="s">
        <v>9392</v>
      </c>
      <c r="C4106" s="26"/>
      <c r="D4106" s="27"/>
      <c r="E4106" s="26"/>
      <c r="F4106" s="28"/>
      <c r="G4106" s="26"/>
    </row>
    <row r="4107" spans="1:8" ht="120" x14ac:dyDescent="0.25">
      <c r="A4107" s="21"/>
      <c r="B4107" s="25" t="s">
        <v>9393</v>
      </c>
      <c r="C4107" s="26">
        <v>1</v>
      </c>
      <c r="D4107" s="27" t="s">
        <v>21</v>
      </c>
      <c r="E4107" s="26">
        <v>2604.3000000000002</v>
      </c>
      <c r="F4107" s="28" t="s">
        <v>22</v>
      </c>
      <c r="G4107" s="26">
        <f>ROUND(C4107*E4107,0)</f>
        <v>2604</v>
      </c>
    </row>
    <row r="4108" spans="1:8" ht="90" x14ac:dyDescent="0.25">
      <c r="A4108" s="21" t="s">
        <v>9394</v>
      </c>
      <c r="B4108" s="25" t="s">
        <v>9396</v>
      </c>
      <c r="C4108" s="26"/>
      <c r="D4108" s="27"/>
      <c r="E4108" s="26"/>
      <c r="F4108" s="28"/>
      <c r="G4108" s="26"/>
      <c r="H4108" t="s">
        <v>9395</v>
      </c>
    </row>
    <row r="4109" spans="1:8" ht="60" x14ac:dyDescent="0.25">
      <c r="A4109" s="21"/>
      <c r="B4109" s="25" t="s">
        <v>9397</v>
      </c>
      <c r="C4109" s="26"/>
      <c r="D4109" s="27"/>
      <c r="E4109" s="26"/>
      <c r="F4109" s="28"/>
      <c r="G4109" s="26"/>
    </row>
    <row r="4110" spans="1:8" ht="45" x14ac:dyDescent="0.25">
      <c r="A4110" s="21"/>
      <c r="B4110" s="25" t="s">
        <v>9398</v>
      </c>
      <c r="C4110" s="26"/>
      <c r="D4110" s="27"/>
      <c r="E4110" s="26"/>
      <c r="F4110" s="28"/>
      <c r="G4110" s="26"/>
    </row>
    <row r="4111" spans="1:8" ht="30" x14ac:dyDescent="0.25">
      <c r="A4111" s="21"/>
      <c r="B4111" s="25" t="s">
        <v>9399</v>
      </c>
      <c r="C4111" s="26"/>
      <c r="D4111" s="27"/>
      <c r="E4111" s="26"/>
      <c r="F4111" s="28"/>
      <c r="G4111" s="26"/>
    </row>
    <row r="4112" spans="1:8" ht="75" x14ac:dyDescent="0.25">
      <c r="A4112" s="21"/>
      <c r="B4112" s="25" t="s">
        <v>9400</v>
      </c>
      <c r="C4112" s="26">
        <v>1</v>
      </c>
      <c r="D4112" s="27" t="s">
        <v>15</v>
      </c>
      <c r="E4112" s="26">
        <v>287.39999999999998</v>
      </c>
      <c r="F4112" s="28" t="s">
        <v>16</v>
      </c>
      <c r="G4112" s="26">
        <f t="shared" ref="G4112:G4121" si="139">ROUND(C4112*E4112,0)</f>
        <v>287</v>
      </c>
    </row>
    <row r="4113" spans="1:8" ht="60" x14ac:dyDescent="0.25">
      <c r="A4113" s="21" t="s">
        <v>9401</v>
      </c>
      <c r="B4113" s="25" t="s">
        <v>9403</v>
      </c>
      <c r="C4113" s="26">
        <v>1</v>
      </c>
      <c r="D4113" s="27" t="s">
        <v>15</v>
      </c>
      <c r="E4113" s="26">
        <v>254.75</v>
      </c>
      <c r="F4113" s="28" t="s">
        <v>16</v>
      </c>
      <c r="G4113" s="26">
        <f t="shared" si="139"/>
        <v>255</v>
      </c>
      <c r="H4113" t="s">
        <v>9402</v>
      </c>
    </row>
    <row r="4114" spans="1:8" ht="180" x14ac:dyDescent="0.25">
      <c r="A4114" s="21" t="s">
        <v>9404</v>
      </c>
      <c r="B4114" s="25" t="s">
        <v>9406</v>
      </c>
      <c r="C4114" s="26">
        <v>1</v>
      </c>
      <c r="D4114" s="27" t="s">
        <v>15</v>
      </c>
      <c r="E4114" s="26">
        <v>371.25</v>
      </c>
      <c r="F4114" s="28" t="s">
        <v>16</v>
      </c>
      <c r="G4114" s="26">
        <f t="shared" si="139"/>
        <v>371</v>
      </c>
      <c r="H4114" t="s">
        <v>9405</v>
      </c>
    </row>
    <row r="4115" spans="1:8" ht="165" x14ac:dyDescent="0.25">
      <c r="A4115" s="21" t="s">
        <v>9407</v>
      </c>
      <c r="B4115" s="25" t="s">
        <v>9409</v>
      </c>
      <c r="C4115" s="26">
        <v>1</v>
      </c>
      <c r="D4115" s="27" t="s">
        <v>110</v>
      </c>
      <c r="E4115" s="26">
        <v>92.45</v>
      </c>
      <c r="F4115" s="28" t="s">
        <v>68</v>
      </c>
      <c r="G4115" s="26">
        <f t="shared" si="139"/>
        <v>92</v>
      </c>
      <c r="H4115" t="s">
        <v>9408</v>
      </c>
    </row>
    <row r="4116" spans="1:8" ht="150" x14ac:dyDescent="0.25">
      <c r="A4116" s="21" t="s">
        <v>9410</v>
      </c>
      <c r="B4116" s="25" t="s">
        <v>9412</v>
      </c>
      <c r="C4116" s="26">
        <v>1</v>
      </c>
      <c r="D4116" s="27" t="s">
        <v>110</v>
      </c>
      <c r="E4116" s="26">
        <v>49.3</v>
      </c>
      <c r="F4116" s="28" t="s">
        <v>68</v>
      </c>
      <c r="G4116" s="26">
        <f t="shared" si="139"/>
        <v>49</v>
      </c>
      <c r="H4116" t="s">
        <v>9411</v>
      </c>
    </row>
    <row r="4117" spans="1:8" ht="120" x14ac:dyDescent="0.25">
      <c r="A4117" s="21" t="s">
        <v>9413</v>
      </c>
      <c r="B4117" s="25" t="s">
        <v>9415</v>
      </c>
      <c r="C4117" s="26">
        <v>1</v>
      </c>
      <c r="D4117" s="27" t="s">
        <v>110</v>
      </c>
      <c r="E4117" s="26">
        <v>49.95</v>
      </c>
      <c r="F4117" s="28" t="s">
        <v>68</v>
      </c>
      <c r="G4117" s="26">
        <f t="shared" si="139"/>
        <v>50</v>
      </c>
      <c r="H4117" t="s">
        <v>9414</v>
      </c>
    </row>
    <row r="4118" spans="1:8" ht="120" x14ac:dyDescent="0.25">
      <c r="A4118" s="21" t="s">
        <v>9416</v>
      </c>
      <c r="B4118" s="25" t="s">
        <v>9418</v>
      </c>
      <c r="C4118" s="26">
        <v>1</v>
      </c>
      <c r="D4118" s="27" t="s">
        <v>15</v>
      </c>
      <c r="E4118" s="26">
        <v>136.44999999999999</v>
      </c>
      <c r="F4118" s="28" t="s">
        <v>16</v>
      </c>
      <c r="G4118" s="26">
        <f t="shared" si="139"/>
        <v>136</v>
      </c>
      <c r="H4118" t="s">
        <v>9417</v>
      </c>
    </row>
    <row r="4119" spans="1:8" ht="120" x14ac:dyDescent="0.25">
      <c r="A4119" s="21" t="s">
        <v>9419</v>
      </c>
      <c r="B4119" s="25" t="s">
        <v>9421</v>
      </c>
      <c r="C4119" s="26">
        <v>1</v>
      </c>
      <c r="D4119" s="27" t="s">
        <v>110</v>
      </c>
      <c r="E4119" s="26">
        <v>49.95</v>
      </c>
      <c r="F4119" s="28" t="s">
        <v>68</v>
      </c>
      <c r="G4119" s="26">
        <f t="shared" si="139"/>
        <v>50</v>
      </c>
      <c r="H4119" t="s">
        <v>9420</v>
      </c>
    </row>
    <row r="4120" spans="1:8" ht="120" x14ac:dyDescent="0.25">
      <c r="A4120" s="21" t="s">
        <v>9422</v>
      </c>
      <c r="B4120" s="25" t="s">
        <v>9424</v>
      </c>
      <c r="C4120" s="26">
        <v>1</v>
      </c>
      <c r="D4120" s="27" t="s">
        <v>725</v>
      </c>
      <c r="E4120" s="26">
        <v>182.05</v>
      </c>
      <c r="F4120" s="28" t="s">
        <v>726</v>
      </c>
      <c r="G4120" s="26">
        <f t="shared" si="139"/>
        <v>182</v>
      </c>
      <c r="H4120" t="s">
        <v>9423</v>
      </c>
    </row>
    <row r="4121" spans="1:8" ht="75" x14ac:dyDescent="0.25">
      <c r="A4121" s="21" t="s">
        <v>9425</v>
      </c>
      <c r="B4121" s="25" t="s">
        <v>9427</v>
      </c>
      <c r="C4121" s="26">
        <v>1</v>
      </c>
      <c r="D4121" s="27" t="s">
        <v>725</v>
      </c>
      <c r="E4121" s="26">
        <v>27.1</v>
      </c>
      <c r="F4121" s="28" t="s">
        <v>726</v>
      </c>
      <c r="G4121" s="26">
        <f t="shared" si="139"/>
        <v>27</v>
      </c>
      <c r="H4121" t="s">
        <v>9426</v>
      </c>
    </row>
    <row r="4122" spans="1:8" ht="60" x14ac:dyDescent="0.25">
      <c r="A4122" s="21" t="s">
        <v>9428</v>
      </c>
      <c r="B4122" s="25" t="s">
        <v>9430</v>
      </c>
      <c r="C4122" s="26"/>
      <c r="D4122" s="27"/>
      <c r="E4122" s="26"/>
      <c r="F4122" s="28"/>
      <c r="G4122" s="26"/>
      <c r="H4122" t="s">
        <v>9429</v>
      </c>
    </row>
    <row r="4123" spans="1:8" ht="30" x14ac:dyDescent="0.25">
      <c r="A4123" s="21" t="s">
        <v>9431</v>
      </c>
      <c r="B4123" s="25" t="s">
        <v>582</v>
      </c>
      <c r="C4123" s="26">
        <v>1</v>
      </c>
      <c r="D4123" s="27" t="s">
        <v>15</v>
      </c>
      <c r="E4123" s="26">
        <v>106.8</v>
      </c>
      <c r="F4123" s="28" t="s">
        <v>16</v>
      </c>
      <c r="G4123" s="26">
        <f>ROUND(C4123*E4123,0)</f>
        <v>107</v>
      </c>
      <c r="H4123" t="s">
        <v>9432</v>
      </c>
    </row>
    <row r="4124" spans="1:8" ht="120" x14ac:dyDescent="0.25">
      <c r="A4124" s="21" t="s">
        <v>9433</v>
      </c>
      <c r="B4124" s="25" t="s">
        <v>9435</v>
      </c>
      <c r="C4124" s="26">
        <v>1</v>
      </c>
      <c r="D4124" s="27" t="s">
        <v>15</v>
      </c>
      <c r="E4124" s="26">
        <v>1525.6</v>
      </c>
      <c r="F4124" s="28" t="s">
        <v>16</v>
      </c>
      <c r="G4124" s="26">
        <f>ROUND(C4124*E4124,0)</f>
        <v>1526</v>
      </c>
      <c r="H4124" t="s">
        <v>9434</v>
      </c>
    </row>
    <row r="4125" spans="1:8" ht="180" x14ac:dyDescent="0.25">
      <c r="A4125" s="21" t="s">
        <v>9436</v>
      </c>
      <c r="B4125" s="25" t="s">
        <v>9438</v>
      </c>
      <c r="C4125" s="26"/>
      <c r="D4125" s="27"/>
      <c r="E4125" s="26"/>
      <c r="F4125" s="28"/>
      <c r="G4125" s="26"/>
      <c r="H4125" t="s">
        <v>9437</v>
      </c>
    </row>
    <row r="4126" spans="1:8" ht="165" x14ac:dyDescent="0.25">
      <c r="A4126" s="21"/>
      <c r="B4126" s="25" t="s">
        <v>9439</v>
      </c>
      <c r="C4126" s="26">
        <v>1</v>
      </c>
      <c r="D4126" s="27" t="s">
        <v>15</v>
      </c>
      <c r="E4126" s="26">
        <v>2673.7</v>
      </c>
      <c r="F4126" s="28" t="s">
        <v>16</v>
      </c>
      <c r="G4126" s="26">
        <f>ROUND(C4126*E4126,0)</f>
        <v>2674</v>
      </c>
    </row>
    <row r="4127" spans="1:8" ht="315" x14ac:dyDescent="0.25">
      <c r="A4127" s="21" t="s">
        <v>9440</v>
      </c>
      <c r="B4127" s="25" t="s">
        <v>9442</v>
      </c>
      <c r="C4127" s="26"/>
      <c r="D4127" s="27"/>
      <c r="E4127" s="26"/>
      <c r="F4127" s="28"/>
      <c r="G4127" s="26"/>
      <c r="H4127" t="s">
        <v>9441</v>
      </c>
    </row>
    <row r="4128" spans="1:8" ht="180" x14ac:dyDescent="0.25">
      <c r="A4128" s="21"/>
      <c r="B4128" s="25" t="s">
        <v>9443</v>
      </c>
      <c r="C4128" s="26">
        <v>1</v>
      </c>
      <c r="D4128" s="27" t="s">
        <v>15</v>
      </c>
      <c r="E4128" s="26">
        <v>3935.35</v>
      </c>
      <c r="F4128" s="28" t="s">
        <v>16</v>
      </c>
      <c r="G4128" s="26">
        <f>ROUND(C4128*E4128,0)</f>
        <v>3935</v>
      </c>
    </row>
    <row r="4129" spans="1:8" ht="75" x14ac:dyDescent="0.25">
      <c r="A4129" s="21" t="s">
        <v>9444</v>
      </c>
      <c r="B4129" s="25" t="s">
        <v>9445</v>
      </c>
      <c r="C4129" s="26"/>
      <c r="D4129" s="27"/>
      <c r="E4129" s="26"/>
      <c r="F4129" s="28"/>
      <c r="G4129" s="26"/>
      <c r="H4129" t="s">
        <v>9445</v>
      </c>
    </row>
    <row r="4130" spans="1:8" ht="30" x14ac:dyDescent="0.25">
      <c r="A4130" s="21" t="s">
        <v>9446</v>
      </c>
      <c r="B4130" s="25" t="s">
        <v>953</v>
      </c>
      <c r="C4130" s="26">
        <v>1</v>
      </c>
      <c r="D4130" s="27" t="s">
        <v>21</v>
      </c>
      <c r="E4130" s="26">
        <v>7387.25</v>
      </c>
      <c r="F4130" s="28" t="s">
        <v>22</v>
      </c>
      <c r="G4130" s="26">
        <f>ROUND(C4130*E4130,0)</f>
        <v>7387</v>
      </c>
      <c r="H4130" t="s">
        <v>953</v>
      </c>
    </row>
    <row r="4131" spans="1:8" ht="75" x14ac:dyDescent="0.25">
      <c r="A4131" s="21" t="s">
        <v>9447</v>
      </c>
      <c r="B4131" s="25" t="s">
        <v>9448</v>
      </c>
      <c r="C4131" s="26"/>
      <c r="D4131" s="27"/>
      <c r="E4131" s="26"/>
      <c r="F4131" s="28"/>
      <c r="G4131" s="26"/>
      <c r="H4131" t="s">
        <v>9448</v>
      </c>
    </row>
    <row r="4132" spans="1:8" ht="30" x14ac:dyDescent="0.25">
      <c r="A4132" s="21" t="s">
        <v>9449</v>
      </c>
      <c r="B4132" s="25" t="s">
        <v>953</v>
      </c>
      <c r="C4132" s="26">
        <v>1</v>
      </c>
      <c r="D4132" s="27" t="s">
        <v>21</v>
      </c>
      <c r="E4132" s="26">
        <v>9844.65</v>
      </c>
      <c r="F4132" s="28" t="s">
        <v>22</v>
      </c>
      <c r="G4132" s="26">
        <f>ROUND(C4132*E4132,0)</f>
        <v>9845</v>
      </c>
      <c r="H4132" t="s">
        <v>953</v>
      </c>
    </row>
    <row r="4133" spans="1:8" ht="75" x14ac:dyDescent="0.25">
      <c r="A4133" s="21" t="s">
        <v>9450</v>
      </c>
      <c r="B4133" s="25" t="s">
        <v>9451</v>
      </c>
      <c r="C4133" s="26"/>
      <c r="D4133" s="27"/>
      <c r="E4133" s="26"/>
      <c r="F4133" s="28"/>
      <c r="G4133" s="26"/>
      <c r="H4133" t="s">
        <v>9451</v>
      </c>
    </row>
    <row r="4134" spans="1:8" ht="30" x14ac:dyDescent="0.25">
      <c r="A4134" s="21" t="s">
        <v>9452</v>
      </c>
      <c r="B4134" s="25" t="s">
        <v>9453</v>
      </c>
      <c r="C4134" s="26">
        <v>1</v>
      </c>
      <c r="D4134" s="27" t="s">
        <v>15</v>
      </c>
      <c r="E4134" s="26">
        <v>897.15</v>
      </c>
      <c r="F4134" s="28" t="s">
        <v>16</v>
      </c>
      <c r="G4134" s="26">
        <f>ROUND(C4134*E4134,0)</f>
        <v>897</v>
      </c>
      <c r="H4134" t="s">
        <v>9453</v>
      </c>
    </row>
    <row r="4135" spans="1:8" ht="75" x14ac:dyDescent="0.25">
      <c r="A4135" s="21" t="s">
        <v>9454</v>
      </c>
      <c r="B4135" s="25" t="s">
        <v>9455</v>
      </c>
      <c r="C4135" s="26"/>
      <c r="D4135" s="27"/>
      <c r="E4135" s="26"/>
      <c r="F4135" s="28"/>
      <c r="G4135" s="26"/>
      <c r="H4135" t="s">
        <v>9455</v>
      </c>
    </row>
    <row r="4136" spans="1:8" ht="30" x14ac:dyDescent="0.25">
      <c r="A4136" s="21" t="s">
        <v>9456</v>
      </c>
      <c r="B4136" s="25" t="s">
        <v>9453</v>
      </c>
      <c r="C4136" s="26">
        <v>1</v>
      </c>
      <c r="D4136" s="27" t="s">
        <v>15</v>
      </c>
      <c r="E4136" s="26">
        <v>1099.1500000000001</v>
      </c>
      <c r="F4136" s="28" t="s">
        <v>16</v>
      </c>
      <c r="G4136" s="26">
        <f>ROUND(C4136*E4136,0)</f>
        <v>1099</v>
      </c>
      <c r="H4136" t="s">
        <v>9453</v>
      </c>
    </row>
    <row r="4137" spans="1:8" ht="120" x14ac:dyDescent="0.25">
      <c r="A4137" s="21" t="s">
        <v>9457</v>
      </c>
      <c r="B4137" s="25" t="s">
        <v>9458</v>
      </c>
      <c r="C4137" s="26">
        <v>1</v>
      </c>
      <c r="D4137" s="27" t="s">
        <v>15</v>
      </c>
      <c r="E4137" s="26">
        <v>829.75</v>
      </c>
      <c r="F4137" s="28" t="s">
        <v>16</v>
      </c>
      <c r="G4137" s="26">
        <f>ROUND(C4137*E4137,0)</f>
        <v>830</v>
      </c>
      <c r="H4137" t="s">
        <v>9458</v>
      </c>
    </row>
    <row r="4138" spans="1:8" ht="285" x14ac:dyDescent="0.25">
      <c r="A4138" s="21" t="s">
        <v>9459</v>
      </c>
      <c r="B4138" s="25" t="s">
        <v>9461</v>
      </c>
      <c r="C4138" s="26"/>
      <c r="D4138" s="27"/>
      <c r="E4138" s="26"/>
      <c r="F4138" s="28"/>
      <c r="G4138" s="26"/>
      <c r="H4138" t="s">
        <v>9460</v>
      </c>
    </row>
    <row r="4139" spans="1:8" ht="45" x14ac:dyDescent="0.25">
      <c r="A4139" s="21"/>
      <c r="B4139" s="25" t="s">
        <v>9462</v>
      </c>
      <c r="C4139" s="26"/>
      <c r="D4139" s="27"/>
      <c r="E4139" s="26"/>
      <c r="F4139" s="28"/>
      <c r="G4139" s="26"/>
    </row>
    <row r="4140" spans="1:8" x14ac:dyDescent="0.25">
      <c r="A4140" s="21" t="s">
        <v>9463</v>
      </c>
      <c r="B4140" s="25" t="s">
        <v>9464</v>
      </c>
      <c r="C4140" s="26"/>
      <c r="D4140" s="27"/>
      <c r="E4140" s="26"/>
      <c r="F4140" s="28"/>
      <c r="G4140" s="26"/>
      <c r="H4140" t="s">
        <v>9464</v>
      </c>
    </row>
    <row r="4141" spans="1:8" x14ac:dyDescent="0.25">
      <c r="A4141" s="21" t="s">
        <v>9465</v>
      </c>
      <c r="B4141" s="25" t="s">
        <v>9466</v>
      </c>
      <c r="C4141" s="26">
        <v>1</v>
      </c>
      <c r="D4141" s="27" t="s">
        <v>110</v>
      </c>
      <c r="E4141" s="26">
        <v>1287.25</v>
      </c>
      <c r="F4141" s="28" t="s">
        <v>68</v>
      </c>
      <c r="G4141" s="26">
        <f t="shared" ref="G4141:G4148" si="140">ROUND(C4141*E4141,0)</f>
        <v>1287</v>
      </c>
      <c r="H4141" t="s">
        <v>9466</v>
      </c>
    </row>
    <row r="4142" spans="1:8" x14ac:dyDescent="0.25">
      <c r="A4142" s="21" t="s">
        <v>9467</v>
      </c>
      <c r="B4142" s="25" t="s">
        <v>9468</v>
      </c>
      <c r="C4142" s="26">
        <v>1</v>
      </c>
      <c r="D4142" s="27" t="s">
        <v>110</v>
      </c>
      <c r="E4142" s="26">
        <v>1501.4</v>
      </c>
      <c r="F4142" s="28" t="s">
        <v>68</v>
      </c>
      <c r="G4142" s="26">
        <f t="shared" si="140"/>
        <v>1501</v>
      </c>
      <c r="H4142" t="s">
        <v>9468</v>
      </c>
    </row>
    <row r="4143" spans="1:8" x14ac:dyDescent="0.25">
      <c r="A4143" s="21" t="s">
        <v>9469</v>
      </c>
      <c r="B4143" s="25" t="s">
        <v>9470</v>
      </c>
      <c r="C4143" s="26">
        <v>1</v>
      </c>
      <c r="D4143" s="27" t="s">
        <v>110</v>
      </c>
      <c r="E4143" s="26">
        <v>1822.6</v>
      </c>
      <c r="F4143" s="28" t="s">
        <v>68</v>
      </c>
      <c r="G4143" s="26">
        <f t="shared" si="140"/>
        <v>1823</v>
      </c>
      <c r="H4143" t="s">
        <v>9470</v>
      </c>
    </row>
    <row r="4144" spans="1:8" x14ac:dyDescent="0.25">
      <c r="A4144" s="21" t="s">
        <v>9471</v>
      </c>
      <c r="B4144" s="25" t="s">
        <v>9472</v>
      </c>
      <c r="C4144" s="26">
        <v>1</v>
      </c>
      <c r="D4144" s="27" t="s">
        <v>110</v>
      </c>
      <c r="E4144" s="26">
        <v>2217</v>
      </c>
      <c r="F4144" s="28" t="s">
        <v>68</v>
      </c>
      <c r="G4144" s="26">
        <f t="shared" si="140"/>
        <v>2217</v>
      </c>
      <c r="H4144" t="s">
        <v>9472</v>
      </c>
    </row>
    <row r="4145" spans="1:8" x14ac:dyDescent="0.25">
      <c r="A4145" s="21" t="s">
        <v>9473</v>
      </c>
      <c r="B4145" s="25" t="s">
        <v>9474</v>
      </c>
      <c r="C4145" s="26">
        <v>1</v>
      </c>
      <c r="D4145" s="27" t="s">
        <v>110</v>
      </c>
      <c r="E4145" s="26">
        <v>2717.1</v>
      </c>
      <c r="F4145" s="28" t="s">
        <v>68</v>
      </c>
      <c r="G4145" s="26">
        <f t="shared" si="140"/>
        <v>2717</v>
      </c>
      <c r="H4145" t="s">
        <v>9474</v>
      </c>
    </row>
    <row r="4146" spans="1:8" x14ac:dyDescent="0.25">
      <c r="A4146" s="21" t="s">
        <v>9475</v>
      </c>
      <c r="B4146" s="25" t="s">
        <v>9476</v>
      </c>
      <c r="C4146" s="26">
        <v>1</v>
      </c>
      <c r="D4146" s="27" t="s">
        <v>110</v>
      </c>
      <c r="E4146" s="26">
        <v>3217.2</v>
      </c>
      <c r="F4146" s="28" t="s">
        <v>68</v>
      </c>
      <c r="G4146" s="26">
        <f t="shared" si="140"/>
        <v>3217</v>
      </c>
      <c r="H4146" t="s">
        <v>9476</v>
      </c>
    </row>
    <row r="4147" spans="1:8" x14ac:dyDescent="0.25">
      <c r="A4147" s="21" t="s">
        <v>9477</v>
      </c>
      <c r="B4147" s="25" t="s">
        <v>9478</v>
      </c>
      <c r="C4147" s="26">
        <v>1</v>
      </c>
      <c r="D4147" s="27" t="s">
        <v>110</v>
      </c>
      <c r="E4147" s="26">
        <v>3717.25</v>
      </c>
      <c r="F4147" s="28" t="s">
        <v>68</v>
      </c>
      <c r="G4147" s="26">
        <f t="shared" si="140"/>
        <v>3717</v>
      </c>
      <c r="H4147" t="s">
        <v>9478</v>
      </c>
    </row>
    <row r="4148" spans="1:8" x14ac:dyDescent="0.25">
      <c r="A4148" s="21" t="s">
        <v>9479</v>
      </c>
      <c r="B4148" s="25" t="s">
        <v>9480</v>
      </c>
      <c r="C4148" s="26">
        <v>1</v>
      </c>
      <c r="D4148" s="27" t="s">
        <v>110</v>
      </c>
      <c r="E4148" s="26">
        <v>4217.3500000000004</v>
      </c>
      <c r="F4148" s="28" t="s">
        <v>68</v>
      </c>
      <c r="G4148" s="26">
        <f t="shared" si="140"/>
        <v>4217</v>
      </c>
      <c r="H4148" t="s">
        <v>9480</v>
      </c>
    </row>
    <row r="4149" spans="1:8" ht="30" x14ac:dyDescent="0.25">
      <c r="A4149" s="21" t="s">
        <v>9481</v>
      </c>
      <c r="B4149" s="25" t="s">
        <v>9482</v>
      </c>
      <c r="C4149" s="26"/>
      <c r="D4149" s="27"/>
      <c r="E4149" s="26"/>
      <c r="F4149" s="28"/>
      <c r="G4149" s="26"/>
      <c r="H4149" t="s">
        <v>9482</v>
      </c>
    </row>
    <row r="4150" spans="1:8" x14ac:dyDescent="0.25">
      <c r="A4150" s="21" t="s">
        <v>9483</v>
      </c>
      <c r="B4150" s="25" t="s">
        <v>9466</v>
      </c>
      <c r="C4150" s="26">
        <v>1</v>
      </c>
      <c r="D4150" s="27" t="s">
        <v>110</v>
      </c>
      <c r="E4150" s="26">
        <v>18.420000000000002</v>
      </c>
      <c r="F4150" s="28" t="s">
        <v>68</v>
      </c>
      <c r="G4150" s="26">
        <f t="shared" ref="G4150:G4157" si="141">ROUND(C4150*E4150,0)</f>
        <v>18</v>
      </c>
      <c r="H4150" t="s">
        <v>9466</v>
      </c>
    </row>
    <row r="4151" spans="1:8" x14ac:dyDescent="0.25">
      <c r="A4151" s="21" t="s">
        <v>9484</v>
      </c>
      <c r="B4151" s="25" t="s">
        <v>9468</v>
      </c>
      <c r="C4151" s="26">
        <v>1</v>
      </c>
      <c r="D4151" s="27" t="s">
        <v>110</v>
      </c>
      <c r="E4151" s="26">
        <v>22.1</v>
      </c>
      <c r="F4151" s="28" t="s">
        <v>68</v>
      </c>
      <c r="G4151" s="26">
        <f t="shared" si="141"/>
        <v>22</v>
      </c>
      <c r="H4151" t="s">
        <v>9468</v>
      </c>
    </row>
    <row r="4152" spans="1:8" x14ac:dyDescent="0.25">
      <c r="A4152" s="21" t="s">
        <v>9485</v>
      </c>
      <c r="B4152" s="25" t="s">
        <v>9470</v>
      </c>
      <c r="C4152" s="26">
        <v>1</v>
      </c>
      <c r="D4152" s="27" t="s">
        <v>110</v>
      </c>
      <c r="E4152" s="26">
        <v>27.65</v>
      </c>
      <c r="F4152" s="28" t="s">
        <v>68</v>
      </c>
      <c r="G4152" s="26">
        <f t="shared" si="141"/>
        <v>28</v>
      </c>
      <c r="H4152" t="s">
        <v>9470</v>
      </c>
    </row>
    <row r="4153" spans="1:8" x14ac:dyDescent="0.25">
      <c r="A4153" s="21" t="s">
        <v>9486</v>
      </c>
      <c r="B4153" s="25" t="s">
        <v>9472</v>
      </c>
      <c r="C4153" s="26">
        <v>1</v>
      </c>
      <c r="D4153" s="27" t="s">
        <v>110</v>
      </c>
      <c r="E4153" s="26">
        <v>34.4</v>
      </c>
      <c r="F4153" s="28" t="s">
        <v>68</v>
      </c>
      <c r="G4153" s="26">
        <f t="shared" si="141"/>
        <v>34</v>
      </c>
      <c r="H4153" t="s">
        <v>9472</v>
      </c>
    </row>
    <row r="4154" spans="1:8" x14ac:dyDescent="0.25">
      <c r="A4154" s="21" t="s">
        <v>9487</v>
      </c>
      <c r="B4154" s="25" t="s">
        <v>9474</v>
      </c>
      <c r="C4154" s="26">
        <v>1</v>
      </c>
      <c r="D4154" s="27" t="s">
        <v>110</v>
      </c>
      <c r="E4154" s="26">
        <v>43</v>
      </c>
      <c r="F4154" s="28" t="s">
        <v>68</v>
      </c>
      <c r="G4154" s="26">
        <f t="shared" si="141"/>
        <v>43</v>
      </c>
      <c r="H4154" t="s">
        <v>9474</v>
      </c>
    </row>
    <row r="4155" spans="1:8" x14ac:dyDescent="0.25">
      <c r="A4155" s="21" t="s">
        <v>9488</v>
      </c>
      <c r="B4155" s="25" t="s">
        <v>9476</v>
      </c>
      <c r="C4155" s="26">
        <v>1</v>
      </c>
      <c r="D4155" s="27" t="s">
        <v>110</v>
      </c>
      <c r="E4155" s="26">
        <v>51.6</v>
      </c>
      <c r="F4155" s="28" t="s">
        <v>68</v>
      </c>
      <c r="G4155" s="26">
        <f t="shared" si="141"/>
        <v>52</v>
      </c>
      <c r="H4155" t="s">
        <v>9476</v>
      </c>
    </row>
    <row r="4156" spans="1:8" x14ac:dyDescent="0.25">
      <c r="A4156" s="21" t="s">
        <v>9489</v>
      </c>
      <c r="B4156" s="25" t="s">
        <v>9478</v>
      </c>
      <c r="C4156" s="26">
        <v>1</v>
      </c>
      <c r="D4156" s="27" t="s">
        <v>110</v>
      </c>
      <c r="E4156" s="26">
        <v>60.2</v>
      </c>
      <c r="F4156" s="28" t="s">
        <v>68</v>
      </c>
      <c r="G4156" s="26">
        <f t="shared" si="141"/>
        <v>60</v>
      </c>
      <c r="H4156" t="s">
        <v>9478</v>
      </c>
    </row>
    <row r="4157" spans="1:8" x14ac:dyDescent="0.25">
      <c r="A4157" s="21" t="s">
        <v>9490</v>
      </c>
      <c r="B4157" s="25" t="s">
        <v>9480</v>
      </c>
      <c r="C4157" s="26">
        <v>1</v>
      </c>
      <c r="D4157" s="27" t="s">
        <v>110</v>
      </c>
      <c r="E4157" s="26">
        <v>68.8</v>
      </c>
      <c r="F4157" s="28" t="s">
        <v>68</v>
      </c>
      <c r="G4157" s="26">
        <f t="shared" si="141"/>
        <v>69</v>
      </c>
      <c r="H4157" t="s">
        <v>9480</v>
      </c>
    </row>
    <row r="4158" spans="1:8" ht="30" x14ac:dyDescent="0.25">
      <c r="A4158" s="21" t="s">
        <v>9491</v>
      </c>
      <c r="B4158" s="25" t="s">
        <v>9492</v>
      </c>
      <c r="C4158" s="26"/>
      <c r="D4158" s="27"/>
      <c r="E4158" s="26"/>
      <c r="F4158" s="28"/>
      <c r="G4158" s="26"/>
      <c r="H4158" t="s">
        <v>9492</v>
      </c>
    </row>
    <row r="4159" spans="1:8" x14ac:dyDescent="0.25">
      <c r="A4159" s="21" t="s">
        <v>9493</v>
      </c>
      <c r="B4159" s="25" t="s">
        <v>9466</v>
      </c>
      <c r="C4159" s="26">
        <v>1</v>
      </c>
      <c r="D4159" s="27" t="s">
        <v>110</v>
      </c>
      <c r="E4159" s="26">
        <v>29.5</v>
      </c>
      <c r="F4159" s="28" t="s">
        <v>68</v>
      </c>
      <c r="G4159" s="26">
        <f t="shared" ref="G4159:G4166" si="142">ROUND(C4159*E4159,0)</f>
        <v>30</v>
      </c>
      <c r="H4159" t="s">
        <v>9466</v>
      </c>
    </row>
    <row r="4160" spans="1:8" x14ac:dyDescent="0.25">
      <c r="A4160" s="21" t="s">
        <v>9494</v>
      </c>
      <c r="B4160" s="25" t="s">
        <v>9468</v>
      </c>
      <c r="C4160" s="26">
        <v>1</v>
      </c>
      <c r="D4160" s="27" t="s">
        <v>110</v>
      </c>
      <c r="E4160" s="26">
        <v>35.35</v>
      </c>
      <c r="F4160" s="28" t="s">
        <v>68</v>
      </c>
      <c r="G4160" s="26">
        <f t="shared" si="142"/>
        <v>35</v>
      </c>
      <c r="H4160" t="s">
        <v>9468</v>
      </c>
    </row>
    <row r="4161" spans="1:8" x14ac:dyDescent="0.25">
      <c r="A4161" s="21" t="s">
        <v>9495</v>
      </c>
      <c r="B4161" s="25" t="s">
        <v>9470</v>
      </c>
      <c r="C4161" s="26">
        <v>1</v>
      </c>
      <c r="D4161" s="27" t="s">
        <v>110</v>
      </c>
      <c r="E4161" s="26">
        <v>44.2</v>
      </c>
      <c r="F4161" s="28" t="s">
        <v>68</v>
      </c>
      <c r="G4161" s="26">
        <f t="shared" si="142"/>
        <v>44</v>
      </c>
      <c r="H4161" t="s">
        <v>9470</v>
      </c>
    </row>
    <row r="4162" spans="1:8" x14ac:dyDescent="0.25">
      <c r="A4162" s="21" t="s">
        <v>9496</v>
      </c>
      <c r="B4162" s="25" t="s">
        <v>9472</v>
      </c>
      <c r="C4162" s="26">
        <v>1</v>
      </c>
      <c r="D4162" s="27" t="s">
        <v>110</v>
      </c>
      <c r="E4162" s="26">
        <v>55</v>
      </c>
      <c r="F4162" s="28" t="s">
        <v>68</v>
      </c>
      <c r="G4162" s="26">
        <f t="shared" si="142"/>
        <v>55</v>
      </c>
      <c r="H4162" t="s">
        <v>9472</v>
      </c>
    </row>
    <row r="4163" spans="1:8" x14ac:dyDescent="0.25">
      <c r="A4163" s="21" t="s">
        <v>9497</v>
      </c>
      <c r="B4163" s="25" t="s">
        <v>9474</v>
      </c>
      <c r="C4163" s="26">
        <v>1</v>
      </c>
      <c r="D4163" s="27" t="s">
        <v>110</v>
      </c>
      <c r="E4163" s="26">
        <v>68.8</v>
      </c>
      <c r="F4163" s="28" t="s">
        <v>68</v>
      </c>
      <c r="G4163" s="26">
        <f t="shared" si="142"/>
        <v>69</v>
      </c>
      <c r="H4163" t="s">
        <v>9474</v>
      </c>
    </row>
    <row r="4164" spans="1:8" x14ac:dyDescent="0.25">
      <c r="A4164" s="21" t="s">
        <v>9498</v>
      </c>
      <c r="B4164" s="25" t="s">
        <v>9476</v>
      </c>
      <c r="C4164" s="26">
        <v>1</v>
      </c>
      <c r="D4164" s="27" t="s">
        <v>110</v>
      </c>
      <c r="E4164" s="26">
        <v>82.55</v>
      </c>
      <c r="F4164" s="28" t="s">
        <v>68</v>
      </c>
      <c r="G4164" s="26">
        <f t="shared" si="142"/>
        <v>83</v>
      </c>
      <c r="H4164" t="s">
        <v>9476</v>
      </c>
    </row>
    <row r="4165" spans="1:8" x14ac:dyDescent="0.25">
      <c r="A4165" s="21" t="s">
        <v>9499</v>
      </c>
      <c r="B4165" s="25" t="s">
        <v>9478</v>
      </c>
      <c r="C4165" s="26">
        <v>1</v>
      </c>
      <c r="D4165" s="27" t="s">
        <v>110</v>
      </c>
      <c r="E4165" s="26">
        <v>96.3</v>
      </c>
      <c r="F4165" s="28" t="s">
        <v>68</v>
      </c>
      <c r="G4165" s="26">
        <f t="shared" si="142"/>
        <v>96</v>
      </c>
      <c r="H4165" t="s">
        <v>9478</v>
      </c>
    </row>
    <row r="4166" spans="1:8" x14ac:dyDescent="0.25">
      <c r="A4166" s="21" t="s">
        <v>9500</v>
      </c>
      <c r="B4166" s="25" t="s">
        <v>9480</v>
      </c>
      <c r="C4166" s="26">
        <v>1</v>
      </c>
      <c r="D4166" s="27" t="s">
        <v>110</v>
      </c>
      <c r="E4166" s="26">
        <v>110.05</v>
      </c>
      <c r="F4166" s="28" t="s">
        <v>68</v>
      </c>
      <c r="G4166" s="26">
        <f t="shared" si="142"/>
        <v>110</v>
      </c>
      <c r="H4166" t="s">
        <v>9480</v>
      </c>
    </row>
    <row r="4167" spans="1:8" ht="285" x14ac:dyDescent="0.25">
      <c r="A4167" s="21" t="s">
        <v>9501</v>
      </c>
      <c r="B4167" s="25" t="s">
        <v>9502</v>
      </c>
      <c r="C4167" s="26"/>
      <c r="D4167" s="27"/>
      <c r="E4167" s="26"/>
      <c r="F4167" s="28"/>
      <c r="G4167" s="26"/>
      <c r="H4167" t="s">
        <v>9502</v>
      </c>
    </row>
    <row r="4168" spans="1:8" ht="30" x14ac:dyDescent="0.25">
      <c r="A4168" s="21" t="s">
        <v>9503</v>
      </c>
      <c r="B4168" s="25" t="s">
        <v>9504</v>
      </c>
      <c r="C4168" s="26">
        <v>1</v>
      </c>
      <c r="D4168" s="27" t="s">
        <v>21</v>
      </c>
      <c r="E4168" s="26">
        <v>20928.7</v>
      </c>
      <c r="F4168" s="28" t="s">
        <v>22</v>
      </c>
      <c r="G4168" s="26">
        <f>ROUND(C4168*E4168,0)</f>
        <v>20929</v>
      </c>
      <c r="H4168" t="s">
        <v>9504</v>
      </c>
    </row>
    <row r="4169" spans="1:8" ht="30" x14ac:dyDescent="0.25">
      <c r="A4169" s="21" t="s">
        <v>9505</v>
      </c>
      <c r="B4169" s="25" t="s">
        <v>9506</v>
      </c>
      <c r="C4169" s="26">
        <v>1</v>
      </c>
      <c r="D4169" s="27" t="s">
        <v>21</v>
      </c>
      <c r="E4169" s="26">
        <v>245.65</v>
      </c>
      <c r="F4169" s="28" t="s">
        <v>22</v>
      </c>
      <c r="G4169" s="26">
        <f>ROUND(C4169*E4169,0)</f>
        <v>246</v>
      </c>
      <c r="H4169" t="s">
        <v>9506</v>
      </c>
    </row>
    <row r="4170" spans="1:8" ht="30" x14ac:dyDescent="0.25">
      <c r="A4170" s="21" t="s">
        <v>9507</v>
      </c>
      <c r="B4170" s="25" t="s">
        <v>9508</v>
      </c>
      <c r="C4170" s="26">
        <v>1</v>
      </c>
      <c r="D4170" s="27" t="s">
        <v>21</v>
      </c>
      <c r="E4170" s="26">
        <v>450.4</v>
      </c>
      <c r="F4170" s="28" t="s">
        <v>22</v>
      </c>
      <c r="G4170" s="26">
        <f>ROUND(C4170*E4170,0)</f>
        <v>450</v>
      </c>
      <c r="H4170" t="s">
        <v>9508</v>
      </c>
    </row>
    <row r="4171" spans="1:8" ht="30" x14ac:dyDescent="0.25">
      <c r="A4171" s="21" t="s">
        <v>9509</v>
      </c>
      <c r="B4171" s="25" t="s">
        <v>9510</v>
      </c>
      <c r="C4171" s="26">
        <v>1</v>
      </c>
      <c r="D4171" s="27" t="s">
        <v>21</v>
      </c>
      <c r="E4171" s="26">
        <v>573.20000000000005</v>
      </c>
      <c r="F4171" s="28" t="s">
        <v>22</v>
      </c>
      <c r="G4171" s="26">
        <f>ROUND(C4171*E4171,0)</f>
        <v>573</v>
      </c>
      <c r="H4171" t="s">
        <v>9510</v>
      </c>
    </row>
    <row r="4172" spans="1:8" ht="120" x14ac:dyDescent="0.25">
      <c r="A4172" s="21" t="s">
        <v>9511</v>
      </c>
      <c r="B4172" s="25" t="s">
        <v>9512</v>
      </c>
      <c r="C4172" s="26">
        <v>1</v>
      </c>
      <c r="D4172" s="27" t="s">
        <v>725</v>
      </c>
      <c r="E4172" s="26">
        <v>192.35</v>
      </c>
      <c r="F4172" s="28" t="s">
        <v>726</v>
      </c>
      <c r="G4172" s="26">
        <f>ROUND(C4172*E4172,0)</f>
        <v>192</v>
      </c>
      <c r="H4172" t="s">
        <v>9512</v>
      </c>
    </row>
    <row r="4173" spans="1:8" ht="90" x14ac:dyDescent="0.25">
      <c r="A4173" s="21" t="s">
        <v>9513</v>
      </c>
      <c r="B4173" s="25" t="s">
        <v>9514</v>
      </c>
      <c r="C4173" s="26"/>
      <c r="D4173" s="27"/>
      <c r="E4173" s="26"/>
      <c r="F4173" s="28"/>
      <c r="G4173" s="26"/>
      <c r="H4173" t="s">
        <v>9514</v>
      </c>
    </row>
    <row r="4174" spans="1:8" ht="30" x14ac:dyDescent="0.25">
      <c r="A4174" s="21" t="s">
        <v>9515</v>
      </c>
      <c r="B4174" s="25" t="s">
        <v>9516</v>
      </c>
      <c r="C4174" s="26">
        <v>1</v>
      </c>
      <c r="D4174" s="27" t="s">
        <v>9517</v>
      </c>
      <c r="E4174" s="26">
        <v>540.85</v>
      </c>
      <c r="F4174" s="28" t="s">
        <v>9518</v>
      </c>
      <c r="G4174" s="26">
        <f>ROUND(C4174*E4174,0)</f>
        <v>541</v>
      </c>
      <c r="H4174" t="s">
        <v>9516</v>
      </c>
    </row>
    <row r="4175" spans="1:8" ht="30" x14ac:dyDescent="0.25">
      <c r="A4175" s="21" t="s">
        <v>9519</v>
      </c>
      <c r="B4175" s="25" t="s">
        <v>9520</v>
      </c>
      <c r="C4175" s="26">
        <v>1</v>
      </c>
      <c r="D4175" s="27" t="s">
        <v>9517</v>
      </c>
      <c r="E4175" s="26">
        <v>117.3</v>
      </c>
      <c r="F4175" s="28" t="s">
        <v>9518</v>
      </c>
      <c r="G4175" s="26">
        <f>ROUND(C4175*E4175,0)</f>
        <v>117</v>
      </c>
      <c r="H4175" t="s">
        <v>9520</v>
      </c>
    </row>
    <row r="4176" spans="1:8" ht="165" x14ac:dyDescent="0.25">
      <c r="A4176" s="21" t="s">
        <v>9521</v>
      </c>
      <c r="B4176" s="25" t="s">
        <v>9522</v>
      </c>
      <c r="C4176" s="26"/>
      <c r="D4176" s="27"/>
      <c r="E4176" s="26"/>
      <c r="F4176" s="28"/>
      <c r="G4176" s="26"/>
      <c r="H4176" t="s">
        <v>9522</v>
      </c>
    </row>
    <row r="4177" spans="1:8" ht="30" x14ac:dyDescent="0.25">
      <c r="A4177" s="21" t="s">
        <v>9523</v>
      </c>
      <c r="B4177" s="25" t="s">
        <v>9524</v>
      </c>
      <c r="C4177" s="26">
        <v>1</v>
      </c>
      <c r="D4177" s="27" t="s">
        <v>15</v>
      </c>
      <c r="E4177" s="26">
        <v>203.5</v>
      </c>
      <c r="F4177" s="28" t="s">
        <v>16</v>
      </c>
      <c r="G4177" s="26">
        <f>ROUND(C4177*E4177,0)</f>
        <v>204</v>
      </c>
      <c r="H4177" t="s">
        <v>9524</v>
      </c>
    </row>
    <row r="4178" spans="1:8" ht="30" x14ac:dyDescent="0.25">
      <c r="A4178" s="21" t="s">
        <v>9525</v>
      </c>
      <c r="B4178" s="25" t="s">
        <v>9526</v>
      </c>
      <c r="C4178" s="26">
        <v>1</v>
      </c>
      <c r="D4178" s="27" t="s">
        <v>15</v>
      </c>
      <c r="E4178" s="26">
        <v>345.15</v>
      </c>
      <c r="F4178" s="28" t="s">
        <v>16</v>
      </c>
      <c r="G4178" s="26">
        <f>ROUND(C4178*E4178,0)</f>
        <v>345</v>
      </c>
      <c r="H4178" t="s">
        <v>9526</v>
      </c>
    </row>
    <row r="4179" spans="1:8" ht="30" x14ac:dyDescent="0.25">
      <c r="A4179" s="21" t="s">
        <v>9527</v>
      </c>
      <c r="B4179" s="25" t="s">
        <v>9528</v>
      </c>
      <c r="C4179" s="26">
        <v>1</v>
      </c>
      <c r="D4179" s="27" t="s">
        <v>21</v>
      </c>
      <c r="E4179" s="26">
        <v>2720.3</v>
      </c>
      <c r="F4179" s="28" t="s">
        <v>22</v>
      </c>
      <c r="G4179" s="26">
        <f>ROUND(C4179*E4179,0)</f>
        <v>2720</v>
      </c>
      <c r="H4179" t="s">
        <v>9528</v>
      </c>
    </row>
    <row r="4180" spans="1:8" ht="45" x14ac:dyDescent="0.25">
      <c r="A4180" s="21" t="s">
        <v>9529</v>
      </c>
      <c r="B4180" s="25" t="s">
        <v>9530</v>
      </c>
      <c r="C4180" s="26"/>
      <c r="D4180" s="27"/>
      <c r="E4180" s="26"/>
      <c r="F4180" s="28"/>
      <c r="G4180" s="26"/>
      <c r="H4180" t="s">
        <v>9530</v>
      </c>
    </row>
    <row r="4181" spans="1:8" x14ac:dyDescent="0.25">
      <c r="A4181" s="21" t="s">
        <v>9531</v>
      </c>
      <c r="B4181" s="25" t="s">
        <v>9532</v>
      </c>
      <c r="C4181" s="26">
        <v>1</v>
      </c>
      <c r="D4181" s="27" t="s">
        <v>110</v>
      </c>
      <c r="E4181" s="26">
        <v>178.95</v>
      </c>
      <c r="F4181" s="28" t="s">
        <v>68</v>
      </c>
      <c r="G4181" s="26">
        <f>ROUND(C4181*E4181,0)</f>
        <v>179</v>
      </c>
      <c r="H4181" t="s">
        <v>9532</v>
      </c>
    </row>
    <row r="4182" spans="1:8" ht="75" x14ac:dyDescent="0.25">
      <c r="A4182" s="21" t="s">
        <v>9533</v>
      </c>
      <c r="B4182" s="25" t="s">
        <v>9534</v>
      </c>
      <c r="C4182" s="26"/>
      <c r="D4182" s="27"/>
      <c r="E4182" s="26"/>
      <c r="F4182" s="28"/>
      <c r="G4182" s="26"/>
      <c r="H4182" t="s">
        <v>9534</v>
      </c>
    </row>
    <row r="4183" spans="1:8" x14ac:dyDescent="0.25">
      <c r="A4183" s="21" t="s">
        <v>9535</v>
      </c>
      <c r="B4183" s="25" t="s">
        <v>9536</v>
      </c>
      <c r="C4183" s="26">
        <v>1</v>
      </c>
      <c r="D4183" s="27" t="s">
        <v>201</v>
      </c>
      <c r="E4183" s="26">
        <v>28.9</v>
      </c>
      <c r="F4183" s="28" t="s">
        <v>202</v>
      </c>
      <c r="G4183" s="26">
        <f>ROUND(C4183*E4183,0)</f>
        <v>29</v>
      </c>
      <c r="H4183" t="s">
        <v>9536</v>
      </c>
    </row>
    <row r="4184" spans="1:8" x14ac:dyDescent="0.25">
      <c r="A4184" s="21" t="s">
        <v>9537</v>
      </c>
      <c r="B4184" s="25" t="s">
        <v>9538</v>
      </c>
      <c r="C4184" s="26">
        <v>1</v>
      </c>
      <c r="D4184" s="27" t="s">
        <v>201</v>
      </c>
      <c r="E4184" s="26">
        <v>36</v>
      </c>
      <c r="F4184" s="28" t="s">
        <v>202</v>
      </c>
      <c r="G4184" s="26">
        <f>ROUND(C4184*E4184,0)</f>
        <v>36</v>
      </c>
      <c r="H4184" t="s">
        <v>9538</v>
      </c>
    </row>
    <row r="4185" spans="1:8" x14ac:dyDescent="0.25">
      <c r="A4185" s="21" t="s">
        <v>9539</v>
      </c>
      <c r="B4185" s="25" t="s">
        <v>9540</v>
      </c>
      <c r="C4185" s="26">
        <v>1</v>
      </c>
      <c r="D4185" s="27" t="s">
        <v>201</v>
      </c>
      <c r="E4185" s="26">
        <v>51.65</v>
      </c>
      <c r="F4185" s="28" t="s">
        <v>202</v>
      </c>
      <c r="G4185" s="26">
        <f>ROUND(C4185*E4185,0)</f>
        <v>52</v>
      </c>
      <c r="H4185" t="s">
        <v>9540</v>
      </c>
    </row>
    <row r="4186" spans="1:8" ht="120" x14ac:dyDescent="0.25">
      <c r="A4186" s="21" t="s">
        <v>9541</v>
      </c>
      <c r="B4186" s="25" t="s">
        <v>9542</v>
      </c>
      <c r="C4186" s="26"/>
      <c r="D4186" s="27"/>
      <c r="E4186" s="26"/>
      <c r="F4186" s="28"/>
      <c r="G4186" s="26"/>
      <c r="H4186" t="s">
        <v>9542</v>
      </c>
    </row>
    <row r="4187" spans="1:8" ht="45" x14ac:dyDescent="0.25">
      <c r="A4187" s="21" t="s">
        <v>9543</v>
      </c>
      <c r="B4187" s="25" t="s">
        <v>9544</v>
      </c>
      <c r="C4187" s="26">
        <v>1</v>
      </c>
      <c r="D4187" s="27" t="s">
        <v>725</v>
      </c>
      <c r="E4187" s="26">
        <v>85.05</v>
      </c>
      <c r="F4187" s="28" t="s">
        <v>726</v>
      </c>
      <c r="G4187" s="26">
        <f>ROUND(C4187*E4187,0)</f>
        <v>85</v>
      </c>
      <c r="H4187" t="s">
        <v>9544</v>
      </c>
    </row>
    <row r="4188" spans="1:8" ht="210" x14ac:dyDescent="0.25">
      <c r="A4188" s="21" t="s">
        <v>9545</v>
      </c>
      <c r="B4188" s="25" t="s">
        <v>9546</v>
      </c>
      <c r="C4188" s="26">
        <v>1</v>
      </c>
      <c r="D4188" s="27" t="s">
        <v>15</v>
      </c>
      <c r="E4188" s="26">
        <v>29.25</v>
      </c>
      <c r="F4188" s="28" t="s">
        <v>16</v>
      </c>
      <c r="G4188" s="26">
        <f>ROUND(C4188*E4188,0)</f>
        <v>29</v>
      </c>
      <c r="H4188" t="s">
        <v>9546</v>
      </c>
    </row>
    <row r="4189" spans="1:8" ht="315" x14ac:dyDescent="0.25">
      <c r="A4189" s="21" t="s">
        <v>9547</v>
      </c>
      <c r="B4189" s="25" t="s">
        <v>9548</v>
      </c>
      <c r="C4189" s="26"/>
      <c r="D4189" s="27"/>
      <c r="E4189" s="26"/>
      <c r="F4189" s="28"/>
      <c r="G4189" s="26"/>
      <c r="H4189" t="s">
        <v>9548</v>
      </c>
    </row>
    <row r="4190" spans="1:8" ht="105" x14ac:dyDescent="0.25">
      <c r="A4190" s="21"/>
      <c r="B4190" s="25" t="s">
        <v>9549</v>
      </c>
      <c r="C4190" s="26">
        <v>1</v>
      </c>
      <c r="D4190" s="27" t="s">
        <v>15</v>
      </c>
      <c r="E4190" s="26">
        <v>2293.3000000000002</v>
      </c>
      <c r="F4190" s="28" t="s">
        <v>16</v>
      </c>
      <c r="G4190" s="26">
        <f>ROUND(C4190*E4190,0)</f>
        <v>2293</v>
      </c>
    </row>
    <row r="4191" spans="1:8" ht="75" x14ac:dyDescent="0.25">
      <c r="A4191" s="21" t="s">
        <v>9550</v>
      </c>
      <c r="B4191" s="25" t="s">
        <v>9552</v>
      </c>
      <c r="C4191" s="26"/>
      <c r="D4191" s="27"/>
      <c r="E4191" s="26"/>
      <c r="F4191" s="28"/>
      <c r="G4191" s="26"/>
      <c r="H4191" t="s">
        <v>9551</v>
      </c>
    </row>
    <row r="4192" spans="1:8" ht="315" x14ac:dyDescent="0.25">
      <c r="A4192" s="21"/>
      <c r="B4192" s="25" t="s">
        <v>9553</v>
      </c>
      <c r="C4192" s="26"/>
      <c r="D4192" s="27"/>
      <c r="E4192" s="26"/>
      <c r="F4192" s="28"/>
      <c r="G4192" s="26"/>
    </row>
    <row r="4193" spans="1:8" ht="105" x14ac:dyDescent="0.25">
      <c r="A4193" s="21"/>
      <c r="B4193" s="25" t="s">
        <v>9554</v>
      </c>
      <c r="C4193" s="26"/>
      <c r="D4193" s="27"/>
      <c r="E4193" s="26"/>
      <c r="F4193" s="28"/>
      <c r="G4193" s="26"/>
    </row>
    <row r="4194" spans="1:8" ht="180" x14ac:dyDescent="0.25">
      <c r="A4194" s="21"/>
      <c r="B4194" s="25" t="s">
        <v>9555</v>
      </c>
      <c r="C4194" s="26">
        <v>1</v>
      </c>
      <c r="D4194" s="27" t="s">
        <v>15</v>
      </c>
      <c r="E4194" s="26">
        <v>762.75</v>
      </c>
      <c r="F4194" s="28" t="s">
        <v>16</v>
      </c>
      <c r="G4194" s="26">
        <f>ROUND(C4194*E4194,0)</f>
        <v>763</v>
      </c>
    </row>
    <row r="4195" spans="1:8" ht="165" x14ac:dyDescent="0.25">
      <c r="A4195" s="21" t="s">
        <v>9556</v>
      </c>
      <c r="B4195" s="25" t="s">
        <v>9557</v>
      </c>
      <c r="C4195" s="26"/>
      <c r="D4195" s="27"/>
      <c r="E4195" s="26"/>
      <c r="F4195" s="28"/>
      <c r="G4195" s="26"/>
      <c r="H4195" t="s">
        <v>9557</v>
      </c>
    </row>
    <row r="4196" spans="1:8" ht="60" x14ac:dyDescent="0.25">
      <c r="A4196" s="21" t="s">
        <v>9558</v>
      </c>
      <c r="B4196" s="25" t="s">
        <v>9559</v>
      </c>
      <c r="C4196" s="26">
        <v>1</v>
      </c>
      <c r="D4196" s="27" t="s">
        <v>15</v>
      </c>
      <c r="E4196" s="26">
        <v>271.45</v>
      </c>
      <c r="F4196" s="28" t="s">
        <v>16</v>
      </c>
      <c r="G4196" s="26">
        <f t="shared" ref="G4196:G4204" si="143">ROUND(C4196*E4196,0)</f>
        <v>271</v>
      </c>
      <c r="H4196" t="s">
        <v>9559</v>
      </c>
    </row>
    <row r="4197" spans="1:8" ht="60" x14ac:dyDescent="0.25">
      <c r="A4197" s="21" t="s">
        <v>9560</v>
      </c>
      <c r="B4197" s="25" t="s">
        <v>9561</v>
      </c>
      <c r="C4197" s="26">
        <v>1</v>
      </c>
      <c r="D4197" s="27" t="s">
        <v>15</v>
      </c>
      <c r="E4197" s="26">
        <v>310.3</v>
      </c>
      <c r="F4197" s="28" t="s">
        <v>16</v>
      </c>
      <c r="G4197" s="26">
        <f t="shared" si="143"/>
        <v>310</v>
      </c>
      <c r="H4197" t="s">
        <v>9561</v>
      </c>
    </row>
    <row r="4198" spans="1:8" ht="60" x14ac:dyDescent="0.25">
      <c r="A4198" s="21" t="s">
        <v>9562</v>
      </c>
      <c r="B4198" s="25" t="s">
        <v>9563</v>
      </c>
      <c r="C4198" s="26">
        <v>1</v>
      </c>
      <c r="D4198" s="27" t="s">
        <v>15</v>
      </c>
      <c r="E4198" s="26">
        <v>385</v>
      </c>
      <c r="F4198" s="28" t="s">
        <v>16</v>
      </c>
      <c r="G4198" s="26">
        <f t="shared" si="143"/>
        <v>385</v>
      </c>
      <c r="H4198" t="s">
        <v>9563</v>
      </c>
    </row>
    <row r="4199" spans="1:8" ht="60" x14ac:dyDescent="0.25">
      <c r="A4199" s="21" t="s">
        <v>9564</v>
      </c>
      <c r="B4199" s="25" t="s">
        <v>9565</v>
      </c>
      <c r="C4199" s="26">
        <v>1</v>
      </c>
      <c r="D4199" s="27" t="s">
        <v>15</v>
      </c>
      <c r="E4199" s="26">
        <v>440.25</v>
      </c>
      <c r="F4199" s="28" t="s">
        <v>16</v>
      </c>
      <c r="G4199" s="26">
        <f t="shared" si="143"/>
        <v>440</v>
      </c>
      <c r="H4199" t="s">
        <v>9565</v>
      </c>
    </row>
    <row r="4200" spans="1:8" ht="60" x14ac:dyDescent="0.25">
      <c r="A4200" s="21" t="s">
        <v>9566</v>
      </c>
      <c r="B4200" s="25" t="s">
        <v>9567</v>
      </c>
      <c r="C4200" s="26">
        <v>1</v>
      </c>
      <c r="D4200" s="27" t="s">
        <v>15</v>
      </c>
      <c r="E4200" s="26">
        <v>470.1</v>
      </c>
      <c r="F4200" s="28" t="s">
        <v>16</v>
      </c>
      <c r="G4200" s="26">
        <f t="shared" si="143"/>
        <v>470</v>
      </c>
      <c r="H4200" t="s">
        <v>9567</v>
      </c>
    </row>
    <row r="4201" spans="1:8" ht="60" x14ac:dyDescent="0.25">
      <c r="A4201" s="21" t="s">
        <v>9568</v>
      </c>
      <c r="B4201" s="25" t="s">
        <v>9569</v>
      </c>
      <c r="C4201" s="26">
        <v>1</v>
      </c>
      <c r="D4201" s="27" t="s">
        <v>15</v>
      </c>
      <c r="E4201" s="26">
        <v>580.65</v>
      </c>
      <c r="F4201" s="28" t="s">
        <v>16</v>
      </c>
      <c r="G4201" s="26">
        <f t="shared" si="143"/>
        <v>581</v>
      </c>
      <c r="H4201" t="s">
        <v>9569</v>
      </c>
    </row>
    <row r="4202" spans="1:8" ht="60" x14ac:dyDescent="0.25">
      <c r="A4202" s="21" t="s">
        <v>9570</v>
      </c>
      <c r="B4202" s="25" t="s">
        <v>9571</v>
      </c>
      <c r="C4202" s="26">
        <v>1</v>
      </c>
      <c r="D4202" s="27" t="s">
        <v>15</v>
      </c>
      <c r="E4202" s="26">
        <v>677.75</v>
      </c>
      <c r="F4202" s="28" t="s">
        <v>16</v>
      </c>
      <c r="G4202" s="26">
        <f t="shared" si="143"/>
        <v>678</v>
      </c>
      <c r="H4202" t="s">
        <v>9571</v>
      </c>
    </row>
    <row r="4203" spans="1:8" ht="60" x14ac:dyDescent="0.25">
      <c r="A4203" s="21" t="s">
        <v>9572</v>
      </c>
      <c r="B4203" s="25" t="s">
        <v>9573</v>
      </c>
      <c r="C4203" s="26">
        <v>1</v>
      </c>
      <c r="D4203" s="27" t="s">
        <v>15</v>
      </c>
      <c r="E4203" s="26">
        <v>819.65</v>
      </c>
      <c r="F4203" s="28" t="s">
        <v>16</v>
      </c>
      <c r="G4203" s="26">
        <f t="shared" si="143"/>
        <v>820</v>
      </c>
      <c r="H4203" t="s">
        <v>9573</v>
      </c>
    </row>
    <row r="4204" spans="1:8" ht="60" x14ac:dyDescent="0.25">
      <c r="A4204" s="21" t="s">
        <v>9574</v>
      </c>
      <c r="B4204" s="25" t="s">
        <v>9575</v>
      </c>
      <c r="C4204" s="26">
        <v>1</v>
      </c>
      <c r="D4204" s="27" t="s">
        <v>15</v>
      </c>
      <c r="E4204" s="26">
        <v>942.15</v>
      </c>
      <c r="F4204" s="28" t="s">
        <v>16</v>
      </c>
      <c r="G4204" s="26">
        <f t="shared" si="143"/>
        <v>942</v>
      </c>
      <c r="H4204" t="s">
        <v>9575</v>
      </c>
    </row>
    <row r="4205" spans="1:8" ht="195" x14ac:dyDescent="0.25">
      <c r="A4205" s="21" t="s">
        <v>9576</v>
      </c>
      <c r="B4205" s="25" t="s">
        <v>9577</v>
      </c>
      <c r="C4205" s="26"/>
      <c r="D4205" s="27"/>
      <c r="E4205" s="26"/>
      <c r="F4205" s="28"/>
      <c r="G4205" s="26"/>
      <c r="H4205" t="s">
        <v>9577</v>
      </c>
    </row>
    <row r="4206" spans="1:8" ht="45" x14ac:dyDescent="0.25">
      <c r="A4206" s="21" t="s">
        <v>9578</v>
      </c>
      <c r="B4206" s="25" t="s">
        <v>9579</v>
      </c>
      <c r="C4206" s="26">
        <v>1</v>
      </c>
      <c r="D4206" s="27" t="s">
        <v>15</v>
      </c>
      <c r="E4206" s="26">
        <v>229.65</v>
      </c>
      <c r="F4206" s="28" t="s">
        <v>16</v>
      </c>
      <c r="G4206" s="26">
        <f>ROUND(C4206*E4206,0)</f>
        <v>230</v>
      </c>
      <c r="H4206" t="s">
        <v>9579</v>
      </c>
    </row>
    <row r="4207" spans="1:8" ht="45" x14ac:dyDescent="0.25">
      <c r="A4207" s="21" t="s">
        <v>9580</v>
      </c>
      <c r="B4207" s="25" t="s">
        <v>9581</v>
      </c>
      <c r="C4207" s="26">
        <v>1</v>
      </c>
      <c r="D4207" s="27" t="s">
        <v>15</v>
      </c>
      <c r="E4207" s="26">
        <v>329.7</v>
      </c>
      <c r="F4207" s="28" t="s">
        <v>16</v>
      </c>
      <c r="G4207" s="26">
        <f>ROUND(C4207*E4207,0)</f>
        <v>330</v>
      </c>
      <c r="H4207" t="s">
        <v>9581</v>
      </c>
    </row>
    <row r="4208" spans="1:8" ht="45" x14ac:dyDescent="0.25">
      <c r="A4208" s="21" t="s">
        <v>9582</v>
      </c>
      <c r="B4208" s="25" t="s">
        <v>9583</v>
      </c>
      <c r="C4208" s="26">
        <v>1</v>
      </c>
      <c r="D4208" s="27" t="s">
        <v>15</v>
      </c>
      <c r="E4208" s="26">
        <v>416.35</v>
      </c>
      <c r="F4208" s="28" t="s">
        <v>16</v>
      </c>
      <c r="G4208" s="26">
        <f>ROUND(C4208*E4208,0)</f>
        <v>416</v>
      </c>
      <c r="H4208" t="s">
        <v>9583</v>
      </c>
    </row>
    <row r="4209" spans="1:8" ht="315" x14ac:dyDescent="0.25">
      <c r="A4209" s="21" t="s">
        <v>9584</v>
      </c>
      <c r="B4209" s="25" t="s">
        <v>9586</v>
      </c>
      <c r="C4209" s="26"/>
      <c r="D4209" s="27"/>
      <c r="E4209" s="26"/>
      <c r="F4209" s="28"/>
      <c r="G4209" s="26"/>
      <c r="H4209" t="s">
        <v>9585</v>
      </c>
    </row>
    <row r="4210" spans="1:8" ht="105" x14ac:dyDescent="0.25">
      <c r="A4210" s="21"/>
      <c r="B4210" s="25" t="s">
        <v>9587</v>
      </c>
      <c r="C4210" s="26"/>
      <c r="D4210" s="27"/>
      <c r="E4210" s="26"/>
      <c r="F4210" s="28"/>
      <c r="G4210" s="26"/>
    </row>
    <row r="4211" spans="1:8" x14ac:dyDescent="0.25">
      <c r="A4211" s="21" t="s">
        <v>9588</v>
      </c>
      <c r="B4211" s="25" t="s">
        <v>9589</v>
      </c>
      <c r="C4211" s="26">
        <v>1</v>
      </c>
      <c r="D4211" s="27" t="s">
        <v>110</v>
      </c>
      <c r="E4211" s="26">
        <v>705.85</v>
      </c>
      <c r="F4211" s="28" t="s">
        <v>68</v>
      </c>
      <c r="G4211" s="26">
        <f t="shared" ref="G4211:G4217" si="144">ROUND(C4211*E4211,0)</f>
        <v>706</v>
      </c>
      <c r="H4211" t="s">
        <v>9589</v>
      </c>
    </row>
    <row r="4212" spans="1:8" x14ac:dyDescent="0.25">
      <c r="A4212" s="21" t="s">
        <v>9590</v>
      </c>
      <c r="B4212" s="25" t="s">
        <v>9591</v>
      </c>
      <c r="C4212" s="26">
        <v>1</v>
      </c>
      <c r="D4212" s="27" t="s">
        <v>110</v>
      </c>
      <c r="E4212" s="26">
        <v>926.35</v>
      </c>
      <c r="F4212" s="28" t="s">
        <v>68</v>
      </c>
      <c r="G4212" s="26">
        <f t="shared" si="144"/>
        <v>926</v>
      </c>
      <c r="H4212" t="s">
        <v>9591</v>
      </c>
    </row>
    <row r="4213" spans="1:8" x14ac:dyDescent="0.25">
      <c r="A4213" s="21" t="s">
        <v>9592</v>
      </c>
      <c r="B4213" s="25" t="s">
        <v>9593</v>
      </c>
      <c r="C4213" s="26">
        <v>1</v>
      </c>
      <c r="D4213" s="27" t="s">
        <v>110</v>
      </c>
      <c r="E4213" s="26">
        <v>947.7</v>
      </c>
      <c r="F4213" s="28" t="s">
        <v>68</v>
      </c>
      <c r="G4213" s="26">
        <f t="shared" si="144"/>
        <v>948</v>
      </c>
      <c r="H4213" t="s">
        <v>9593</v>
      </c>
    </row>
    <row r="4214" spans="1:8" x14ac:dyDescent="0.25">
      <c r="A4214" s="21" t="s">
        <v>9594</v>
      </c>
      <c r="B4214" s="25" t="s">
        <v>9595</v>
      </c>
      <c r="C4214" s="26">
        <v>1</v>
      </c>
      <c r="D4214" s="27" t="s">
        <v>110</v>
      </c>
      <c r="E4214" s="26">
        <v>1075.7</v>
      </c>
      <c r="F4214" s="28" t="s">
        <v>68</v>
      </c>
      <c r="G4214" s="26">
        <f t="shared" si="144"/>
        <v>1076</v>
      </c>
      <c r="H4214" t="s">
        <v>9595</v>
      </c>
    </row>
    <row r="4215" spans="1:8" x14ac:dyDescent="0.25">
      <c r="A4215" s="21" t="s">
        <v>9596</v>
      </c>
      <c r="B4215" s="25" t="s">
        <v>9597</v>
      </c>
      <c r="C4215" s="26">
        <v>1</v>
      </c>
      <c r="D4215" s="27" t="s">
        <v>110</v>
      </c>
      <c r="E4215" s="26">
        <v>1111.3</v>
      </c>
      <c r="F4215" s="28" t="s">
        <v>68</v>
      </c>
      <c r="G4215" s="26">
        <f t="shared" si="144"/>
        <v>1111</v>
      </c>
      <c r="H4215" t="s">
        <v>9597</v>
      </c>
    </row>
    <row r="4216" spans="1:8" x14ac:dyDescent="0.25">
      <c r="A4216" s="21" t="s">
        <v>9598</v>
      </c>
      <c r="B4216" s="25" t="s">
        <v>9599</v>
      </c>
      <c r="C4216" s="26">
        <v>1</v>
      </c>
      <c r="D4216" s="27" t="s">
        <v>110</v>
      </c>
      <c r="E4216" s="26">
        <v>1381.6</v>
      </c>
      <c r="F4216" s="28" t="s">
        <v>68</v>
      </c>
      <c r="G4216" s="26">
        <f t="shared" si="144"/>
        <v>1382</v>
      </c>
      <c r="H4216" t="s">
        <v>9599</v>
      </c>
    </row>
    <row r="4217" spans="1:8" x14ac:dyDescent="0.25">
      <c r="A4217" s="21" t="s">
        <v>9600</v>
      </c>
      <c r="B4217" s="25" t="s">
        <v>9601</v>
      </c>
      <c r="C4217" s="26">
        <v>1</v>
      </c>
      <c r="D4217" s="27" t="s">
        <v>110</v>
      </c>
      <c r="E4217" s="26">
        <v>1637.65</v>
      </c>
      <c r="F4217" s="28" t="s">
        <v>68</v>
      </c>
      <c r="G4217" s="26">
        <f t="shared" si="144"/>
        <v>1638</v>
      </c>
      <c r="H4217" t="s">
        <v>9601</v>
      </c>
    </row>
    <row r="4218" spans="1:8" ht="270" x14ac:dyDescent="0.25">
      <c r="A4218" s="21" t="s">
        <v>9602</v>
      </c>
      <c r="B4218" s="25" t="s">
        <v>9604</v>
      </c>
      <c r="C4218" s="26"/>
      <c r="D4218" s="27"/>
      <c r="E4218" s="26"/>
      <c r="F4218" s="28"/>
      <c r="G4218" s="26"/>
      <c r="H4218" t="s">
        <v>9603</v>
      </c>
    </row>
    <row r="4219" spans="1:8" ht="30" x14ac:dyDescent="0.25">
      <c r="A4219" s="21"/>
      <c r="B4219" s="25" t="s">
        <v>9605</v>
      </c>
      <c r="C4219" s="26"/>
      <c r="D4219" s="27"/>
      <c r="E4219" s="26"/>
      <c r="F4219" s="28"/>
      <c r="G4219" s="26"/>
    </row>
    <row r="4220" spans="1:8" ht="30" x14ac:dyDescent="0.25">
      <c r="A4220" s="21" t="s">
        <v>9606</v>
      </c>
      <c r="B4220" s="25" t="s">
        <v>1414</v>
      </c>
      <c r="C4220" s="26">
        <v>1</v>
      </c>
      <c r="D4220" s="27" t="s">
        <v>15</v>
      </c>
      <c r="E4220" s="26">
        <v>4346.7</v>
      </c>
      <c r="F4220" s="28" t="s">
        <v>16</v>
      </c>
      <c r="G4220" s="26">
        <f>ROUND(C4220*E4220,0)</f>
        <v>4347</v>
      </c>
      <c r="H4220" t="s">
        <v>1414</v>
      </c>
    </row>
    <row r="4221" spans="1:8" ht="30" x14ac:dyDescent="0.25">
      <c r="A4221" s="21" t="s">
        <v>9607</v>
      </c>
      <c r="B4221" s="25" t="s">
        <v>1559</v>
      </c>
      <c r="C4221" s="26">
        <v>1</v>
      </c>
      <c r="D4221" s="27" t="s">
        <v>15</v>
      </c>
      <c r="E4221" s="26">
        <v>5015.3500000000004</v>
      </c>
      <c r="F4221" s="28" t="s">
        <v>16</v>
      </c>
      <c r="G4221" s="26">
        <f>ROUND(C4221*E4221,0)</f>
        <v>5015</v>
      </c>
      <c r="H4221" t="s">
        <v>1559</v>
      </c>
    </row>
    <row r="4222" spans="1:8" ht="345" x14ac:dyDescent="0.25">
      <c r="A4222" s="21" t="s">
        <v>9608</v>
      </c>
      <c r="B4222" s="25" t="s">
        <v>9609</v>
      </c>
      <c r="C4222" s="26"/>
      <c r="D4222" s="27"/>
      <c r="E4222" s="26"/>
      <c r="F4222" s="28"/>
      <c r="G4222" s="26"/>
      <c r="H4222" t="s">
        <v>9609</v>
      </c>
    </row>
    <row r="4223" spans="1:8" ht="30" x14ac:dyDescent="0.25">
      <c r="A4223" s="21" t="s">
        <v>9610</v>
      </c>
      <c r="B4223" s="25" t="s">
        <v>1414</v>
      </c>
      <c r="C4223" s="26">
        <v>1</v>
      </c>
      <c r="D4223" s="27" t="s">
        <v>15</v>
      </c>
      <c r="E4223" s="26">
        <v>4764.2</v>
      </c>
      <c r="F4223" s="28" t="s">
        <v>16</v>
      </c>
      <c r="G4223" s="26">
        <f>ROUND(C4223*E4223,0)</f>
        <v>4764</v>
      </c>
      <c r="H4223" t="s">
        <v>1414</v>
      </c>
    </row>
    <row r="4224" spans="1:8" ht="30" x14ac:dyDescent="0.25">
      <c r="A4224" s="21" t="s">
        <v>9611</v>
      </c>
      <c r="B4224" s="25" t="s">
        <v>1559</v>
      </c>
      <c r="C4224" s="26">
        <v>1</v>
      </c>
      <c r="D4224" s="27" t="s">
        <v>15</v>
      </c>
      <c r="E4224" s="26">
        <v>5432.85</v>
      </c>
      <c r="F4224" s="28" t="s">
        <v>16</v>
      </c>
      <c r="G4224" s="26">
        <f>ROUND(C4224*E4224,0)</f>
        <v>5433</v>
      </c>
      <c r="H4224" t="s">
        <v>1559</v>
      </c>
    </row>
    <row r="4225" spans="1:8" ht="345" x14ac:dyDescent="0.25">
      <c r="A4225" s="21" t="s">
        <v>9612</v>
      </c>
      <c r="B4225" s="25" t="s">
        <v>9614</v>
      </c>
      <c r="C4225" s="26"/>
      <c r="D4225" s="27"/>
      <c r="E4225" s="26"/>
      <c r="F4225" s="28"/>
      <c r="G4225" s="26"/>
      <c r="H4225" t="s">
        <v>9613</v>
      </c>
    </row>
    <row r="4226" spans="1:8" ht="45" x14ac:dyDescent="0.25">
      <c r="A4226" s="21"/>
      <c r="B4226" s="25" t="s">
        <v>9615</v>
      </c>
      <c r="C4226" s="26"/>
      <c r="D4226" s="27"/>
      <c r="E4226" s="26"/>
      <c r="F4226" s="28"/>
      <c r="G4226" s="26"/>
    </row>
    <row r="4227" spans="1:8" ht="30" x14ac:dyDescent="0.25">
      <c r="A4227" s="21" t="s">
        <v>9616</v>
      </c>
      <c r="B4227" s="25" t="s">
        <v>1499</v>
      </c>
      <c r="C4227" s="26">
        <v>1</v>
      </c>
      <c r="D4227" s="27" t="s">
        <v>15</v>
      </c>
      <c r="E4227" s="26">
        <v>2992.9</v>
      </c>
      <c r="F4227" s="28" t="s">
        <v>16</v>
      </c>
      <c r="G4227" s="26">
        <f>ROUND(C4227*E4227,0)</f>
        <v>2993</v>
      </c>
      <c r="H4227" t="s">
        <v>1499</v>
      </c>
    </row>
    <row r="4228" spans="1:8" ht="30" x14ac:dyDescent="0.25">
      <c r="A4228" s="21" t="s">
        <v>9617</v>
      </c>
      <c r="B4228" s="25" t="s">
        <v>703</v>
      </c>
      <c r="C4228" s="26">
        <v>1</v>
      </c>
      <c r="D4228" s="27" t="s">
        <v>15</v>
      </c>
      <c r="E4228" s="26">
        <v>3889.15</v>
      </c>
      <c r="F4228" s="28" t="s">
        <v>16</v>
      </c>
      <c r="G4228" s="26">
        <f>ROUND(C4228*E4228,0)</f>
        <v>3889</v>
      </c>
      <c r="H4228" t="s">
        <v>703</v>
      </c>
    </row>
    <row r="4229" spans="1:8" ht="285" x14ac:dyDescent="0.25">
      <c r="A4229" s="21" t="s">
        <v>9618</v>
      </c>
      <c r="B4229" s="25" t="s">
        <v>9619</v>
      </c>
      <c r="C4229" s="26"/>
      <c r="D4229" s="27"/>
      <c r="E4229" s="26"/>
      <c r="F4229" s="28"/>
      <c r="G4229" s="26"/>
      <c r="H4229" t="s">
        <v>9619</v>
      </c>
    </row>
    <row r="4230" spans="1:8" ht="30" x14ac:dyDescent="0.25">
      <c r="A4230" s="21" t="s">
        <v>9620</v>
      </c>
      <c r="B4230" s="25" t="s">
        <v>9621</v>
      </c>
      <c r="C4230" s="26">
        <v>1</v>
      </c>
      <c r="D4230" s="27" t="s">
        <v>15</v>
      </c>
      <c r="E4230" s="26">
        <v>1099.3499999999999</v>
      </c>
      <c r="F4230" s="28" t="s">
        <v>16</v>
      </c>
      <c r="G4230" s="26">
        <f>ROUND(C4230*E4230,0)</f>
        <v>1099</v>
      </c>
      <c r="H4230" t="s">
        <v>9621</v>
      </c>
    </row>
    <row r="4231" spans="1:8" ht="30" x14ac:dyDescent="0.25">
      <c r="A4231" s="21" t="s">
        <v>9622</v>
      </c>
      <c r="B4231" s="25" t="s">
        <v>1493</v>
      </c>
      <c r="C4231" s="26">
        <v>1</v>
      </c>
      <c r="D4231" s="27" t="s">
        <v>15</v>
      </c>
      <c r="E4231" s="26">
        <v>1711.1</v>
      </c>
      <c r="F4231" s="28" t="s">
        <v>16</v>
      </c>
      <c r="G4231" s="26">
        <f>ROUND(C4231*E4231,0)</f>
        <v>1711</v>
      </c>
      <c r="H4231" t="s">
        <v>1493</v>
      </c>
    </row>
    <row r="4232" spans="1:8" ht="360" x14ac:dyDescent="0.25">
      <c r="A4232" s="21" t="s">
        <v>9623</v>
      </c>
      <c r="B4232" s="25" t="s">
        <v>9624</v>
      </c>
      <c r="C4232" s="26"/>
      <c r="D4232" s="27"/>
      <c r="E4232" s="26"/>
      <c r="F4232" s="28"/>
      <c r="G4232" s="26"/>
      <c r="H4232" t="s">
        <v>9624</v>
      </c>
    </row>
    <row r="4233" spans="1:8" ht="45" x14ac:dyDescent="0.25">
      <c r="A4233" s="21"/>
      <c r="B4233" s="25" t="s">
        <v>9625</v>
      </c>
      <c r="C4233" s="26">
        <v>1</v>
      </c>
      <c r="D4233" s="27" t="s">
        <v>15</v>
      </c>
      <c r="E4233" s="26">
        <v>3437.15</v>
      </c>
      <c r="F4233" s="28" t="s">
        <v>16</v>
      </c>
      <c r="G4233" s="26">
        <f>ROUND(C4233*E4233,0)</f>
        <v>3437</v>
      </c>
    </row>
    <row r="4234" spans="1:8" ht="345" x14ac:dyDescent="0.25">
      <c r="A4234" s="21" t="s">
        <v>9626</v>
      </c>
      <c r="B4234" s="25" t="s">
        <v>9627</v>
      </c>
      <c r="C4234" s="26"/>
      <c r="D4234" s="27"/>
      <c r="E4234" s="26"/>
      <c r="F4234" s="28"/>
      <c r="G4234" s="26"/>
      <c r="H4234" t="s">
        <v>9627</v>
      </c>
    </row>
    <row r="4235" spans="1:8" ht="330" x14ac:dyDescent="0.25">
      <c r="A4235" s="21"/>
      <c r="B4235" s="25" t="s">
        <v>9628</v>
      </c>
      <c r="C4235" s="26"/>
      <c r="D4235" s="27"/>
      <c r="E4235" s="26"/>
      <c r="F4235" s="28"/>
      <c r="G4235" s="26"/>
    </row>
    <row r="4236" spans="1:8" ht="270" x14ac:dyDescent="0.25">
      <c r="A4236" s="21"/>
      <c r="B4236" s="25" t="s">
        <v>9629</v>
      </c>
      <c r="C4236" s="26"/>
      <c r="D4236" s="27"/>
      <c r="E4236" s="26"/>
      <c r="F4236" s="28"/>
      <c r="G4236" s="26"/>
    </row>
    <row r="4237" spans="1:8" ht="30" x14ac:dyDescent="0.25">
      <c r="A4237" s="21" t="s">
        <v>9630</v>
      </c>
      <c r="B4237" s="25" t="s">
        <v>9631</v>
      </c>
      <c r="C4237" s="26">
        <v>1</v>
      </c>
      <c r="D4237" s="27" t="s">
        <v>15</v>
      </c>
      <c r="E4237" s="26">
        <v>6320</v>
      </c>
      <c r="F4237" s="28" t="s">
        <v>16</v>
      </c>
      <c r="G4237" s="26">
        <f>ROUND(C4237*E4237,0)</f>
        <v>6320</v>
      </c>
      <c r="H4237" t="s">
        <v>9631</v>
      </c>
    </row>
    <row r="4238" spans="1:8" ht="30" x14ac:dyDescent="0.25">
      <c r="A4238" s="21" t="s">
        <v>9632</v>
      </c>
      <c r="B4238" s="25" t="s">
        <v>9633</v>
      </c>
      <c r="C4238" s="26">
        <v>1</v>
      </c>
      <c r="D4238" s="27" t="s">
        <v>15</v>
      </c>
      <c r="E4238" s="26">
        <v>5991.4</v>
      </c>
      <c r="F4238" s="28" t="s">
        <v>16</v>
      </c>
      <c r="G4238" s="26">
        <f>ROUND(C4238*E4238,0)</f>
        <v>5991</v>
      </c>
      <c r="H4238" t="s">
        <v>9633</v>
      </c>
    </row>
    <row r="4239" spans="1:8" ht="345" x14ac:dyDescent="0.25">
      <c r="A4239" s="21" t="s">
        <v>9634</v>
      </c>
      <c r="B4239" s="25" t="s">
        <v>9635</v>
      </c>
      <c r="C4239" s="26"/>
      <c r="D4239" s="27"/>
      <c r="E4239" s="26"/>
      <c r="F4239" s="28"/>
      <c r="G4239" s="26"/>
      <c r="H4239" t="s">
        <v>9635</v>
      </c>
    </row>
    <row r="4240" spans="1:8" ht="405" x14ac:dyDescent="0.25">
      <c r="A4240" s="21"/>
      <c r="B4240" s="25" t="s">
        <v>9636</v>
      </c>
      <c r="C4240" s="26"/>
      <c r="D4240" s="27"/>
      <c r="E4240" s="26"/>
      <c r="F4240" s="28"/>
      <c r="G4240" s="26"/>
    </row>
    <row r="4241" spans="1:8" ht="150" x14ac:dyDescent="0.25">
      <c r="A4241" s="21"/>
      <c r="B4241" s="25" t="s">
        <v>9637</v>
      </c>
      <c r="C4241" s="26"/>
      <c r="D4241" s="27"/>
      <c r="E4241" s="26"/>
      <c r="F4241" s="28"/>
      <c r="G4241" s="26"/>
    </row>
    <row r="4242" spans="1:8" ht="30" x14ac:dyDescent="0.25">
      <c r="A4242" s="21" t="s">
        <v>9638</v>
      </c>
      <c r="B4242" s="25" t="s">
        <v>9639</v>
      </c>
      <c r="C4242" s="26">
        <v>1</v>
      </c>
      <c r="D4242" s="27" t="s">
        <v>15</v>
      </c>
      <c r="E4242" s="26">
        <v>6230.9</v>
      </c>
      <c r="F4242" s="28" t="s">
        <v>16</v>
      </c>
      <c r="G4242" s="26">
        <f>ROUND(C4242*E4242,0)</f>
        <v>6231</v>
      </c>
      <c r="H4242" t="s">
        <v>9639</v>
      </c>
    </row>
    <row r="4243" spans="1:8" ht="30" x14ac:dyDescent="0.25">
      <c r="A4243" s="21" t="s">
        <v>9640</v>
      </c>
      <c r="B4243" s="25" t="s">
        <v>9641</v>
      </c>
      <c r="C4243" s="26">
        <v>1</v>
      </c>
      <c r="D4243" s="27" t="s">
        <v>15</v>
      </c>
      <c r="E4243" s="26">
        <v>5842.5</v>
      </c>
      <c r="F4243" s="28" t="s">
        <v>16</v>
      </c>
      <c r="G4243" s="26">
        <f>ROUND(C4243*E4243,0)</f>
        <v>5843</v>
      </c>
      <c r="H4243" t="s">
        <v>9641</v>
      </c>
    </row>
    <row r="4244" spans="1:8" ht="330" x14ac:dyDescent="0.25">
      <c r="A4244" s="21" t="s">
        <v>9642</v>
      </c>
      <c r="B4244" s="25" t="s">
        <v>9643</v>
      </c>
      <c r="C4244" s="26">
        <v>1</v>
      </c>
      <c r="D4244" s="27" t="s">
        <v>15</v>
      </c>
      <c r="E4244" s="26">
        <v>269.39999999999998</v>
      </c>
      <c r="F4244" s="28" t="s">
        <v>16</v>
      </c>
      <c r="G4244" s="26">
        <f>ROUND(C4244*E4244,0)</f>
        <v>269</v>
      </c>
      <c r="H4244" t="s">
        <v>9643</v>
      </c>
    </row>
    <row r="4245" spans="1:8" ht="240" x14ac:dyDescent="0.25">
      <c r="A4245" s="21" t="s">
        <v>9644</v>
      </c>
      <c r="B4245" s="25" t="s">
        <v>9645</v>
      </c>
      <c r="C4245" s="26"/>
      <c r="D4245" s="27"/>
      <c r="E4245" s="26"/>
      <c r="F4245" s="28"/>
      <c r="G4245" s="26"/>
      <c r="H4245" t="s">
        <v>105</v>
      </c>
    </row>
    <row r="4246" spans="1:8" ht="30" x14ac:dyDescent="0.25">
      <c r="A4246" s="21"/>
      <c r="B4246" s="25" t="s">
        <v>9646</v>
      </c>
      <c r="C4246" s="26"/>
      <c r="D4246" s="27"/>
      <c r="E4246" s="26"/>
      <c r="F4246" s="28"/>
      <c r="G4246" s="26"/>
    </row>
    <row r="4247" spans="1:8" ht="60" x14ac:dyDescent="0.25">
      <c r="A4247" s="21" t="s">
        <v>9647</v>
      </c>
      <c r="B4247" s="25" t="s">
        <v>9648</v>
      </c>
      <c r="C4247" s="26">
        <v>1</v>
      </c>
      <c r="D4247" s="27" t="s">
        <v>15</v>
      </c>
      <c r="E4247" s="26">
        <v>3189.1</v>
      </c>
      <c r="F4247" s="28" t="s">
        <v>16</v>
      </c>
      <c r="G4247" s="26">
        <f>ROUND(C4247*E4247,0)</f>
        <v>3189</v>
      </c>
      <c r="H4247" t="s">
        <v>105</v>
      </c>
    </row>
    <row r="4248" spans="1:8" ht="45" x14ac:dyDescent="0.25">
      <c r="A4248" s="21" t="s">
        <v>9649</v>
      </c>
      <c r="B4248" s="25" t="s">
        <v>9650</v>
      </c>
      <c r="C4248" s="26">
        <v>1</v>
      </c>
      <c r="D4248" s="27" t="s">
        <v>15</v>
      </c>
      <c r="E4248" s="26">
        <v>1713.55</v>
      </c>
      <c r="F4248" s="28" t="s">
        <v>16</v>
      </c>
      <c r="G4248" s="26">
        <f>ROUND(C4248*E4248,0)</f>
        <v>1714</v>
      </c>
      <c r="H4248" t="s">
        <v>105</v>
      </c>
    </row>
    <row r="4249" spans="1:8" ht="150" x14ac:dyDescent="0.25">
      <c r="A4249" s="21" t="s">
        <v>9651</v>
      </c>
      <c r="B4249" s="25" t="s">
        <v>9652</v>
      </c>
      <c r="C4249" s="26"/>
      <c r="D4249" s="27"/>
      <c r="E4249" s="26"/>
      <c r="F4249" s="28"/>
      <c r="G4249" s="26"/>
      <c r="H4249" t="s">
        <v>9652</v>
      </c>
    </row>
    <row r="4250" spans="1:8" ht="45" x14ac:dyDescent="0.25">
      <c r="A4250" s="21" t="s">
        <v>9653</v>
      </c>
      <c r="B4250" s="25" t="s">
        <v>9654</v>
      </c>
      <c r="C4250" s="26">
        <v>1</v>
      </c>
      <c r="D4250" s="27" t="s">
        <v>15</v>
      </c>
      <c r="E4250" s="26">
        <v>2926.7</v>
      </c>
      <c r="F4250" s="28" t="s">
        <v>16</v>
      </c>
      <c r="G4250" s="26">
        <f>ROUND(C4250*E4250,0)</f>
        <v>2927</v>
      </c>
      <c r="H4250" t="s">
        <v>9654</v>
      </c>
    </row>
    <row r="4251" spans="1:8" ht="45" x14ac:dyDescent="0.25">
      <c r="A4251" s="21" t="s">
        <v>9655</v>
      </c>
      <c r="B4251" s="25" t="s">
        <v>9654</v>
      </c>
      <c r="C4251" s="26">
        <v>1</v>
      </c>
      <c r="D4251" s="27" t="s">
        <v>15</v>
      </c>
      <c r="E4251" s="26">
        <v>3805.05</v>
      </c>
      <c r="F4251" s="28" t="s">
        <v>16</v>
      </c>
      <c r="G4251" s="26">
        <f>ROUND(C4251*E4251,0)</f>
        <v>3805</v>
      </c>
      <c r="H4251" t="s">
        <v>9654</v>
      </c>
    </row>
    <row r="4252" spans="1:8" x14ac:dyDescent="0.25">
      <c r="A4252" s="21"/>
      <c r="B4252" s="45" t="s">
        <v>9656</v>
      </c>
      <c r="C4252" s="45"/>
      <c r="D4252" s="45"/>
      <c r="E4252" s="45"/>
      <c r="F4252" s="45"/>
      <c r="G4252" s="29">
        <f>SUM(G3950:G4251)</f>
        <v>358756</v>
      </c>
      <c r="H4252">
        <f>SUM(H5:H4251)</f>
        <v>0</v>
      </c>
    </row>
    <row r="4253" spans="1:8" x14ac:dyDescent="0.25">
      <c r="A4253" s="21"/>
      <c r="B4253" s="25"/>
      <c r="C4253" s="26"/>
      <c r="D4253" s="27"/>
      <c r="E4253" s="26"/>
      <c r="F4253" s="28"/>
      <c r="G4253" s="26"/>
    </row>
    <row r="4254" spans="1:8" x14ac:dyDescent="0.25">
      <c r="A4254" s="21"/>
      <c r="B4254" s="48" t="s">
        <v>9657</v>
      </c>
      <c r="C4254" s="48"/>
      <c r="D4254" s="48"/>
      <c r="E4254" s="48"/>
      <c r="F4254" s="48"/>
      <c r="G4254" s="32">
        <f>G119+G217+G391+G468+G553+G658+G1200+G1272+G1451+G1655+G1885+G2024+G2143+G2337+G2677+G3505+G3684+G3747+G3805+G3866+G3920+G3933+G3948+G4252</f>
        <v>12497954</v>
      </c>
    </row>
    <row r="4255" spans="1:8" x14ac:dyDescent="0.25">
      <c r="A4255" s="21"/>
      <c r="B4255" s="48" t="s">
        <v>9658</v>
      </c>
      <c r="C4255" s="49"/>
      <c r="D4255" s="49"/>
      <c r="E4255" s="49"/>
      <c r="F4255" s="49"/>
      <c r="G4255" s="32">
        <f>G4254-G4256</f>
        <v>12497954</v>
      </c>
    </row>
    <row r="4256" spans="1:8" x14ac:dyDescent="0.25">
      <c r="A4256" s="30"/>
      <c r="B4256" s="44" t="s">
        <v>9659</v>
      </c>
      <c r="C4256" s="44"/>
      <c r="D4256" s="44"/>
      <c r="E4256" s="44"/>
      <c r="F4256" s="44"/>
      <c r="G4256" s="33">
        <f>H4252</f>
        <v>0</v>
      </c>
    </row>
    <row r="4265" spans="2:2" x14ac:dyDescent="0.25">
      <c r="B4265" s="8" t="s">
        <v>9725</v>
      </c>
    </row>
  </sheetData>
  <mergeCells count="54">
    <mergeCell ref="A469:G469"/>
    <mergeCell ref="A1:G1"/>
    <mergeCell ref="B2:G2"/>
    <mergeCell ref="C3:D3"/>
    <mergeCell ref="A4:G4"/>
    <mergeCell ref="B119:F119"/>
    <mergeCell ref="A120:G120"/>
    <mergeCell ref="B217:F217"/>
    <mergeCell ref="A218:G218"/>
    <mergeCell ref="B391:F391"/>
    <mergeCell ref="A392:G392"/>
    <mergeCell ref="B468:F468"/>
    <mergeCell ref="A1656:G1656"/>
    <mergeCell ref="B553:F553"/>
    <mergeCell ref="A554:G554"/>
    <mergeCell ref="B658:F658"/>
    <mergeCell ref="A659:G659"/>
    <mergeCell ref="B1200:F1200"/>
    <mergeCell ref="A1201:G1201"/>
    <mergeCell ref="B1272:F1272"/>
    <mergeCell ref="A1273:G1273"/>
    <mergeCell ref="B1451:F1451"/>
    <mergeCell ref="A1452:G1452"/>
    <mergeCell ref="B1655:F1655"/>
    <mergeCell ref="A3506:G3506"/>
    <mergeCell ref="B1885:F1885"/>
    <mergeCell ref="A1886:G1886"/>
    <mergeCell ref="B2024:F2024"/>
    <mergeCell ref="A2025:G2025"/>
    <mergeCell ref="B2143:F2143"/>
    <mergeCell ref="A2144:G2144"/>
    <mergeCell ref="B2337:F2337"/>
    <mergeCell ref="A2338:G2338"/>
    <mergeCell ref="B2677:F2677"/>
    <mergeCell ref="A2678:G2678"/>
    <mergeCell ref="B3505:F3505"/>
    <mergeCell ref="A3934:G3934"/>
    <mergeCell ref="B3684:F3684"/>
    <mergeCell ref="A3685:G3685"/>
    <mergeCell ref="B3747:F3747"/>
    <mergeCell ref="A3748:G3748"/>
    <mergeCell ref="B3805:F3805"/>
    <mergeCell ref="A3806:G3806"/>
    <mergeCell ref="B3866:F3866"/>
    <mergeCell ref="A3867:G3867"/>
    <mergeCell ref="B3920:F3920"/>
    <mergeCell ref="A3921:G3921"/>
    <mergeCell ref="B3933:F3933"/>
    <mergeCell ref="B4256:F4256"/>
    <mergeCell ref="B3948:F3948"/>
    <mergeCell ref="A3949:G3949"/>
    <mergeCell ref="B4252:F4252"/>
    <mergeCell ref="B4254:F4254"/>
    <mergeCell ref="B4255:F4255"/>
  </mergeCells>
  <pageMargins left="1" right="0.5" top="0.75" bottom="1" header="0.5" footer="0.5"/>
  <pageSetup paperSize="9" scale="83" orientation="portrait" r:id="rId1"/>
  <headerFooter>
    <oddFooter>&amp;LDSR - 2023 IN MS EXCEL&amp;RPage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9778-2E49-4831-84CE-261F13800627}">
  <dimension ref="A1:N48"/>
  <sheetViews>
    <sheetView tabSelected="1" view="pageBreakPreview" zoomScaleNormal="100" zoomScaleSheetLayoutView="100" workbookViewId="0">
      <selection activeCell="A2" sqref="A2:J2"/>
    </sheetView>
  </sheetViews>
  <sheetFormatPr defaultRowHeight="15" x14ac:dyDescent="0.25"/>
  <sheetData>
    <row r="1" spans="1:13" x14ac:dyDescent="0.25">
      <c r="A1" s="63" t="s">
        <v>9769</v>
      </c>
      <c r="B1" s="63"/>
      <c r="C1" s="63"/>
      <c r="D1" s="63"/>
      <c r="E1" s="63"/>
      <c r="F1" s="63"/>
      <c r="G1" s="63"/>
      <c r="H1" s="63"/>
      <c r="I1" s="63"/>
      <c r="J1" s="63"/>
      <c r="K1" s="63"/>
      <c r="L1" s="63"/>
    </row>
    <row r="2" spans="1:13" x14ac:dyDescent="0.25">
      <c r="A2" s="65" t="s">
        <v>9726</v>
      </c>
      <c r="B2" s="65"/>
      <c r="C2" s="65"/>
      <c r="D2" s="65"/>
      <c r="E2" s="65"/>
      <c r="F2" s="65"/>
      <c r="G2" s="65"/>
      <c r="H2" s="65"/>
      <c r="I2" s="65"/>
      <c r="J2" s="65"/>
    </row>
    <row r="3" spans="1:13" x14ac:dyDescent="0.25">
      <c r="A3" s="39" t="s">
        <v>9671</v>
      </c>
      <c r="B3" t="s">
        <v>9727</v>
      </c>
    </row>
    <row r="4" spans="1:13" ht="29.25" customHeight="1" x14ac:dyDescent="0.25">
      <c r="A4" s="39" t="s">
        <v>9674</v>
      </c>
      <c r="B4" s="60" t="s">
        <v>9728</v>
      </c>
      <c r="C4" s="60"/>
      <c r="D4" s="60"/>
      <c r="E4" s="60"/>
      <c r="F4" s="60"/>
      <c r="G4" s="60"/>
      <c r="H4" s="60"/>
      <c r="I4" s="60"/>
      <c r="J4" s="60"/>
      <c r="K4" s="60"/>
      <c r="L4" s="60"/>
    </row>
    <row r="5" spans="1:13" x14ac:dyDescent="0.25">
      <c r="A5" s="39" t="s">
        <v>9676</v>
      </c>
      <c r="B5" t="s">
        <v>9729</v>
      </c>
    </row>
    <row r="6" spans="1:13" x14ac:dyDescent="0.25">
      <c r="A6" s="40"/>
      <c r="B6" s="64" t="s">
        <v>9730</v>
      </c>
      <c r="C6" s="64"/>
      <c r="D6" s="64"/>
      <c r="E6" s="64"/>
      <c r="F6" s="64"/>
      <c r="G6" s="64"/>
      <c r="H6" s="64"/>
      <c r="I6" s="64"/>
      <c r="J6" s="64"/>
      <c r="K6" s="64"/>
      <c r="L6" s="64"/>
    </row>
    <row r="7" spans="1:13" ht="29.25" customHeight="1" x14ac:dyDescent="0.25">
      <c r="A7" s="39" t="s">
        <v>9678</v>
      </c>
      <c r="B7" s="60" t="s">
        <v>9731</v>
      </c>
      <c r="C7" s="60"/>
      <c r="D7" s="60"/>
      <c r="E7" s="60"/>
      <c r="F7" s="60"/>
      <c r="G7" s="60"/>
      <c r="H7" s="60"/>
      <c r="I7" s="60"/>
      <c r="J7" s="60"/>
      <c r="K7" s="60"/>
      <c r="L7" s="60"/>
    </row>
    <row r="8" spans="1:13" ht="29.25" customHeight="1" x14ac:dyDescent="0.25">
      <c r="A8" s="39" t="s">
        <v>9680</v>
      </c>
      <c r="B8" s="60" t="s">
        <v>9732</v>
      </c>
      <c r="C8" s="60"/>
      <c r="D8" s="60"/>
      <c r="E8" s="60"/>
      <c r="F8" s="60"/>
      <c r="G8" s="60"/>
      <c r="H8" s="60"/>
      <c r="I8" s="60"/>
      <c r="J8" s="60"/>
      <c r="K8" s="60"/>
      <c r="L8" s="60"/>
    </row>
    <row r="9" spans="1:13" ht="27.75" customHeight="1" x14ac:dyDescent="0.25">
      <c r="A9" s="39" t="s">
        <v>9682</v>
      </c>
      <c r="B9" s="60" t="s">
        <v>9733</v>
      </c>
      <c r="C9" s="60"/>
      <c r="D9" s="60"/>
      <c r="E9" s="60"/>
      <c r="F9" s="60"/>
      <c r="G9" s="60"/>
      <c r="H9" s="60"/>
      <c r="I9" s="60"/>
      <c r="J9" s="60"/>
      <c r="K9" s="60"/>
      <c r="L9" s="60"/>
    </row>
    <row r="10" spans="1:13" ht="29.25" customHeight="1" x14ac:dyDescent="0.25">
      <c r="A10" s="39" t="s">
        <v>9684</v>
      </c>
      <c r="B10" s="60" t="s">
        <v>9734</v>
      </c>
      <c r="C10" s="60"/>
      <c r="D10" s="60"/>
      <c r="E10" s="60"/>
      <c r="F10" s="60"/>
      <c r="G10" s="60"/>
      <c r="H10" s="60"/>
      <c r="I10" s="60"/>
      <c r="J10" s="60"/>
      <c r="K10" s="60"/>
      <c r="L10" s="60"/>
    </row>
    <row r="12" spans="1:13" ht="39" customHeight="1" x14ac:dyDescent="0.25">
      <c r="B12" s="62" t="s">
        <v>9735</v>
      </c>
      <c r="C12" s="62"/>
      <c r="D12" s="62"/>
      <c r="E12" s="62"/>
      <c r="F12" s="62"/>
      <c r="G12" s="62"/>
      <c r="H12" s="62"/>
      <c r="I12" s="62"/>
      <c r="J12" s="62"/>
      <c r="K12" s="62"/>
      <c r="L12" s="62"/>
      <c r="M12" s="62"/>
    </row>
    <row r="14" spans="1:13" x14ac:dyDescent="0.25">
      <c r="A14" s="35"/>
      <c r="B14" s="61" t="s">
        <v>9736</v>
      </c>
      <c r="C14" s="61"/>
      <c r="D14" s="61"/>
      <c r="E14" s="61"/>
      <c r="F14" s="61"/>
      <c r="G14" s="61"/>
      <c r="H14" s="61"/>
      <c r="I14" s="61"/>
      <c r="J14" s="61"/>
      <c r="K14" s="61"/>
      <c r="L14" s="61"/>
    </row>
    <row r="15" spans="1:13" x14ac:dyDescent="0.25">
      <c r="A15" s="34">
        <v>1</v>
      </c>
      <c r="B15" s="59" t="s">
        <v>9737</v>
      </c>
      <c r="C15" s="59"/>
      <c r="D15" s="59"/>
      <c r="E15" s="59"/>
      <c r="F15" s="59"/>
      <c r="G15" s="59"/>
      <c r="H15" s="59"/>
      <c r="I15" s="59"/>
      <c r="J15" s="59"/>
      <c r="K15" s="59"/>
      <c r="L15" s="59"/>
    </row>
    <row r="16" spans="1:13" x14ac:dyDescent="0.25">
      <c r="A16" s="34">
        <v>2</v>
      </c>
      <c r="B16" s="59" t="s">
        <v>9738</v>
      </c>
      <c r="C16" s="59"/>
      <c r="D16" s="59"/>
      <c r="E16" s="59"/>
      <c r="F16" s="59"/>
      <c r="G16" s="59"/>
      <c r="H16" s="59"/>
      <c r="I16" s="59"/>
      <c r="J16" s="59"/>
      <c r="K16" s="59"/>
      <c r="L16" s="59"/>
    </row>
    <row r="17" spans="1:13" x14ac:dyDescent="0.25">
      <c r="A17" s="34">
        <v>3</v>
      </c>
      <c r="B17" s="59" t="s">
        <v>9739</v>
      </c>
      <c r="C17" s="59"/>
      <c r="D17" s="59"/>
      <c r="E17" s="59"/>
      <c r="F17" s="59"/>
      <c r="G17" s="59"/>
      <c r="H17" s="59"/>
      <c r="I17" s="59"/>
      <c r="J17" s="59"/>
      <c r="K17" s="59"/>
      <c r="L17" s="59"/>
    </row>
    <row r="18" spans="1:13" x14ac:dyDescent="0.25">
      <c r="A18" s="34">
        <v>4</v>
      </c>
      <c r="B18" s="59" t="s">
        <v>9740</v>
      </c>
      <c r="C18" s="59"/>
      <c r="D18" s="59"/>
      <c r="E18" s="59"/>
      <c r="F18" s="59"/>
      <c r="G18" s="59"/>
      <c r="H18" s="59"/>
      <c r="I18" s="59"/>
      <c r="J18" s="59"/>
      <c r="K18" s="59"/>
      <c r="L18" s="59"/>
    </row>
    <row r="19" spans="1:13" x14ac:dyDescent="0.25">
      <c r="A19" s="34">
        <v>5</v>
      </c>
      <c r="B19" s="55" t="s">
        <v>9741</v>
      </c>
      <c r="C19" s="56"/>
      <c r="D19" s="56"/>
      <c r="E19" s="56"/>
      <c r="F19" s="56"/>
      <c r="G19" s="56"/>
      <c r="H19" s="56"/>
      <c r="I19" s="56"/>
      <c r="J19" s="56"/>
      <c r="K19" s="56"/>
      <c r="L19" s="57"/>
    </row>
    <row r="20" spans="1:13" x14ac:dyDescent="0.25">
      <c r="A20" s="34">
        <v>6</v>
      </c>
      <c r="B20" s="55" t="s">
        <v>9742</v>
      </c>
      <c r="C20" s="56"/>
      <c r="D20" s="56"/>
      <c r="E20" s="56"/>
      <c r="F20" s="56"/>
      <c r="G20" s="56"/>
      <c r="H20" s="56"/>
      <c r="I20" s="56"/>
      <c r="J20" s="56"/>
      <c r="K20" s="56"/>
      <c r="L20" s="57"/>
    </row>
    <row r="21" spans="1:13" x14ac:dyDescent="0.25">
      <c r="A21" s="34">
        <v>7</v>
      </c>
      <c r="B21" s="55" t="s">
        <v>9743</v>
      </c>
      <c r="C21" s="56"/>
      <c r="D21" s="56"/>
      <c r="E21" s="56"/>
      <c r="F21" s="56"/>
      <c r="G21" s="56"/>
      <c r="H21" s="56"/>
      <c r="I21" s="56"/>
      <c r="J21" s="56"/>
      <c r="K21" s="56"/>
      <c r="L21" s="57"/>
    </row>
    <row r="22" spans="1:13" x14ac:dyDescent="0.25">
      <c r="A22" s="34">
        <v>8</v>
      </c>
      <c r="B22" s="55" t="s">
        <v>9744</v>
      </c>
      <c r="C22" s="56"/>
      <c r="D22" s="56"/>
      <c r="E22" s="56"/>
      <c r="F22" s="56"/>
      <c r="G22" s="56"/>
      <c r="H22" s="56"/>
      <c r="I22" s="56"/>
      <c r="J22" s="56"/>
      <c r="K22" s="56"/>
      <c r="L22" s="57"/>
      <c r="M22" s="36"/>
    </row>
    <row r="23" spans="1:13" x14ac:dyDescent="0.25">
      <c r="A23" s="34">
        <v>9</v>
      </c>
      <c r="B23" s="55" t="s">
        <v>9745</v>
      </c>
      <c r="C23" s="56"/>
      <c r="D23" s="56"/>
      <c r="E23" s="56"/>
      <c r="F23" s="56"/>
      <c r="G23" s="56"/>
      <c r="H23" s="56"/>
      <c r="I23" s="56"/>
      <c r="J23" s="56"/>
      <c r="K23" s="56"/>
      <c r="L23" s="57"/>
      <c r="M23" s="36"/>
    </row>
    <row r="24" spans="1:13" x14ac:dyDescent="0.25">
      <c r="A24" s="34">
        <v>10</v>
      </c>
      <c r="B24" s="55" t="s">
        <v>9746</v>
      </c>
      <c r="C24" s="56"/>
      <c r="D24" s="56"/>
      <c r="E24" s="56"/>
      <c r="F24" s="56"/>
      <c r="G24" s="56"/>
      <c r="H24" s="56"/>
      <c r="I24" s="56"/>
      <c r="J24" s="56"/>
      <c r="K24" s="56"/>
      <c r="L24" s="57"/>
      <c r="M24" s="36"/>
    </row>
    <row r="25" spans="1:13" x14ac:dyDescent="0.25">
      <c r="A25" s="34">
        <v>11</v>
      </c>
      <c r="B25" s="55" t="s">
        <v>9747</v>
      </c>
      <c r="C25" s="56"/>
      <c r="D25" s="56"/>
      <c r="E25" s="56"/>
      <c r="F25" s="56"/>
      <c r="G25" s="56"/>
      <c r="H25" s="56"/>
      <c r="I25" s="56"/>
      <c r="J25" s="56"/>
      <c r="K25" s="56"/>
      <c r="L25" s="57"/>
    </row>
    <row r="26" spans="1:13" x14ac:dyDescent="0.25">
      <c r="A26" s="34">
        <v>12</v>
      </c>
      <c r="B26" s="55" t="s">
        <v>9748</v>
      </c>
      <c r="C26" s="56"/>
      <c r="D26" s="56"/>
      <c r="E26" s="56"/>
      <c r="F26" s="56"/>
      <c r="G26" s="56"/>
      <c r="H26" s="56"/>
      <c r="I26" s="56"/>
      <c r="J26" s="56"/>
      <c r="K26" s="56"/>
      <c r="L26" s="57"/>
    </row>
    <row r="27" spans="1:13" x14ac:dyDescent="0.25">
      <c r="A27" s="34">
        <v>13</v>
      </c>
      <c r="B27" s="55" t="s">
        <v>9749</v>
      </c>
      <c r="C27" s="56"/>
      <c r="D27" s="56"/>
      <c r="E27" s="56"/>
      <c r="F27" s="56"/>
      <c r="G27" s="56"/>
      <c r="H27" s="56"/>
      <c r="I27" s="56"/>
      <c r="J27" s="56"/>
      <c r="K27" s="56"/>
      <c r="L27" s="57"/>
    </row>
    <row r="28" spans="1:13" x14ac:dyDescent="0.25">
      <c r="A28" s="34">
        <v>14</v>
      </c>
      <c r="B28" s="55" t="s">
        <v>9750</v>
      </c>
      <c r="C28" s="56"/>
      <c r="D28" s="56"/>
      <c r="E28" s="56"/>
      <c r="F28" s="56"/>
      <c r="G28" s="56"/>
      <c r="H28" s="56"/>
      <c r="I28" s="56"/>
      <c r="J28" s="56"/>
      <c r="K28" s="56"/>
      <c r="L28" s="57"/>
    </row>
    <row r="29" spans="1:13" x14ac:dyDescent="0.25">
      <c r="A29" s="34">
        <v>15</v>
      </c>
      <c r="B29" s="55" t="s">
        <v>9751</v>
      </c>
      <c r="C29" s="56"/>
      <c r="D29" s="56"/>
      <c r="E29" s="56"/>
      <c r="F29" s="56"/>
      <c r="G29" s="56"/>
      <c r="H29" s="56"/>
      <c r="I29" s="56"/>
      <c r="J29" s="56"/>
      <c r="K29" s="56"/>
      <c r="L29" s="57"/>
    </row>
    <row r="30" spans="1:13" x14ac:dyDescent="0.25">
      <c r="A30" s="34">
        <v>16</v>
      </c>
      <c r="B30" s="55" t="s">
        <v>9752</v>
      </c>
      <c r="C30" s="56"/>
      <c r="D30" s="56"/>
      <c r="E30" s="56"/>
      <c r="F30" s="56"/>
      <c r="G30" s="56"/>
      <c r="H30" s="56"/>
      <c r="I30" s="56"/>
      <c r="J30" s="56"/>
      <c r="K30" s="56"/>
      <c r="L30" s="57"/>
    </row>
    <row r="31" spans="1:13" x14ac:dyDescent="0.25">
      <c r="A31" s="34">
        <v>17</v>
      </c>
      <c r="B31" s="55" t="s">
        <v>9753</v>
      </c>
      <c r="C31" s="56"/>
      <c r="D31" s="56"/>
      <c r="E31" s="56"/>
      <c r="F31" s="56"/>
      <c r="G31" s="56"/>
      <c r="H31" s="56"/>
      <c r="I31" s="56"/>
      <c r="J31" s="56"/>
      <c r="K31" s="56"/>
      <c r="L31" s="57"/>
    </row>
    <row r="32" spans="1:13" x14ac:dyDescent="0.25">
      <c r="A32" s="34">
        <v>18</v>
      </c>
      <c r="B32" s="55" t="s">
        <v>9754</v>
      </c>
      <c r="C32" s="56"/>
      <c r="D32" s="56"/>
      <c r="E32" s="56"/>
      <c r="F32" s="56"/>
      <c r="G32" s="56"/>
      <c r="H32" s="56"/>
      <c r="I32" s="56"/>
      <c r="J32" s="56"/>
      <c r="K32" s="56"/>
      <c r="L32" s="57"/>
    </row>
    <row r="33" spans="1:14" x14ac:dyDescent="0.25">
      <c r="A33" s="34">
        <v>21</v>
      </c>
      <c r="B33" s="55" t="s">
        <v>9755</v>
      </c>
      <c r="C33" s="56"/>
      <c r="D33" s="56"/>
      <c r="E33" s="56"/>
      <c r="F33" s="56"/>
      <c r="G33" s="56"/>
      <c r="H33" s="56"/>
      <c r="I33" s="56"/>
      <c r="J33" s="56"/>
      <c r="K33" s="56"/>
      <c r="L33" s="57"/>
    </row>
    <row r="34" spans="1:14" x14ac:dyDescent="0.25">
      <c r="A34" s="34">
        <v>22</v>
      </c>
      <c r="B34" s="55" t="s">
        <v>9756</v>
      </c>
      <c r="C34" s="56"/>
      <c r="D34" s="56"/>
      <c r="E34" s="56"/>
      <c r="F34" s="56"/>
      <c r="G34" s="56"/>
      <c r="H34" s="56"/>
      <c r="I34" s="56"/>
      <c r="J34" s="56"/>
      <c r="K34" s="56"/>
      <c r="L34" s="57"/>
    </row>
    <row r="35" spans="1:14" x14ac:dyDescent="0.25">
      <c r="A35" s="34">
        <v>24</v>
      </c>
      <c r="B35" s="55" t="s">
        <v>9757</v>
      </c>
      <c r="C35" s="56"/>
      <c r="D35" s="56"/>
      <c r="E35" s="56"/>
      <c r="F35" s="56"/>
      <c r="G35" s="56"/>
      <c r="H35" s="56"/>
      <c r="I35" s="56"/>
      <c r="J35" s="56"/>
      <c r="K35" s="56"/>
      <c r="L35" s="57"/>
    </row>
    <row r="36" spans="1:14" x14ac:dyDescent="0.25">
      <c r="A36" s="34">
        <v>25</v>
      </c>
      <c r="B36" s="55" t="s">
        <v>9758</v>
      </c>
      <c r="C36" s="56"/>
      <c r="D36" s="56"/>
      <c r="E36" s="56"/>
      <c r="F36" s="56"/>
      <c r="G36" s="56"/>
      <c r="H36" s="56"/>
      <c r="I36" s="56"/>
      <c r="J36" s="56"/>
      <c r="K36" s="56"/>
      <c r="L36" s="57"/>
    </row>
    <row r="37" spans="1:14" x14ac:dyDescent="0.25">
      <c r="A37" s="34">
        <v>26</v>
      </c>
      <c r="B37" s="55" t="s">
        <v>9759</v>
      </c>
      <c r="C37" s="56"/>
      <c r="D37" s="56"/>
      <c r="E37" s="56"/>
      <c r="F37" s="56"/>
      <c r="G37" s="56"/>
      <c r="H37" s="56"/>
      <c r="I37" s="56"/>
      <c r="J37" s="56"/>
      <c r="K37" s="56"/>
      <c r="L37" s="57"/>
      <c r="M37" s="58"/>
      <c r="N37" s="58"/>
    </row>
    <row r="38" spans="1:14" x14ac:dyDescent="0.25">
      <c r="A38" s="34">
        <v>27</v>
      </c>
      <c r="B38" s="55" t="s">
        <v>9760</v>
      </c>
      <c r="C38" s="56"/>
      <c r="D38" s="56"/>
      <c r="E38" s="56"/>
      <c r="F38" s="56"/>
      <c r="G38" s="56"/>
      <c r="H38" s="56"/>
      <c r="I38" s="56"/>
      <c r="J38" s="56"/>
      <c r="K38" s="56"/>
      <c r="L38" s="57"/>
      <c r="M38" s="36"/>
      <c r="N38" s="36"/>
    </row>
    <row r="39" spans="1:14" x14ac:dyDescent="0.25">
      <c r="A39" s="34"/>
      <c r="B39" s="55"/>
      <c r="C39" s="56"/>
      <c r="D39" s="56"/>
      <c r="E39" s="56"/>
      <c r="F39" s="56"/>
      <c r="G39" s="56"/>
      <c r="H39" s="56"/>
      <c r="I39" s="56"/>
      <c r="J39" s="56"/>
      <c r="K39" s="56"/>
      <c r="L39" s="57"/>
      <c r="M39" s="36"/>
      <c r="N39" s="36"/>
    </row>
    <row r="40" spans="1:14" x14ac:dyDescent="0.25">
      <c r="A40" s="34"/>
      <c r="B40" s="55"/>
      <c r="C40" s="56"/>
      <c r="D40" s="56"/>
      <c r="E40" s="56"/>
      <c r="F40" s="56"/>
      <c r="G40" s="56"/>
      <c r="H40" s="56"/>
      <c r="I40" s="56"/>
      <c r="J40" s="56"/>
      <c r="K40" s="56"/>
      <c r="L40" s="57"/>
      <c r="M40" s="36"/>
      <c r="N40" s="36"/>
    </row>
    <row r="41" spans="1:14" x14ac:dyDescent="0.25">
      <c r="A41" s="34"/>
      <c r="B41" s="55"/>
      <c r="C41" s="56"/>
      <c r="D41" s="56"/>
      <c r="E41" s="56"/>
      <c r="F41" s="56"/>
      <c r="G41" s="56"/>
      <c r="H41" s="56"/>
      <c r="I41" s="56"/>
      <c r="J41" s="56"/>
      <c r="K41" s="56"/>
      <c r="L41" s="57"/>
      <c r="M41" s="36"/>
      <c r="N41" s="36"/>
    </row>
    <row r="42" spans="1:14" x14ac:dyDescent="0.25">
      <c r="A42" s="34"/>
      <c r="B42" s="55"/>
      <c r="C42" s="56"/>
      <c r="D42" s="56"/>
      <c r="E42" s="56"/>
      <c r="F42" s="56"/>
      <c r="G42" s="56"/>
      <c r="H42" s="56"/>
      <c r="I42" s="56"/>
      <c r="J42" s="56"/>
      <c r="K42" s="56"/>
      <c r="L42" s="57"/>
    </row>
    <row r="43" spans="1:14" x14ac:dyDescent="0.25">
      <c r="A43" s="34"/>
      <c r="B43" s="55"/>
      <c r="C43" s="56"/>
      <c r="D43" s="56"/>
      <c r="E43" s="56"/>
      <c r="F43" s="56"/>
      <c r="G43" s="56"/>
      <c r="H43" s="56"/>
      <c r="I43" s="56"/>
      <c r="J43" s="56"/>
      <c r="K43" s="56"/>
      <c r="L43" s="57"/>
    </row>
    <row r="44" spans="1:14" x14ac:dyDescent="0.25">
      <c r="A44" s="34"/>
      <c r="B44" s="55"/>
      <c r="C44" s="56"/>
      <c r="D44" s="56"/>
      <c r="E44" s="56"/>
      <c r="F44" s="56"/>
      <c r="G44" s="56"/>
      <c r="H44" s="56"/>
      <c r="I44" s="56"/>
      <c r="J44" s="56"/>
      <c r="K44" s="56"/>
      <c r="L44" s="57"/>
    </row>
    <row r="45" spans="1:14" x14ac:dyDescent="0.25">
      <c r="A45" s="35"/>
      <c r="B45" s="59" t="s">
        <v>9761</v>
      </c>
      <c r="C45" s="59"/>
      <c r="D45" s="59"/>
      <c r="E45" s="59"/>
      <c r="F45" s="59"/>
      <c r="G45" s="59"/>
      <c r="H45" s="59"/>
      <c r="I45" s="59"/>
      <c r="J45" s="59"/>
      <c r="K45" s="59"/>
      <c r="L45" s="59"/>
    </row>
    <row r="46" spans="1:14" x14ac:dyDescent="0.25">
      <c r="A46" s="35"/>
      <c r="B46" s="59" t="s">
        <v>9762</v>
      </c>
      <c r="C46" s="59"/>
      <c r="D46" s="59"/>
      <c r="E46" s="59"/>
      <c r="F46" s="59"/>
      <c r="G46" s="59"/>
      <c r="H46" s="59"/>
      <c r="I46" s="59"/>
      <c r="J46" s="59"/>
      <c r="K46" s="59"/>
      <c r="L46" s="59"/>
    </row>
    <row r="47" spans="1:14" x14ac:dyDescent="0.25">
      <c r="A47" s="35"/>
      <c r="B47" s="37" t="s">
        <v>9763</v>
      </c>
      <c r="C47" s="35"/>
      <c r="D47" s="35"/>
      <c r="E47" s="35"/>
      <c r="F47" s="35"/>
      <c r="G47" s="35"/>
      <c r="H47" s="35"/>
      <c r="I47" s="35"/>
      <c r="J47" s="35"/>
      <c r="K47" s="35"/>
      <c r="L47" s="35"/>
    </row>
    <row r="48" spans="1:14" x14ac:dyDescent="0.25">
      <c r="A48" s="35"/>
      <c r="B48" s="35" t="s">
        <v>9764</v>
      </c>
      <c r="C48" s="38" t="s">
        <v>9765</v>
      </c>
      <c r="D48" s="35"/>
      <c r="E48" s="35"/>
      <c r="F48" s="35"/>
      <c r="G48" s="35"/>
      <c r="H48" s="35"/>
      <c r="I48" s="35"/>
      <c r="J48" s="35"/>
      <c r="K48" s="35"/>
      <c r="L48" s="35"/>
    </row>
  </sheetData>
  <mergeCells count="43">
    <mergeCell ref="A1:L1"/>
    <mergeCell ref="B4:L4"/>
    <mergeCell ref="B6:L6"/>
    <mergeCell ref="B7:L7"/>
    <mergeCell ref="B8:L8"/>
    <mergeCell ref="A2:J2"/>
    <mergeCell ref="B9:L9"/>
    <mergeCell ref="B27:L27"/>
    <mergeCell ref="B25:L25"/>
    <mergeCell ref="B20:L20"/>
    <mergeCell ref="B22:L22"/>
    <mergeCell ref="B23:L23"/>
    <mergeCell ref="B24:L24"/>
    <mergeCell ref="B10:L10"/>
    <mergeCell ref="B21:L21"/>
    <mergeCell ref="B17:L17"/>
    <mergeCell ref="B18:L18"/>
    <mergeCell ref="B14:L14"/>
    <mergeCell ref="B15:L15"/>
    <mergeCell ref="B16:L16"/>
    <mergeCell ref="B19:L19"/>
    <mergeCell ref="B12:M12"/>
    <mergeCell ref="M37:N37"/>
    <mergeCell ref="B45:L45"/>
    <mergeCell ref="B46:L46"/>
    <mergeCell ref="B42:L42"/>
    <mergeCell ref="B41:L41"/>
    <mergeCell ref="B38:L38"/>
    <mergeCell ref="B39:L39"/>
    <mergeCell ref="B40:L40"/>
    <mergeCell ref="B43:L43"/>
    <mergeCell ref="B44:L44"/>
    <mergeCell ref="B37:L37"/>
    <mergeCell ref="B36:L36"/>
    <mergeCell ref="B35:L35"/>
    <mergeCell ref="B34:L34"/>
    <mergeCell ref="B32:L32"/>
    <mergeCell ref="B33:L33"/>
    <mergeCell ref="B31:L31"/>
    <mergeCell ref="B29:L29"/>
    <mergeCell ref="B30:L30"/>
    <mergeCell ref="B28:L28"/>
    <mergeCell ref="B26:L26"/>
  </mergeCells>
  <hyperlinks>
    <hyperlink ref="B47" r:id="rId1" display="rambabujalli@gmail.com" xr:uid="{5B1F6DD9-86EB-4F3F-9858-ED1CBD8A5005}"/>
    <hyperlink ref="C48" r:id="rId2" xr:uid="{F8092FC8-C75F-4C61-9D6A-2F31002D58F4}"/>
  </hyperlinks>
  <pageMargins left="0.7" right="0.7" top="0.75" bottom="0.75" header="0.3" footer="0.3"/>
  <pageSetup scale="70"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Abstract</vt:lpstr>
      <vt:lpstr>Schedule</vt:lpstr>
      <vt:lpstr>ReadMe</vt:lpstr>
      <vt:lpstr>ItemTotal</vt:lpstr>
      <vt:lpstr>MRItemTotal</vt:lpstr>
      <vt:lpstr>Schedule!Print_Titles</vt:lpstr>
      <vt:lpstr>SRItemTotal</vt:lpstr>
    </vt:vector>
  </TitlesOfParts>
  <Company>BSNL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SDE-IV</dc:creator>
  <cp:lastModifiedBy>Rambabu Jalli</cp:lastModifiedBy>
  <dcterms:created xsi:type="dcterms:W3CDTF">2013-02-08T15:50:26Z</dcterms:created>
  <dcterms:modified xsi:type="dcterms:W3CDTF">2023-11-29T19:14:27Z</dcterms:modified>
</cp:coreProperties>
</file>